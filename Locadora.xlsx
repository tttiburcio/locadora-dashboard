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ic\Documents\clone\"/>
    </mc:Choice>
  </mc:AlternateContent>
  <xr:revisionPtr revIDLastSave="0" documentId="13_ncr:1_{DB1F3431-EF02-4B0F-8206-E4968F64FF73}" xr6:coauthVersionLast="47" xr6:coauthVersionMax="47" xr10:uidLastSave="{00000000-0000-0000-0000-000000000000}"/>
  <bookViews>
    <workbookView xWindow="-120" yWindow="-120" windowWidth="29040" windowHeight="15720" tabRatio="994" activeTab="3" xr2:uid="{00000000-000D-0000-FFFF-FFFF00000000}"/>
  </bookViews>
  <sheets>
    <sheet name="🏢 EMPRESAS" sheetId="1" r:id="rId1"/>
    <sheet name="🚛 FROTA" sheetId="2" r:id="rId2"/>
    <sheet name="🏢 CLIENTES" sheetId="3" r:id="rId3"/>
    <sheet name="📄 CONTRATOS" sheetId="4" r:id="rId4"/>
    <sheet name="💰 FAT_UNITARIO" sheetId="5" r:id="rId5"/>
    <sheet name="🧾 FATURAMENTO" sheetId="6" r:id="rId6"/>
    <sheet name="↩️ REEMBOLSOS" sheetId="7" r:id="rId7"/>
    <sheet name="🛡️ SEGUROS" sheetId="8" r:id="rId8"/>
    <sheet name="📋 SEGURO_MENSAL" sheetId="9" r:id="rId9"/>
    <sheet name="🔧 MANUTENCOES" sheetId="10" r:id="rId10"/>
    <sheet name="📋 IMPOSTOS" sheetId="11" r:id="rId11"/>
    <sheet name="📍RASTREAMENTO" sheetId="12" r:id="rId12"/>
    <sheet name="🔗 CONTRATO_VEICULO" sheetId="13" r:id="rId13"/>
    <sheet name="🔗 CONTRATO_ORIGEM" sheetId="14" r:id="rId14"/>
  </sheets>
  <definedNames>
    <definedName name="_xlnm._FilterDatabase" localSheetId="6" hidden="1">'↩️ REEMBOLSOS'!$A$1:$S$51</definedName>
    <definedName name="_xlnm._FilterDatabase" localSheetId="2" hidden="1">'🏢 CLIENTES'!$A$1:$L$17</definedName>
    <definedName name="_xlnm._FilterDatabase" localSheetId="0" hidden="1">'🏢 EMPRESAS'!$A$1:$R$17</definedName>
    <definedName name="_xlnm._FilterDatabase" localSheetId="4" hidden="1">'💰 FAT_UNITARIO'!$A$1:$M$231</definedName>
    <definedName name="_xlnm._FilterDatabase" localSheetId="3" hidden="1">'📄 CONTRATOS'!$A$1:$V$37</definedName>
    <definedName name="_xlnm._FilterDatabase" localSheetId="10" hidden="1">'📋 IMPOSTOS'!$A$1:$Y$33</definedName>
    <definedName name="_xlnm._FilterDatabase" localSheetId="8" hidden="1">'📋 SEGURO_MENSAL'!$A$1:$K$191</definedName>
    <definedName name="_xlnm._FilterDatabase" localSheetId="11" hidden="1">📍RASTREAMENTO!$A$1:$H$284</definedName>
    <definedName name="_xlnm._FilterDatabase" localSheetId="13" hidden="1">'🔗 CONTRATO_ORIGEM'!$A$1:$D$19</definedName>
    <definedName name="_xlnm._FilterDatabase" localSheetId="12" hidden="1">'🔗 CONTRATO_VEICULO'!$A$1:$D$88</definedName>
    <definedName name="_xlnm._FilterDatabase" localSheetId="9" hidden="1">'🔧 MANUTENCOES'!$A$1:$AM$612</definedName>
    <definedName name="_xlnm._FilterDatabase" localSheetId="1" hidden="1">'🚛 FROTA'!$A$1:$Q$51</definedName>
    <definedName name="_xlnm._FilterDatabase" localSheetId="7" hidden="1">'🛡️ SEGUROS'!$A$1:$O$12</definedName>
    <definedName name="_xlnm._FilterDatabase" localSheetId="5" hidden="1">'🧾 FATURAMENTO'!$A$1:$O$110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4" i="12" l="1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G165" i="12"/>
  <c r="C165" i="12"/>
  <c r="G164" i="12"/>
  <c r="C164" i="12"/>
  <c r="G163" i="12"/>
  <c r="C163" i="12"/>
  <c r="G162" i="12"/>
  <c r="C162" i="12"/>
  <c r="G161" i="12"/>
  <c r="C161" i="12"/>
  <c r="G160" i="12"/>
  <c r="C160" i="12"/>
  <c r="G159" i="12"/>
  <c r="C159" i="12"/>
  <c r="G158" i="12"/>
  <c r="C158" i="12"/>
  <c r="G157" i="12"/>
  <c r="C157" i="12"/>
  <c r="G156" i="12"/>
  <c r="C156" i="12"/>
  <c r="G155" i="12"/>
  <c r="C155" i="12"/>
  <c r="G154" i="12"/>
  <c r="C154" i="12"/>
  <c r="G153" i="12"/>
  <c r="C153" i="12"/>
  <c r="G152" i="12"/>
  <c r="C152" i="12"/>
  <c r="G151" i="12"/>
  <c r="C151" i="12"/>
  <c r="G150" i="12"/>
  <c r="C150" i="12"/>
  <c r="G149" i="12"/>
  <c r="C149" i="12"/>
  <c r="G148" i="12"/>
  <c r="C148" i="12"/>
  <c r="G147" i="12"/>
  <c r="C147" i="12"/>
  <c r="G146" i="12"/>
  <c r="C146" i="12"/>
  <c r="G145" i="12"/>
  <c r="C145" i="12"/>
  <c r="G144" i="12"/>
  <c r="C144" i="12"/>
  <c r="G143" i="12"/>
  <c r="C143" i="12"/>
  <c r="G142" i="12"/>
  <c r="C142" i="12"/>
  <c r="G141" i="12"/>
  <c r="C141" i="12"/>
  <c r="G140" i="12"/>
  <c r="C140" i="12"/>
  <c r="G139" i="12"/>
  <c r="C139" i="12"/>
  <c r="G138" i="12"/>
  <c r="C138" i="12"/>
  <c r="G137" i="12"/>
  <c r="C137" i="12"/>
  <c r="G136" i="12"/>
  <c r="C136" i="12"/>
  <c r="G135" i="12"/>
  <c r="C135" i="12"/>
  <c r="G134" i="12"/>
  <c r="C134" i="12"/>
  <c r="G133" i="12"/>
  <c r="C133" i="12"/>
  <c r="G132" i="12"/>
  <c r="C132" i="12"/>
  <c r="G131" i="12"/>
  <c r="C131" i="12"/>
  <c r="G130" i="12"/>
  <c r="C130" i="12"/>
  <c r="G129" i="12"/>
  <c r="C129" i="12"/>
  <c r="G128" i="12"/>
  <c r="C128" i="12"/>
  <c r="G127" i="12"/>
  <c r="C127" i="12"/>
  <c r="G126" i="12"/>
  <c r="C126" i="12"/>
  <c r="G125" i="12"/>
  <c r="C125" i="12"/>
  <c r="G124" i="12"/>
  <c r="C124" i="12"/>
  <c r="G123" i="12"/>
  <c r="C123" i="12"/>
  <c r="G122" i="12"/>
  <c r="C122" i="12"/>
  <c r="G121" i="12"/>
  <c r="C121" i="12"/>
  <c r="G120" i="12"/>
  <c r="C120" i="12"/>
  <c r="G119" i="12"/>
  <c r="C119" i="12"/>
  <c r="G118" i="12"/>
  <c r="C118" i="12"/>
  <c r="G117" i="12"/>
  <c r="C117" i="12"/>
  <c r="G116" i="12"/>
  <c r="C116" i="12"/>
  <c r="G115" i="12"/>
  <c r="C115" i="12"/>
  <c r="G114" i="12"/>
  <c r="C114" i="12"/>
  <c r="G113" i="12"/>
  <c r="C113" i="12"/>
  <c r="G112" i="12"/>
  <c r="C112" i="12"/>
  <c r="G111" i="12"/>
  <c r="C111" i="12"/>
  <c r="G110" i="12"/>
  <c r="C110" i="12"/>
  <c r="G109" i="12"/>
  <c r="C109" i="12"/>
  <c r="G108" i="12"/>
  <c r="C108" i="12"/>
  <c r="G107" i="12"/>
  <c r="C107" i="12"/>
  <c r="G106" i="12"/>
  <c r="C106" i="12"/>
  <c r="G105" i="12"/>
  <c r="C105" i="12"/>
  <c r="G104" i="12"/>
  <c r="C104" i="12"/>
  <c r="G103" i="12"/>
  <c r="C103" i="12"/>
  <c r="G102" i="12"/>
  <c r="C102" i="12"/>
  <c r="G101" i="12"/>
  <c r="C101" i="12"/>
  <c r="G100" i="12"/>
  <c r="C100" i="12"/>
  <c r="G99" i="12"/>
  <c r="C99" i="12"/>
  <c r="G98" i="12"/>
  <c r="C98" i="12"/>
  <c r="G97" i="12"/>
  <c r="C97" i="12"/>
  <c r="G96" i="12"/>
  <c r="C96" i="12"/>
  <c r="G95" i="12"/>
  <c r="C95" i="12"/>
  <c r="G94" i="12"/>
  <c r="C94" i="12"/>
  <c r="G93" i="12"/>
  <c r="C93" i="12"/>
  <c r="G92" i="12"/>
  <c r="C92" i="12"/>
  <c r="G91" i="12"/>
  <c r="C91" i="12"/>
  <c r="G90" i="12"/>
  <c r="C90" i="12"/>
  <c r="G89" i="12"/>
  <c r="C89" i="12"/>
  <c r="G88" i="12"/>
  <c r="C88" i="12"/>
  <c r="G87" i="12"/>
  <c r="C87" i="12"/>
  <c r="G86" i="12"/>
  <c r="C86" i="12"/>
  <c r="G85" i="12"/>
  <c r="C85" i="12"/>
  <c r="G84" i="12"/>
  <c r="C84" i="12"/>
  <c r="G83" i="12"/>
  <c r="C83" i="12"/>
  <c r="G82" i="12"/>
  <c r="C82" i="12"/>
  <c r="G81" i="12"/>
  <c r="C81" i="12"/>
  <c r="G80" i="12"/>
  <c r="C80" i="12"/>
  <c r="G79" i="12"/>
  <c r="C79" i="12"/>
  <c r="G78" i="12"/>
  <c r="C78" i="12"/>
  <c r="G77" i="12"/>
  <c r="C77" i="12"/>
  <c r="G76" i="12"/>
  <c r="C76" i="12"/>
  <c r="G75" i="12"/>
  <c r="C75" i="12"/>
  <c r="G74" i="12"/>
  <c r="C74" i="12"/>
  <c r="G73" i="12"/>
  <c r="C73" i="12"/>
  <c r="G72" i="12"/>
  <c r="C72" i="12"/>
  <c r="G71" i="12"/>
  <c r="C71" i="12"/>
  <c r="G70" i="12"/>
  <c r="C70" i="12"/>
  <c r="G69" i="12"/>
  <c r="C69" i="12"/>
  <c r="G68" i="12"/>
  <c r="C68" i="12"/>
  <c r="G67" i="12"/>
  <c r="C67" i="12"/>
  <c r="G66" i="12"/>
  <c r="C66" i="12"/>
  <c r="G65" i="12"/>
  <c r="C65" i="12"/>
  <c r="G64" i="12"/>
  <c r="C64" i="12"/>
  <c r="G63" i="12"/>
  <c r="C63" i="12"/>
  <c r="G62" i="12"/>
  <c r="C62" i="12"/>
  <c r="G61" i="12"/>
  <c r="C61" i="12"/>
  <c r="G60" i="12"/>
  <c r="C60" i="12"/>
  <c r="G59" i="12"/>
  <c r="C59" i="12"/>
  <c r="G58" i="12"/>
  <c r="C58" i="12"/>
  <c r="G57" i="12"/>
  <c r="C57" i="12"/>
  <c r="G56" i="12"/>
  <c r="C56" i="12"/>
  <c r="G55" i="12"/>
  <c r="C55" i="12"/>
  <c r="G54" i="12"/>
  <c r="C54" i="12"/>
  <c r="G53" i="12"/>
  <c r="C53" i="12"/>
  <c r="G52" i="12"/>
  <c r="C52" i="12"/>
  <c r="G51" i="12"/>
  <c r="C51" i="12"/>
  <c r="G50" i="12"/>
  <c r="C50" i="12"/>
  <c r="G49" i="12"/>
  <c r="C49" i="12"/>
  <c r="G48" i="12"/>
  <c r="C48" i="12"/>
  <c r="G47" i="12"/>
  <c r="C47" i="12"/>
  <c r="G46" i="12"/>
  <c r="C46" i="12"/>
  <c r="G45" i="12"/>
  <c r="C45" i="12"/>
  <c r="G44" i="12"/>
  <c r="C44" i="12"/>
  <c r="G43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U33" i="11"/>
  <c r="T33" i="11"/>
  <c r="I33" i="11"/>
  <c r="H33" i="11"/>
  <c r="G33" i="11"/>
  <c r="F33" i="11"/>
  <c r="E33" i="11"/>
  <c r="B33" i="11"/>
  <c r="U32" i="11"/>
  <c r="W32" i="11" s="1"/>
  <c r="T32" i="11"/>
  <c r="S32" i="11"/>
  <c r="I32" i="11"/>
  <c r="H32" i="11"/>
  <c r="G32" i="11"/>
  <c r="F32" i="11"/>
  <c r="E32" i="11"/>
  <c r="B32" i="11"/>
  <c r="T31" i="11"/>
  <c r="S31" i="11"/>
  <c r="U31" i="11" s="1"/>
  <c r="W31" i="11" s="1"/>
  <c r="I31" i="11"/>
  <c r="H31" i="11"/>
  <c r="G31" i="11"/>
  <c r="F31" i="11"/>
  <c r="E31" i="11"/>
  <c r="B31" i="11"/>
  <c r="T30" i="11"/>
  <c r="S30" i="11"/>
  <c r="U30" i="11" s="1"/>
  <c r="W30" i="11" s="1"/>
  <c r="I30" i="11"/>
  <c r="H30" i="11"/>
  <c r="G30" i="11"/>
  <c r="F30" i="11"/>
  <c r="E30" i="11"/>
  <c r="B30" i="11"/>
  <c r="U29" i="11"/>
  <c r="W29" i="11" s="1"/>
  <c r="T29" i="11"/>
  <c r="S29" i="11"/>
  <c r="I29" i="11"/>
  <c r="H29" i="11"/>
  <c r="G29" i="11"/>
  <c r="F29" i="11"/>
  <c r="E29" i="11"/>
  <c r="B29" i="11"/>
  <c r="T28" i="11"/>
  <c r="S28" i="11"/>
  <c r="U28" i="11" s="1"/>
  <c r="W28" i="11" s="1"/>
  <c r="I28" i="11"/>
  <c r="H28" i="11"/>
  <c r="G28" i="11"/>
  <c r="F28" i="11"/>
  <c r="E28" i="11"/>
  <c r="B28" i="11"/>
  <c r="T27" i="11"/>
  <c r="S27" i="11"/>
  <c r="U27" i="11" s="1"/>
  <c r="W27" i="11" s="1"/>
  <c r="I27" i="11"/>
  <c r="H27" i="11"/>
  <c r="G27" i="11"/>
  <c r="F27" i="11"/>
  <c r="E27" i="11"/>
  <c r="B27" i="11"/>
  <c r="U26" i="11"/>
  <c r="W26" i="11" s="1"/>
  <c r="T26" i="11"/>
  <c r="S26" i="11"/>
  <c r="I26" i="11"/>
  <c r="H26" i="11"/>
  <c r="G26" i="11"/>
  <c r="F26" i="11"/>
  <c r="E26" i="11"/>
  <c r="B26" i="11"/>
  <c r="T25" i="11"/>
  <c r="S25" i="11"/>
  <c r="U25" i="11" s="1"/>
  <c r="W25" i="11" s="1"/>
  <c r="I25" i="11"/>
  <c r="H25" i="11"/>
  <c r="G25" i="11"/>
  <c r="F25" i="11"/>
  <c r="E25" i="11"/>
  <c r="B25" i="11"/>
  <c r="T24" i="11"/>
  <c r="S24" i="11"/>
  <c r="U24" i="11" s="1"/>
  <c r="W24" i="11" s="1"/>
  <c r="I24" i="11"/>
  <c r="H24" i="11"/>
  <c r="G24" i="11"/>
  <c r="F24" i="11"/>
  <c r="E24" i="11"/>
  <c r="B24" i="11"/>
  <c r="U23" i="11"/>
  <c r="W23" i="11" s="1"/>
  <c r="T23" i="11"/>
  <c r="S23" i="11"/>
  <c r="I23" i="11"/>
  <c r="H23" i="11"/>
  <c r="G23" i="11"/>
  <c r="F23" i="11"/>
  <c r="E23" i="11"/>
  <c r="B23" i="11"/>
  <c r="T22" i="11"/>
  <c r="S22" i="11"/>
  <c r="U22" i="11" s="1"/>
  <c r="W22" i="11" s="1"/>
  <c r="I22" i="11"/>
  <c r="H22" i="11"/>
  <c r="G22" i="11"/>
  <c r="F22" i="11"/>
  <c r="E22" i="11"/>
  <c r="B22" i="11"/>
  <c r="T21" i="11"/>
  <c r="S21" i="11"/>
  <c r="U21" i="11" s="1"/>
  <c r="W21" i="11" s="1"/>
  <c r="I21" i="11"/>
  <c r="H21" i="11"/>
  <c r="G21" i="11"/>
  <c r="F21" i="11"/>
  <c r="E21" i="11"/>
  <c r="B21" i="11"/>
  <c r="U20" i="11"/>
  <c r="W20" i="11" s="1"/>
  <c r="T20" i="11"/>
  <c r="S20" i="11"/>
  <c r="I20" i="11"/>
  <c r="H20" i="11"/>
  <c r="G20" i="11"/>
  <c r="F20" i="11"/>
  <c r="E20" i="11"/>
  <c r="B20" i="11"/>
  <c r="T19" i="11"/>
  <c r="S19" i="11"/>
  <c r="U19" i="11" s="1"/>
  <c r="W19" i="11" s="1"/>
  <c r="I19" i="11"/>
  <c r="H19" i="11"/>
  <c r="G19" i="11"/>
  <c r="F19" i="11"/>
  <c r="E19" i="11"/>
  <c r="B19" i="11"/>
  <c r="T18" i="11"/>
  <c r="S18" i="11"/>
  <c r="U18" i="11" s="1"/>
  <c r="W18" i="11" s="1"/>
  <c r="I18" i="11"/>
  <c r="H18" i="11"/>
  <c r="G18" i="11"/>
  <c r="F18" i="11"/>
  <c r="E18" i="11"/>
  <c r="B18" i="11"/>
  <c r="T17" i="11"/>
  <c r="U17" i="11" s="1"/>
  <c r="S17" i="11"/>
  <c r="I17" i="11"/>
  <c r="H17" i="11"/>
  <c r="G17" i="11"/>
  <c r="F17" i="11"/>
  <c r="E17" i="11"/>
  <c r="B17" i="11"/>
  <c r="T16" i="11"/>
  <c r="S16" i="11"/>
  <c r="U16" i="11" s="1"/>
  <c r="V16" i="11" s="1"/>
  <c r="W16" i="11" s="1"/>
  <c r="I16" i="11"/>
  <c r="H16" i="11"/>
  <c r="G16" i="11"/>
  <c r="F16" i="11"/>
  <c r="E16" i="11"/>
  <c r="B16" i="11"/>
  <c r="U15" i="11"/>
  <c r="V15" i="11" s="1"/>
  <c r="W15" i="11" s="1"/>
  <c r="T15" i="11"/>
  <c r="S15" i="11"/>
  <c r="I15" i="11"/>
  <c r="H15" i="11"/>
  <c r="G15" i="11"/>
  <c r="F15" i="11"/>
  <c r="E15" i="11"/>
  <c r="B15" i="11"/>
  <c r="T14" i="11"/>
  <c r="S14" i="11"/>
  <c r="U14" i="11" s="1"/>
  <c r="V14" i="11" s="1"/>
  <c r="W14" i="11" s="1"/>
  <c r="I14" i="11"/>
  <c r="H14" i="11"/>
  <c r="G14" i="11"/>
  <c r="F14" i="11"/>
  <c r="E14" i="11"/>
  <c r="B14" i="11"/>
  <c r="T13" i="11"/>
  <c r="S13" i="11"/>
  <c r="U13" i="11" s="1"/>
  <c r="V13" i="11" s="1"/>
  <c r="W13" i="11" s="1"/>
  <c r="I13" i="11"/>
  <c r="H13" i="11"/>
  <c r="G13" i="11"/>
  <c r="F13" i="11"/>
  <c r="E13" i="11"/>
  <c r="B13" i="11"/>
  <c r="U12" i="11"/>
  <c r="V12" i="11" s="1"/>
  <c r="W12" i="11" s="1"/>
  <c r="T12" i="11"/>
  <c r="S12" i="11"/>
  <c r="I12" i="11"/>
  <c r="H12" i="11"/>
  <c r="G12" i="11"/>
  <c r="F12" i="11"/>
  <c r="E12" i="11"/>
  <c r="B12" i="11"/>
  <c r="T11" i="11"/>
  <c r="S11" i="11"/>
  <c r="U11" i="11" s="1"/>
  <c r="V11" i="11" s="1"/>
  <c r="W11" i="11" s="1"/>
  <c r="I11" i="11"/>
  <c r="H11" i="11"/>
  <c r="G11" i="11"/>
  <c r="F11" i="11"/>
  <c r="E11" i="11"/>
  <c r="B11" i="11"/>
  <c r="T10" i="11"/>
  <c r="S10" i="11"/>
  <c r="U10" i="11" s="1"/>
  <c r="V10" i="11" s="1"/>
  <c r="W10" i="11" s="1"/>
  <c r="I10" i="11"/>
  <c r="H10" i="11"/>
  <c r="G10" i="11"/>
  <c r="F10" i="11"/>
  <c r="E10" i="11"/>
  <c r="B10" i="11"/>
  <c r="T9" i="11"/>
  <c r="S9" i="11"/>
  <c r="U9" i="11" s="1"/>
  <c r="W9" i="11" s="1"/>
  <c r="I9" i="11"/>
  <c r="H9" i="11"/>
  <c r="G9" i="11"/>
  <c r="F9" i="11"/>
  <c r="E9" i="11"/>
  <c r="B9" i="11"/>
  <c r="T8" i="11"/>
  <c r="S8" i="11"/>
  <c r="U8" i="11" s="1"/>
  <c r="V8" i="11" s="1"/>
  <c r="W8" i="11" s="1"/>
  <c r="I8" i="11"/>
  <c r="H8" i="11"/>
  <c r="G8" i="11"/>
  <c r="F8" i="11"/>
  <c r="E8" i="11"/>
  <c r="B8" i="11"/>
  <c r="U7" i="11"/>
  <c r="V7" i="11" s="1"/>
  <c r="W7" i="11" s="1"/>
  <c r="T7" i="11"/>
  <c r="S7" i="11"/>
  <c r="I7" i="11"/>
  <c r="H7" i="11"/>
  <c r="G7" i="11"/>
  <c r="F7" i="11"/>
  <c r="E7" i="11"/>
  <c r="B7" i="11"/>
  <c r="T6" i="11"/>
  <c r="S6" i="11"/>
  <c r="U6" i="11" s="1"/>
  <c r="W6" i="11" s="1"/>
  <c r="I6" i="11"/>
  <c r="H6" i="11"/>
  <c r="G6" i="11"/>
  <c r="F6" i="11"/>
  <c r="E6" i="11"/>
  <c r="B6" i="11"/>
  <c r="T5" i="11"/>
  <c r="S5" i="11"/>
  <c r="U5" i="11" s="1"/>
  <c r="W5" i="11" s="1"/>
  <c r="I5" i="11"/>
  <c r="H5" i="11"/>
  <c r="G5" i="11"/>
  <c r="F5" i="11"/>
  <c r="E5" i="11"/>
  <c r="B5" i="11"/>
  <c r="U4" i="11"/>
  <c r="W4" i="11" s="1"/>
  <c r="T4" i="11"/>
  <c r="S4" i="11"/>
  <c r="I4" i="11"/>
  <c r="H4" i="11"/>
  <c r="G4" i="11"/>
  <c r="F4" i="11"/>
  <c r="E4" i="11"/>
  <c r="B4" i="11"/>
  <c r="T3" i="11"/>
  <c r="S3" i="11"/>
  <c r="U3" i="11" s="1"/>
  <c r="W3" i="11" s="1"/>
  <c r="I3" i="11"/>
  <c r="H3" i="11"/>
  <c r="G3" i="11"/>
  <c r="F3" i="11"/>
  <c r="E3" i="11"/>
  <c r="B3" i="11"/>
  <c r="T2" i="11"/>
  <c r="S2" i="11"/>
  <c r="U2" i="11" s="1"/>
  <c r="W2" i="11" s="1"/>
  <c r="I2" i="11"/>
  <c r="H2" i="11"/>
  <c r="G2" i="11"/>
  <c r="F2" i="11"/>
  <c r="E2" i="11"/>
  <c r="B2" i="11"/>
  <c r="K612" i="10"/>
  <c r="J612" i="10"/>
  <c r="H612" i="10"/>
  <c r="C612" i="10" a="1"/>
  <c r="C612" i="10" s="1"/>
  <c r="E612" i="10" s="1"/>
  <c r="K611" i="10"/>
  <c r="J611" i="10"/>
  <c r="H611" i="10"/>
  <c r="C611" i="10" a="1"/>
  <c r="C611" i="10" s="1"/>
  <c r="K610" i="10"/>
  <c r="J610" i="10"/>
  <c r="H610" i="10"/>
  <c r="C610" i="10" a="1"/>
  <c r="C610" i="10" s="1"/>
  <c r="K609" i="10"/>
  <c r="J609" i="10"/>
  <c r="H609" i="10"/>
  <c r="C609" i="10" a="1"/>
  <c r="C609" i="10" s="1"/>
  <c r="E609" i="10" s="1"/>
  <c r="K608" i="10"/>
  <c r="J608" i="10"/>
  <c r="H608" i="10"/>
  <c r="C608" i="10" a="1"/>
  <c r="C608" i="10" s="1"/>
  <c r="K607" i="10"/>
  <c r="J607" i="10"/>
  <c r="H607" i="10"/>
  <c r="C607" i="10" a="1"/>
  <c r="C607" i="10" s="1"/>
  <c r="K606" i="10"/>
  <c r="J606" i="10"/>
  <c r="H606" i="10"/>
  <c r="C606" i="10" a="1"/>
  <c r="C606" i="10" s="1"/>
  <c r="E606" i="10" s="1"/>
  <c r="K605" i="10"/>
  <c r="J605" i="10"/>
  <c r="H605" i="10"/>
  <c r="C605" i="10" a="1"/>
  <c r="C605" i="10" s="1"/>
  <c r="K604" i="10"/>
  <c r="J604" i="10"/>
  <c r="H604" i="10"/>
  <c r="C604" i="10" a="1"/>
  <c r="C604" i="10" s="1"/>
  <c r="K603" i="10"/>
  <c r="J603" i="10"/>
  <c r="H603" i="10"/>
  <c r="C603" i="10" a="1"/>
  <c r="C603" i="10" s="1"/>
  <c r="E603" i="10" s="1"/>
  <c r="K602" i="10"/>
  <c r="J602" i="10"/>
  <c r="H602" i="10"/>
  <c r="C602" i="10" a="1"/>
  <c r="C602" i="10" s="1"/>
  <c r="K601" i="10"/>
  <c r="J601" i="10"/>
  <c r="H601" i="10"/>
  <c r="C601" i="10" a="1"/>
  <c r="C601" i="10" s="1"/>
  <c r="K600" i="10"/>
  <c r="J600" i="10"/>
  <c r="H600" i="10"/>
  <c r="C600" i="10" a="1"/>
  <c r="C600" i="10" s="1"/>
  <c r="E600" i="10" s="1"/>
  <c r="K599" i="10"/>
  <c r="J599" i="10"/>
  <c r="H599" i="10"/>
  <c r="C599" i="10" a="1"/>
  <c r="C599" i="10" s="1"/>
  <c r="K598" i="10"/>
  <c r="J598" i="10"/>
  <c r="H598" i="10"/>
  <c r="C598" i="10" a="1"/>
  <c r="C598" i="10" s="1"/>
  <c r="K597" i="10"/>
  <c r="J597" i="10"/>
  <c r="H597" i="10"/>
  <c r="C597" i="10" a="1"/>
  <c r="C597" i="10" s="1"/>
  <c r="E597" i="10" s="1"/>
  <c r="K596" i="10"/>
  <c r="J596" i="10"/>
  <c r="H596" i="10"/>
  <c r="C596" i="10" a="1"/>
  <c r="C596" i="10" s="1"/>
  <c r="K595" i="10"/>
  <c r="J595" i="10"/>
  <c r="H595" i="10"/>
  <c r="C595" i="10" a="1"/>
  <c r="C595" i="10" s="1"/>
  <c r="K594" i="10"/>
  <c r="J594" i="10"/>
  <c r="H594" i="10"/>
  <c r="C594" i="10" a="1"/>
  <c r="C594" i="10" s="1"/>
  <c r="E594" i="10" s="1"/>
  <c r="K593" i="10"/>
  <c r="J593" i="10"/>
  <c r="H593" i="10"/>
  <c r="C593" i="10" a="1"/>
  <c r="C593" i="10" s="1"/>
  <c r="K592" i="10"/>
  <c r="J592" i="10"/>
  <c r="H592" i="10"/>
  <c r="C592" i="10" a="1"/>
  <c r="C592" i="10" s="1"/>
  <c r="K591" i="10"/>
  <c r="J591" i="10"/>
  <c r="H591" i="10"/>
  <c r="C591" i="10" a="1"/>
  <c r="C591" i="10" s="1"/>
  <c r="E591" i="10" s="1"/>
  <c r="K590" i="10"/>
  <c r="J590" i="10"/>
  <c r="H590" i="10"/>
  <c r="C590" i="10" a="1"/>
  <c r="C590" i="10" s="1"/>
  <c r="K589" i="10"/>
  <c r="J589" i="10"/>
  <c r="H589" i="10"/>
  <c r="C589" i="10" a="1"/>
  <c r="C589" i="10" s="1"/>
  <c r="K588" i="10"/>
  <c r="J588" i="10"/>
  <c r="H588" i="10"/>
  <c r="C588" i="10" a="1"/>
  <c r="C588" i="10" s="1"/>
  <c r="E588" i="10" s="1"/>
  <c r="K587" i="10"/>
  <c r="J587" i="10"/>
  <c r="H587" i="10"/>
  <c r="C587" i="10" a="1"/>
  <c r="C587" i="10" s="1"/>
  <c r="K586" i="10"/>
  <c r="J586" i="10"/>
  <c r="H586" i="10"/>
  <c r="C586" i="10" a="1"/>
  <c r="C586" i="10" s="1"/>
  <c r="K585" i="10"/>
  <c r="J585" i="10"/>
  <c r="H585" i="10"/>
  <c r="C585" i="10" a="1"/>
  <c r="C585" i="10" s="1"/>
  <c r="E585" i="10" s="1"/>
  <c r="K584" i="10"/>
  <c r="J584" i="10"/>
  <c r="H584" i="10"/>
  <c r="C584" i="10" a="1"/>
  <c r="C584" i="10" s="1"/>
  <c r="K583" i="10"/>
  <c r="J583" i="10"/>
  <c r="H583" i="10"/>
  <c r="C583" i="10" a="1"/>
  <c r="C583" i="10" s="1"/>
  <c r="K582" i="10"/>
  <c r="J582" i="10"/>
  <c r="H582" i="10"/>
  <c r="C582" i="10" a="1"/>
  <c r="C582" i="10" s="1"/>
  <c r="E582" i="10" s="1"/>
  <c r="K581" i="10"/>
  <c r="J581" i="10"/>
  <c r="H581" i="10"/>
  <c r="C581" i="10" a="1"/>
  <c r="C581" i="10" s="1"/>
  <c r="K580" i="10"/>
  <c r="J580" i="10"/>
  <c r="H580" i="10"/>
  <c r="C580" i="10" a="1"/>
  <c r="C580" i="10" s="1"/>
  <c r="K579" i="10"/>
  <c r="J579" i="10"/>
  <c r="H579" i="10"/>
  <c r="C579" i="10" a="1"/>
  <c r="C579" i="10" s="1"/>
  <c r="E579" i="10" s="1"/>
  <c r="K578" i="10"/>
  <c r="J578" i="10"/>
  <c r="H578" i="10"/>
  <c r="C578" i="10" a="1"/>
  <c r="C578" i="10" s="1"/>
  <c r="K577" i="10"/>
  <c r="J577" i="10"/>
  <c r="H577" i="10"/>
  <c r="C577" i="10" a="1"/>
  <c r="C577" i="10" s="1"/>
  <c r="K576" i="10"/>
  <c r="J576" i="10"/>
  <c r="H576" i="10"/>
  <c r="C576" i="10" a="1"/>
  <c r="C576" i="10" s="1"/>
  <c r="E576" i="10" s="1"/>
  <c r="K575" i="10"/>
  <c r="J575" i="10"/>
  <c r="H575" i="10"/>
  <c r="C575" i="10" a="1"/>
  <c r="C575" i="10" s="1"/>
  <c r="K574" i="10"/>
  <c r="J574" i="10"/>
  <c r="H574" i="10"/>
  <c r="C574" i="10" a="1"/>
  <c r="C574" i="10" s="1"/>
  <c r="K573" i="10"/>
  <c r="J573" i="10"/>
  <c r="H573" i="10"/>
  <c r="C573" i="10" a="1"/>
  <c r="C573" i="10" s="1"/>
  <c r="E573" i="10" s="1"/>
  <c r="K572" i="10"/>
  <c r="J572" i="10"/>
  <c r="H572" i="10"/>
  <c r="C572" i="10" a="1"/>
  <c r="C572" i="10" s="1"/>
  <c r="K571" i="10"/>
  <c r="J571" i="10"/>
  <c r="H571" i="10"/>
  <c r="C571" i="10" a="1"/>
  <c r="C571" i="10" s="1"/>
  <c r="K570" i="10"/>
  <c r="J570" i="10"/>
  <c r="H570" i="10"/>
  <c r="C570" i="10" a="1"/>
  <c r="C570" i="10" s="1"/>
  <c r="E570" i="10" s="1"/>
  <c r="K569" i="10"/>
  <c r="J569" i="10"/>
  <c r="H569" i="10"/>
  <c r="C569" i="10" a="1"/>
  <c r="C569" i="10" s="1"/>
  <c r="K568" i="10"/>
  <c r="J568" i="10"/>
  <c r="H568" i="10"/>
  <c r="C568" i="10" a="1"/>
  <c r="C568" i="10" s="1"/>
  <c r="K567" i="10"/>
  <c r="J567" i="10"/>
  <c r="H567" i="10"/>
  <c r="C567" i="10" a="1"/>
  <c r="C567" i="10" s="1"/>
  <c r="E567" i="10" s="1"/>
  <c r="K566" i="10"/>
  <c r="J566" i="10"/>
  <c r="H566" i="10"/>
  <c r="C566" i="10" a="1"/>
  <c r="C566" i="10" s="1"/>
  <c r="K565" i="10"/>
  <c r="J565" i="10"/>
  <c r="H565" i="10"/>
  <c r="C565" i="10" a="1"/>
  <c r="C565" i="10" s="1"/>
  <c r="K564" i="10"/>
  <c r="J564" i="10"/>
  <c r="H564" i="10"/>
  <c r="C564" i="10" a="1"/>
  <c r="C564" i="10" s="1"/>
  <c r="E564" i="10" s="1"/>
  <c r="K563" i="10"/>
  <c r="J563" i="10"/>
  <c r="H563" i="10"/>
  <c r="C563" i="10" a="1"/>
  <c r="C563" i="10" s="1"/>
  <c r="K562" i="10"/>
  <c r="J562" i="10"/>
  <c r="H562" i="10"/>
  <c r="C562" i="10" a="1"/>
  <c r="C562" i="10" s="1"/>
  <c r="K561" i="10"/>
  <c r="J561" i="10"/>
  <c r="H561" i="10"/>
  <c r="C561" i="10" a="1"/>
  <c r="C561" i="10" s="1"/>
  <c r="E561" i="10" s="1"/>
  <c r="Q560" i="10"/>
  <c r="K560" i="10"/>
  <c r="J560" i="10"/>
  <c r="H560" i="10"/>
  <c r="Q559" i="10"/>
  <c r="K559" i="10"/>
  <c r="J559" i="10"/>
  <c r="H559" i="10"/>
  <c r="Q558" i="10"/>
  <c r="K558" i="10"/>
  <c r="J558" i="10"/>
  <c r="H558" i="10"/>
  <c r="Q557" i="10"/>
  <c r="K557" i="10"/>
  <c r="J557" i="10"/>
  <c r="H557" i="10"/>
  <c r="Q556" i="10"/>
  <c r="K556" i="10"/>
  <c r="J556" i="10"/>
  <c r="H556" i="10"/>
  <c r="K555" i="10"/>
  <c r="J555" i="10"/>
  <c r="H555" i="10"/>
  <c r="K554" i="10"/>
  <c r="J554" i="10"/>
  <c r="H554" i="10"/>
  <c r="K553" i="10"/>
  <c r="J553" i="10"/>
  <c r="H553" i="10"/>
  <c r="C553" i="10" a="1"/>
  <c r="C553" i="10" s="1"/>
  <c r="K552" i="10"/>
  <c r="J552" i="10"/>
  <c r="H552" i="10"/>
  <c r="K551" i="10"/>
  <c r="J551" i="10"/>
  <c r="H551" i="10"/>
  <c r="C551" i="10" a="1"/>
  <c r="C551" i="10" s="1"/>
  <c r="K550" i="10"/>
  <c r="J550" i="10"/>
  <c r="H550" i="10"/>
  <c r="Q549" i="10"/>
  <c r="K549" i="10"/>
  <c r="J549" i="10"/>
  <c r="H549" i="10"/>
  <c r="C549" i="10" a="1"/>
  <c r="C549" i="10" s="1"/>
  <c r="Q548" i="10"/>
  <c r="K548" i="10"/>
  <c r="J548" i="10"/>
  <c r="H548" i="10"/>
  <c r="K547" i="10"/>
  <c r="J547" i="10"/>
  <c r="H547" i="10"/>
  <c r="J546" i="10"/>
  <c r="H546" i="10"/>
  <c r="K545" i="10"/>
  <c r="J545" i="10"/>
  <c r="H545" i="10"/>
  <c r="K544" i="10"/>
  <c r="J544" i="10"/>
  <c r="H544" i="10"/>
  <c r="K543" i="10"/>
  <c r="J543" i="10"/>
  <c r="H543" i="10"/>
  <c r="K542" i="10"/>
  <c r="J542" i="10"/>
  <c r="H542" i="10"/>
  <c r="C542" i="10" a="1"/>
  <c r="C542" i="10" s="1"/>
  <c r="K541" i="10"/>
  <c r="J541" i="10"/>
  <c r="H541" i="10"/>
  <c r="K540" i="10"/>
  <c r="J540" i="10"/>
  <c r="H540" i="10"/>
  <c r="K539" i="10"/>
  <c r="J539" i="10"/>
  <c r="H539" i="10"/>
  <c r="J538" i="10"/>
  <c r="H538" i="10"/>
  <c r="K537" i="10"/>
  <c r="J537" i="10"/>
  <c r="H537" i="10"/>
  <c r="J536" i="10"/>
  <c r="H536" i="10"/>
  <c r="K535" i="10"/>
  <c r="J535" i="10"/>
  <c r="H535" i="10"/>
  <c r="Q534" i="10"/>
  <c r="K534" i="10"/>
  <c r="J534" i="10"/>
  <c r="H534" i="10"/>
  <c r="Q533" i="10"/>
  <c r="K533" i="10"/>
  <c r="J533" i="10"/>
  <c r="H533" i="10"/>
  <c r="K532" i="10"/>
  <c r="J532" i="10"/>
  <c r="H532" i="10"/>
  <c r="K531" i="10"/>
  <c r="J531" i="10"/>
  <c r="H531" i="10"/>
  <c r="K530" i="10"/>
  <c r="J530" i="10"/>
  <c r="H530" i="10"/>
  <c r="K529" i="10"/>
  <c r="J529" i="10"/>
  <c r="H529" i="10"/>
  <c r="K528" i="10"/>
  <c r="J528" i="10"/>
  <c r="H528" i="10"/>
  <c r="K527" i="10"/>
  <c r="J527" i="10"/>
  <c r="H527" i="10"/>
  <c r="K526" i="10"/>
  <c r="J526" i="10"/>
  <c r="H526" i="10"/>
  <c r="K525" i="10"/>
  <c r="J525" i="10"/>
  <c r="H525" i="10"/>
  <c r="K524" i="10"/>
  <c r="J524" i="10"/>
  <c r="H524" i="10"/>
  <c r="K523" i="10"/>
  <c r="J523" i="10"/>
  <c r="H523" i="10"/>
  <c r="K522" i="10"/>
  <c r="J522" i="10"/>
  <c r="H522" i="10"/>
  <c r="K521" i="10"/>
  <c r="J521" i="10"/>
  <c r="H521" i="10"/>
  <c r="K520" i="10"/>
  <c r="J520" i="10"/>
  <c r="H520" i="10"/>
  <c r="J519" i="10"/>
  <c r="H519" i="10"/>
  <c r="K518" i="10"/>
  <c r="J518" i="10"/>
  <c r="H518" i="10"/>
  <c r="J517" i="10"/>
  <c r="H517" i="10"/>
  <c r="K516" i="10"/>
  <c r="J516" i="10"/>
  <c r="H516" i="10"/>
  <c r="Q515" i="10"/>
  <c r="K515" i="10"/>
  <c r="J515" i="10"/>
  <c r="H515" i="10"/>
  <c r="Q514" i="10"/>
  <c r="K514" i="10"/>
  <c r="J514" i="10"/>
  <c r="H514" i="10"/>
  <c r="K513" i="10"/>
  <c r="J513" i="10"/>
  <c r="H513" i="10"/>
  <c r="K512" i="10"/>
  <c r="J512" i="10"/>
  <c r="H512" i="10"/>
  <c r="K511" i="10"/>
  <c r="J511" i="10"/>
  <c r="H511" i="10"/>
  <c r="K510" i="10"/>
  <c r="J510" i="10"/>
  <c r="H510" i="10"/>
  <c r="K509" i="10"/>
  <c r="J509" i="10"/>
  <c r="H509" i="10"/>
  <c r="K508" i="10"/>
  <c r="J508" i="10"/>
  <c r="H508" i="10"/>
  <c r="K507" i="10"/>
  <c r="J507" i="10"/>
  <c r="H507" i="10"/>
  <c r="K506" i="10"/>
  <c r="J506" i="10"/>
  <c r="H506" i="10"/>
  <c r="K505" i="10"/>
  <c r="J505" i="10"/>
  <c r="H505" i="10"/>
  <c r="K504" i="10"/>
  <c r="J504" i="10"/>
  <c r="H504" i="10"/>
  <c r="K503" i="10"/>
  <c r="J503" i="10"/>
  <c r="H503" i="10"/>
  <c r="K502" i="10"/>
  <c r="J502" i="10"/>
  <c r="H502" i="10"/>
  <c r="K501" i="10"/>
  <c r="J501" i="10"/>
  <c r="H501" i="10"/>
  <c r="K500" i="10"/>
  <c r="J500" i="10"/>
  <c r="H500" i="10"/>
  <c r="K499" i="10"/>
  <c r="J499" i="10"/>
  <c r="H499" i="10"/>
  <c r="AK498" i="10"/>
  <c r="K498" i="10"/>
  <c r="J498" i="10"/>
  <c r="H498" i="10"/>
  <c r="K497" i="10"/>
  <c r="J497" i="10"/>
  <c r="H497" i="10"/>
  <c r="K496" i="10"/>
  <c r="J496" i="10"/>
  <c r="H496" i="10"/>
  <c r="K495" i="10"/>
  <c r="J495" i="10"/>
  <c r="H495" i="10"/>
  <c r="K494" i="10"/>
  <c r="J494" i="10"/>
  <c r="H494" i="10"/>
  <c r="K493" i="10"/>
  <c r="J493" i="10"/>
  <c r="H493" i="10"/>
  <c r="K492" i="10"/>
  <c r="J492" i="10"/>
  <c r="H492" i="10"/>
  <c r="K491" i="10"/>
  <c r="J491" i="10"/>
  <c r="H491" i="10"/>
  <c r="K490" i="10"/>
  <c r="J490" i="10"/>
  <c r="H490" i="10"/>
  <c r="J489" i="10"/>
  <c r="H489" i="10"/>
  <c r="K488" i="10"/>
  <c r="J488" i="10"/>
  <c r="H488" i="10"/>
  <c r="J487" i="10"/>
  <c r="H487" i="10"/>
  <c r="K486" i="10"/>
  <c r="J486" i="10"/>
  <c r="H486" i="10"/>
  <c r="K485" i="10"/>
  <c r="J485" i="10"/>
  <c r="H485" i="10"/>
  <c r="Q484" i="10"/>
  <c r="K484" i="10"/>
  <c r="J484" i="10"/>
  <c r="H484" i="10"/>
  <c r="Q483" i="10"/>
  <c r="K483" i="10"/>
  <c r="J483" i="10"/>
  <c r="H483" i="10"/>
  <c r="K482" i="10"/>
  <c r="J482" i="10"/>
  <c r="H482" i="10"/>
  <c r="AK481" i="10"/>
  <c r="K481" i="10"/>
  <c r="J481" i="10"/>
  <c r="H481" i="10"/>
  <c r="K480" i="10"/>
  <c r="J480" i="10"/>
  <c r="H480" i="10"/>
  <c r="K479" i="10"/>
  <c r="J479" i="10"/>
  <c r="H479" i="10"/>
  <c r="K478" i="10"/>
  <c r="J478" i="10"/>
  <c r="H478" i="10"/>
  <c r="K477" i="10"/>
  <c r="J477" i="10"/>
  <c r="H477" i="10"/>
  <c r="K476" i="10"/>
  <c r="J476" i="10"/>
  <c r="H476" i="10"/>
  <c r="K475" i="10"/>
  <c r="J475" i="10"/>
  <c r="H475" i="10"/>
  <c r="K474" i="10"/>
  <c r="J474" i="10"/>
  <c r="H474" i="10"/>
  <c r="AK473" i="10"/>
  <c r="K473" i="10"/>
  <c r="J473" i="10"/>
  <c r="H473" i="10"/>
  <c r="K472" i="10"/>
  <c r="J472" i="10"/>
  <c r="H472" i="10"/>
  <c r="K471" i="10"/>
  <c r="J471" i="10"/>
  <c r="H471" i="10"/>
  <c r="K470" i="10"/>
  <c r="J470" i="10"/>
  <c r="H470" i="10"/>
  <c r="K469" i="10"/>
  <c r="J469" i="10"/>
  <c r="H469" i="10"/>
  <c r="K468" i="10"/>
  <c r="J468" i="10"/>
  <c r="H468" i="10"/>
  <c r="K467" i="10"/>
  <c r="J467" i="10"/>
  <c r="H467" i="10"/>
  <c r="K466" i="10"/>
  <c r="J466" i="10"/>
  <c r="H466" i="10"/>
  <c r="K465" i="10"/>
  <c r="J465" i="10"/>
  <c r="H465" i="10"/>
  <c r="K464" i="10"/>
  <c r="J464" i="10"/>
  <c r="H464" i="10"/>
  <c r="K463" i="10"/>
  <c r="J463" i="10"/>
  <c r="H463" i="10"/>
  <c r="K462" i="10"/>
  <c r="J462" i="10"/>
  <c r="H462" i="10"/>
  <c r="AK461" i="10"/>
  <c r="K461" i="10"/>
  <c r="J461" i="10"/>
  <c r="H461" i="10"/>
  <c r="K460" i="10"/>
  <c r="J460" i="10"/>
  <c r="H460" i="10"/>
  <c r="K459" i="10"/>
  <c r="J459" i="10"/>
  <c r="H459" i="10"/>
  <c r="K458" i="10"/>
  <c r="J458" i="10"/>
  <c r="H458" i="10"/>
  <c r="K457" i="10"/>
  <c r="J457" i="10"/>
  <c r="H457" i="10"/>
  <c r="K456" i="10"/>
  <c r="J456" i="10"/>
  <c r="H456" i="10"/>
  <c r="K455" i="10"/>
  <c r="J455" i="10"/>
  <c r="H455" i="10"/>
  <c r="K454" i="10"/>
  <c r="J454" i="10"/>
  <c r="H454" i="10"/>
  <c r="K453" i="10"/>
  <c r="J453" i="10"/>
  <c r="H453" i="10"/>
  <c r="K452" i="10"/>
  <c r="J452" i="10"/>
  <c r="H452" i="10"/>
  <c r="K451" i="10"/>
  <c r="J451" i="10"/>
  <c r="H451" i="10"/>
  <c r="J450" i="10"/>
  <c r="H450" i="10"/>
  <c r="K449" i="10"/>
  <c r="J449" i="10"/>
  <c r="H449" i="10"/>
  <c r="K448" i="10"/>
  <c r="J448" i="10"/>
  <c r="H448" i="10"/>
  <c r="K447" i="10"/>
  <c r="J447" i="10"/>
  <c r="H447" i="10"/>
  <c r="J446" i="10"/>
  <c r="H446" i="10"/>
  <c r="K445" i="10"/>
  <c r="J445" i="10"/>
  <c r="H445" i="10"/>
  <c r="J444" i="10"/>
  <c r="H444" i="10"/>
  <c r="K443" i="10"/>
  <c r="J443" i="10"/>
  <c r="H443" i="10"/>
  <c r="K442" i="10"/>
  <c r="J442" i="10"/>
  <c r="H442" i="10"/>
  <c r="K441" i="10"/>
  <c r="J441" i="10"/>
  <c r="H441" i="10"/>
  <c r="K440" i="10"/>
  <c r="J440" i="10"/>
  <c r="H440" i="10"/>
  <c r="AK439" i="10"/>
  <c r="K439" i="10"/>
  <c r="J439" i="10"/>
  <c r="H439" i="10"/>
  <c r="K438" i="10"/>
  <c r="J438" i="10"/>
  <c r="H438" i="10"/>
  <c r="J437" i="10"/>
  <c r="H437" i="10"/>
  <c r="AK436" i="10"/>
  <c r="K436" i="10"/>
  <c r="J436" i="10"/>
  <c r="H436" i="10"/>
  <c r="K435" i="10"/>
  <c r="J435" i="10"/>
  <c r="H435" i="10"/>
  <c r="K434" i="10"/>
  <c r="J434" i="10"/>
  <c r="H434" i="10"/>
  <c r="K433" i="10"/>
  <c r="J433" i="10"/>
  <c r="H433" i="10"/>
  <c r="Q432" i="10"/>
  <c r="K432" i="10"/>
  <c r="J432" i="10"/>
  <c r="H432" i="10"/>
  <c r="Q431" i="10"/>
  <c r="K431" i="10"/>
  <c r="J431" i="10"/>
  <c r="H431" i="10"/>
  <c r="K430" i="10"/>
  <c r="J430" i="10"/>
  <c r="H430" i="10"/>
  <c r="K429" i="10"/>
  <c r="J429" i="10"/>
  <c r="H429" i="10"/>
  <c r="K428" i="10"/>
  <c r="J428" i="10"/>
  <c r="H428" i="10"/>
  <c r="K427" i="10"/>
  <c r="J427" i="10"/>
  <c r="H427" i="10"/>
  <c r="K426" i="10"/>
  <c r="J426" i="10"/>
  <c r="H426" i="10"/>
  <c r="K425" i="10"/>
  <c r="J425" i="10"/>
  <c r="H425" i="10"/>
  <c r="K424" i="10"/>
  <c r="J424" i="10"/>
  <c r="H424" i="10"/>
  <c r="K423" i="10"/>
  <c r="J423" i="10"/>
  <c r="H423" i="10"/>
  <c r="K422" i="10"/>
  <c r="J422" i="10"/>
  <c r="H422" i="10"/>
  <c r="K421" i="10"/>
  <c r="J421" i="10"/>
  <c r="H421" i="10"/>
  <c r="K420" i="10"/>
  <c r="J420" i="10"/>
  <c r="H420" i="10"/>
  <c r="K419" i="10"/>
  <c r="J419" i="10"/>
  <c r="H419" i="10"/>
  <c r="K418" i="10"/>
  <c r="J418" i="10"/>
  <c r="H418" i="10"/>
  <c r="K417" i="10"/>
  <c r="J417" i="10"/>
  <c r="H417" i="10"/>
  <c r="K416" i="10"/>
  <c r="J416" i="10"/>
  <c r="H416" i="10"/>
  <c r="AH415" i="10"/>
  <c r="K415" i="10"/>
  <c r="J415" i="10"/>
  <c r="H415" i="10"/>
  <c r="K414" i="10"/>
  <c r="J414" i="10"/>
  <c r="H414" i="10"/>
  <c r="K413" i="10"/>
  <c r="J413" i="10"/>
  <c r="H413" i="10"/>
  <c r="K412" i="10"/>
  <c r="J412" i="10"/>
  <c r="H412" i="10"/>
  <c r="K411" i="10"/>
  <c r="J411" i="10"/>
  <c r="H411" i="10"/>
  <c r="J410" i="10"/>
  <c r="H410" i="10"/>
  <c r="K409" i="10"/>
  <c r="J409" i="10"/>
  <c r="H409" i="10"/>
  <c r="AH408" i="10"/>
  <c r="K408" i="10"/>
  <c r="J408" i="10"/>
  <c r="H408" i="10"/>
  <c r="K407" i="10"/>
  <c r="J407" i="10"/>
  <c r="H407" i="10"/>
  <c r="K406" i="10"/>
  <c r="J406" i="10"/>
  <c r="H406" i="10"/>
  <c r="AH405" i="10"/>
  <c r="K405" i="10"/>
  <c r="J405" i="10"/>
  <c r="H405" i="10"/>
  <c r="AH404" i="10"/>
  <c r="K404" i="10"/>
  <c r="J404" i="10"/>
  <c r="H404" i="10"/>
  <c r="K403" i="10"/>
  <c r="J403" i="10"/>
  <c r="H403" i="10"/>
  <c r="K402" i="10"/>
  <c r="J402" i="10"/>
  <c r="H402" i="10"/>
  <c r="AH401" i="10"/>
  <c r="K401" i="10"/>
  <c r="J401" i="10"/>
  <c r="H401" i="10"/>
  <c r="K400" i="10"/>
  <c r="J400" i="10"/>
  <c r="H400" i="10"/>
  <c r="K399" i="10"/>
  <c r="J399" i="10"/>
  <c r="H399" i="10"/>
  <c r="K398" i="10"/>
  <c r="J398" i="10"/>
  <c r="H398" i="10"/>
  <c r="K397" i="10"/>
  <c r="J397" i="10"/>
  <c r="H397" i="10"/>
  <c r="K396" i="10"/>
  <c r="J396" i="10"/>
  <c r="H396" i="10"/>
  <c r="AH395" i="10"/>
  <c r="K395" i="10"/>
  <c r="J395" i="10"/>
  <c r="H395" i="10"/>
  <c r="AH394" i="10"/>
  <c r="K394" i="10"/>
  <c r="J394" i="10"/>
  <c r="H394" i="10"/>
  <c r="K393" i="10"/>
  <c r="J393" i="10"/>
  <c r="H393" i="10"/>
  <c r="K392" i="10"/>
  <c r="J392" i="10"/>
  <c r="H392" i="10"/>
  <c r="K391" i="10"/>
  <c r="J391" i="10"/>
  <c r="H391" i="10"/>
  <c r="K390" i="10"/>
  <c r="J390" i="10"/>
  <c r="H390" i="10"/>
  <c r="K389" i="10"/>
  <c r="J389" i="10"/>
  <c r="H389" i="10"/>
  <c r="K388" i="10"/>
  <c r="J388" i="10"/>
  <c r="H388" i="10"/>
  <c r="K387" i="10"/>
  <c r="J387" i="10"/>
  <c r="H387" i="10"/>
  <c r="K386" i="10"/>
  <c r="J386" i="10"/>
  <c r="H386" i="10"/>
  <c r="K385" i="10"/>
  <c r="J385" i="10"/>
  <c r="H385" i="10"/>
  <c r="J384" i="10"/>
  <c r="H384" i="10"/>
  <c r="K383" i="10"/>
  <c r="J383" i="10"/>
  <c r="H383" i="10"/>
  <c r="K382" i="10"/>
  <c r="J382" i="10"/>
  <c r="H382" i="10"/>
  <c r="K381" i="10"/>
  <c r="J381" i="10"/>
  <c r="H381" i="10"/>
  <c r="AH380" i="10"/>
  <c r="K380" i="10"/>
  <c r="J380" i="10"/>
  <c r="H380" i="10"/>
  <c r="K379" i="10"/>
  <c r="J379" i="10"/>
  <c r="H379" i="10"/>
  <c r="K378" i="10"/>
  <c r="J378" i="10"/>
  <c r="H378" i="10"/>
  <c r="K377" i="10"/>
  <c r="J377" i="10"/>
  <c r="H377" i="10"/>
  <c r="K376" i="10"/>
  <c r="J376" i="10"/>
  <c r="H376" i="10"/>
  <c r="K375" i="10"/>
  <c r="J375" i="10"/>
  <c r="H375" i="10"/>
  <c r="K374" i="10"/>
  <c r="J374" i="10"/>
  <c r="H374" i="10"/>
  <c r="AH373" i="10"/>
  <c r="J373" i="10"/>
  <c r="H373" i="10"/>
  <c r="AH372" i="10"/>
  <c r="J372" i="10"/>
  <c r="H372" i="10"/>
  <c r="K371" i="10"/>
  <c r="J371" i="10"/>
  <c r="H371" i="10"/>
  <c r="K370" i="10"/>
  <c r="J370" i="10"/>
  <c r="H370" i="10"/>
  <c r="K369" i="10"/>
  <c r="J369" i="10"/>
  <c r="H369" i="10"/>
  <c r="J368" i="10"/>
  <c r="H368" i="10"/>
  <c r="AK367" i="10"/>
  <c r="K367" i="10"/>
  <c r="J367" i="10"/>
  <c r="H367" i="10"/>
  <c r="AH366" i="10"/>
  <c r="K366" i="10"/>
  <c r="J366" i="10"/>
  <c r="H366" i="10"/>
  <c r="K365" i="10"/>
  <c r="J365" i="10"/>
  <c r="H365" i="10"/>
  <c r="K364" i="10"/>
  <c r="J364" i="10"/>
  <c r="H364" i="10"/>
  <c r="K363" i="10"/>
  <c r="J363" i="10"/>
  <c r="H363" i="10"/>
  <c r="AH362" i="10"/>
  <c r="K362" i="10"/>
  <c r="J362" i="10"/>
  <c r="H362" i="10"/>
  <c r="K361" i="10"/>
  <c r="J361" i="10"/>
  <c r="H361" i="10"/>
  <c r="K360" i="10"/>
  <c r="J360" i="10"/>
  <c r="H360" i="10"/>
  <c r="K359" i="10"/>
  <c r="J359" i="10"/>
  <c r="H359" i="10"/>
  <c r="K358" i="10"/>
  <c r="J358" i="10"/>
  <c r="H358" i="10"/>
  <c r="K357" i="10"/>
  <c r="J357" i="10"/>
  <c r="H357" i="10"/>
  <c r="AH356" i="10"/>
  <c r="K356" i="10"/>
  <c r="J356" i="10"/>
  <c r="H356" i="10"/>
  <c r="K355" i="10"/>
  <c r="J355" i="10"/>
  <c r="H355" i="10"/>
  <c r="AH354" i="10"/>
  <c r="K354" i="10"/>
  <c r="J354" i="10"/>
  <c r="H354" i="10"/>
  <c r="K353" i="10"/>
  <c r="J353" i="10"/>
  <c r="H353" i="10"/>
  <c r="AH352" i="10"/>
  <c r="K352" i="10"/>
  <c r="J352" i="10"/>
  <c r="H352" i="10"/>
  <c r="AH351" i="10"/>
  <c r="K351" i="10"/>
  <c r="J351" i="10"/>
  <c r="H351" i="10"/>
  <c r="K350" i="10"/>
  <c r="J350" i="10"/>
  <c r="H350" i="10"/>
  <c r="K349" i="10"/>
  <c r="J349" i="10"/>
  <c r="H349" i="10"/>
  <c r="AH348" i="10"/>
  <c r="K348" i="10"/>
  <c r="J348" i="10"/>
  <c r="H348" i="10"/>
  <c r="AH347" i="10"/>
  <c r="J347" i="10"/>
  <c r="H347" i="10"/>
  <c r="AH346" i="10"/>
  <c r="J346" i="10"/>
  <c r="H346" i="10"/>
  <c r="AH345" i="10"/>
  <c r="J345" i="10"/>
  <c r="H345" i="10"/>
  <c r="J344" i="10"/>
  <c r="H344" i="10"/>
  <c r="AK343" i="10"/>
  <c r="K343" i="10"/>
  <c r="J343" i="10"/>
  <c r="H343" i="10"/>
  <c r="AK342" i="10"/>
  <c r="K342" i="10"/>
  <c r="J342" i="10"/>
  <c r="H342" i="10"/>
  <c r="AK341" i="10"/>
  <c r="J341" i="10"/>
  <c r="H341" i="10"/>
  <c r="K340" i="10"/>
  <c r="J340" i="10"/>
  <c r="H340" i="10"/>
  <c r="K339" i="10"/>
  <c r="J339" i="10"/>
  <c r="H339" i="10"/>
  <c r="K338" i="10"/>
  <c r="J338" i="10"/>
  <c r="H338" i="10"/>
  <c r="K337" i="10"/>
  <c r="J337" i="10"/>
  <c r="H337" i="10"/>
  <c r="K336" i="10"/>
  <c r="J336" i="10"/>
  <c r="H336" i="10"/>
  <c r="K335" i="10"/>
  <c r="J335" i="10"/>
  <c r="H335" i="10"/>
  <c r="K334" i="10"/>
  <c r="J334" i="10"/>
  <c r="H334" i="10"/>
  <c r="K333" i="10"/>
  <c r="J333" i="10"/>
  <c r="H333" i="10"/>
  <c r="K332" i="10"/>
  <c r="J332" i="10"/>
  <c r="H332" i="10"/>
  <c r="K331" i="10"/>
  <c r="J331" i="10"/>
  <c r="H331" i="10"/>
  <c r="AH330" i="10"/>
  <c r="K330" i="10"/>
  <c r="J330" i="10"/>
  <c r="H330" i="10"/>
  <c r="AH329" i="10"/>
  <c r="K329" i="10"/>
  <c r="J329" i="10"/>
  <c r="H329" i="10"/>
  <c r="K328" i="10"/>
  <c r="J328" i="10"/>
  <c r="H328" i="10"/>
  <c r="K327" i="10"/>
  <c r="J327" i="10"/>
  <c r="H327" i="10"/>
  <c r="K326" i="10"/>
  <c r="J326" i="10"/>
  <c r="H326" i="10"/>
  <c r="K325" i="10"/>
  <c r="J325" i="10"/>
  <c r="H325" i="10"/>
  <c r="K324" i="10"/>
  <c r="J324" i="10"/>
  <c r="H324" i="10"/>
  <c r="K323" i="10"/>
  <c r="J323" i="10"/>
  <c r="H323" i="10"/>
  <c r="K322" i="10"/>
  <c r="J322" i="10"/>
  <c r="H322" i="10"/>
  <c r="K321" i="10"/>
  <c r="J321" i="10"/>
  <c r="H321" i="10"/>
  <c r="AH320" i="10"/>
  <c r="K320" i="10"/>
  <c r="J320" i="10"/>
  <c r="H320" i="10"/>
  <c r="K319" i="10"/>
  <c r="J319" i="10"/>
  <c r="H319" i="10"/>
  <c r="K318" i="10"/>
  <c r="J318" i="10"/>
  <c r="H318" i="10"/>
  <c r="K317" i="10"/>
  <c r="J317" i="10"/>
  <c r="H317" i="10"/>
  <c r="AH316" i="10"/>
  <c r="K316" i="10"/>
  <c r="J316" i="10"/>
  <c r="H316" i="10"/>
  <c r="AK315" i="10"/>
  <c r="AH315" i="10"/>
  <c r="J315" i="10"/>
  <c r="H315" i="10"/>
  <c r="AH314" i="10"/>
  <c r="J314" i="10"/>
  <c r="H314" i="10"/>
  <c r="AH313" i="10"/>
  <c r="J313" i="10"/>
  <c r="H313" i="10"/>
  <c r="K312" i="10"/>
  <c r="J312" i="10"/>
  <c r="H312" i="10"/>
  <c r="K311" i="10"/>
  <c r="J311" i="10"/>
  <c r="H311" i="10"/>
  <c r="K310" i="10"/>
  <c r="J310" i="10"/>
  <c r="H310" i="10"/>
  <c r="K309" i="10"/>
  <c r="J309" i="10"/>
  <c r="H309" i="10"/>
  <c r="K308" i="10"/>
  <c r="J308" i="10"/>
  <c r="H308" i="10"/>
  <c r="K307" i="10"/>
  <c r="J307" i="10"/>
  <c r="H307" i="10"/>
  <c r="K306" i="10"/>
  <c r="J306" i="10"/>
  <c r="H306" i="10"/>
  <c r="AH305" i="10"/>
  <c r="J305" i="10"/>
  <c r="H305" i="10"/>
  <c r="K304" i="10"/>
  <c r="J304" i="10"/>
  <c r="H304" i="10"/>
  <c r="K303" i="10"/>
  <c r="J303" i="10"/>
  <c r="H303" i="10"/>
  <c r="K302" i="10"/>
  <c r="J302" i="10"/>
  <c r="H302" i="10"/>
  <c r="K301" i="10"/>
  <c r="J301" i="10"/>
  <c r="H301" i="10"/>
  <c r="K300" i="10"/>
  <c r="J300" i="10"/>
  <c r="H300" i="10"/>
  <c r="K299" i="10"/>
  <c r="J299" i="10"/>
  <c r="H299" i="10"/>
  <c r="K298" i="10"/>
  <c r="J298" i="10"/>
  <c r="H298" i="10"/>
  <c r="K297" i="10"/>
  <c r="J297" i="10"/>
  <c r="H297" i="10"/>
  <c r="K296" i="10"/>
  <c r="J296" i="10"/>
  <c r="H296" i="10"/>
  <c r="AK295" i="10"/>
  <c r="K295" i="10"/>
  <c r="J295" i="10"/>
  <c r="H295" i="10"/>
  <c r="AK294" i="10"/>
  <c r="K294" i="10"/>
  <c r="J294" i="10"/>
  <c r="H294" i="10"/>
  <c r="K293" i="10"/>
  <c r="J293" i="10"/>
  <c r="H293" i="10"/>
  <c r="K292" i="10"/>
  <c r="J292" i="10"/>
  <c r="H292" i="10"/>
  <c r="K291" i="10"/>
  <c r="J291" i="10"/>
  <c r="H291" i="10"/>
  <c r="K290" i="10"/>
  <c r="J290" i="10"/>
  <c r="H290" i="10"/>
  <c r="K289" i="10"/>
  <c r="J289" i="10"/>
  <c r="H289" i="10"/>
  <c r="K288" i="10"/>
  <c r="J288" i="10"/>
  <c r="H288" i="10"/>
  <c r="K287" i="10"/>
  <c r="J287" i="10"/>
  <c r="H287" i="10"/>
  <c r="K286" i="10"/>
  <c r="J286" i="10"/>
  <c r="H286" i="10"/>
  <c r="K285" i="10"/>
  <c r="J285" i="10"/>
  <c r="H285" i="10"/>
  <c r="K284" i="10"/>
  <c r="J284" i="10"/>
  <c r="H284" i="10"/>
  <c r="K283" i="10"/>
  <c r="J283" i="10"/>
  <c r="H283" i="10"/>
  <c r="K282" i="10"/>
  <c r="J282" i="10"/>
  <c r="H282" i="10"/>
  <c r="K281" i="10"/>
  <c r="J281" i="10"/>
  <c r="H281" i="10"/>
  <c r="K280" i="10"/>
  <c r="J280" i="10"/>
  <c r="H280" i="10"/>
  <c r="K279" i="10"/>
  <c r="J279" i="10"/>
  <c r="H279" i="10"/>
  <c r="K278" i="10"/>
  <c r="J278" i="10"/>
  <c r="H278" i="10"/>
  <c r="K277" i="10"/>
  <c r="J277" i="10"/>
  <c r="H277" i="10"/>
  <c r="K276" i="10"/>
  <c r="J276" i="10"/>
  <c r="H276" i="10"/>
  <c r="K275" i="10"/>
  <c r="J275" i="10"/>
  <c r="H275" i="10"/>
  <c r="AK274" i="10"/>
  <c r="K274" i="10"/>
  <c r="J274" i="10"/>
  <c r="H274" i="10"/>
  <c r="AK273" i="10"/>
  <c r="K273" i="10"/>
  <c r="J273" i="10"/>
  <c r="H273" i="10"/>
  <c r="J272" i="10"/>
  <c r="H272" i="10"/>
  <c r="K271" i="10"/>
  <c r="J271" i="10"/>
  <c r="H271" i="10"/>
  <c r="K270" i="10"/>
  <c r="J270" i="10"/>
  <c r="H270" i="10"/>
  <c r="AH269" i="10"/>
  <c r="K269" i="10"/>
  <c r="J269" i="10"/>
  <c r="H269" i="10"/>
  <c r="K268" i="10"/>
  <c r="J268" i="10"/>
  <c r="H268" i="10"/>
  <c r="K267" i="10"/>
  <c r="J267" i="10"/>
  <c r="H267" i="10"/>
  <c r="K266" i="10"/>
  <c r="J266" i="10"/>
  <c r="H266" i="10"/>
  <c r="K265" i="10"/>
  <c r="J265" i="10"/>
  <c r="H265" i="10"/>
  <c r="K264" i="10"/>
  <c r="J264" i="10"/>
  <c r="H264" i="10"/>
  <c r="K263" i="10"/>
  <c r="J263" i="10"/>
  <c r="H263" i="10"/>
  <c r="K262" i="10"/>
  <c r="J262" i="10"/>
  <c r="H262" i="10"/>
  <c r="K261" i="10"/>
  <c r="J261" i="10"/>
  <c r="H261" i="10"/>
  <c r="K260" i="10"/>
  <c r="J260" i="10"/>
  <c r="H260" i="10"/>
  <c r="AK259" i="10"/>
  <c r="K259" i="10"/>
  <c r="J259" i="10"/>
  <c r="H259" i="10"/>
  <c r="AK258" i="10"/>
  <c r="K258" i="10"/>
  <c r="J258" i="10"/>
  <c r="H258" i="10"/>
  <c r="K257" i="10"/>
  <c r="J257" i="10"/>
  <c r="H257" i="10"/>
  <c r="K256" i="10"/>
  <c r="J256" i="10"/>
  <c r="H256" i="10"/>
  <c r="AK255" i="10"/>
  <c r="K255" i="10"/>
  <c r="J255" i="10"/>
  <c r="H255" i="10"/>
  <c r="K254" i="10"/>
  <c r="J254" i="10"/>
  <c r="H254" i="10"/>
  <c r="AK253" i="10"/>
  <c r="K253" i="10"/>
  <c r="J253" i="10"/>
  <c r="H253" i="10"/>
  <c r="AK252" i="10"/>
  <c r="K252" i="10"/>
  <c r="J252" i="10"/>
  <c r="H252" i="10"/>
  <c r="AH251" i="10"/>
  <c r="K251" i="10"/>
  <c r="J251" i="10"/>
  <c r="H251" i="10"/>
  <c r="K250" i="10"/>
  <c r="J250" i="10"/>
  <c r="H250" i="10"/>
  <c r="K249" i="10"/>
  <c r="J249" i="10"/>
  <c r="H249" i="10"/>
  <c r="K248" i="10"/>
  <c r="J248" i="10"/>
  <c r="H248" i="10"/>
  <c r="K247" i="10"/>
  <c r="J247" i="10"/>
  <c r="H247" i="10"/>
  <c r="AH246" i="10"/>
  <c r="K246" i="10"/>
  <c r="J246" i="10"/>
  <c r="H246" i="10"/>
  <c r="AK245" i="10"/>
  <c r="J245" i="10"/>
  <c r="H245" i="10"/>
  <c r="AK244" i="10"/>
  <c r="J244" i="10"/>
  <c r="H244" i="10"/>
  <c r="AK243" i="10"/>
  <c r="J243" i="10"/>
  <c r="H243" i="10"/>
  <c r="AK242" i="10"/>
  <c r="J242" i="10"/>
  <c r="H242" i="10"/>
  <c r="K241" i="10"/>
  <c r="J241" i="10"/>
  <c r="H241" i="10"/>
  <c r="K240" i="10"/>
  <c r="J240" i="10"/>
  <c r="H240" i="10"/>
  <c r="K239" i="10"/>
  <c r="J239" i="10"/>
  <c r="H239" i="10"/>
  <c r="K238" i="10"/>
  <c r="J238" i="10"/>
  <c r="H238" i="10"/>
  <c r="K237" i="10"/>
  <c r="J237" i="10"/>
  <c r="H237" i="10"/>
  <c r="K236" i="10"/>
  <c r="J236" i="10"/>
  <c r="H236" i="10"/>
  <c r="K235" i="10"/>
  <c r="J235" i="10"/>
  <c r="H235" i="10"/>
  <c r="K234" i="10"/>
  <c r="J234" i="10"/>
  <c r="H234" i="10"/>
  <c r="K233" i="10"/>
  <c r="J233" i="10"/>
  <c r="H233" i="10"/>
  <c r="J232" i="10"/>
  <c r="H232" i="10"/>
  <c r="J231" i="10"/>
  <c r="H231" i="10"/>
  <c r="K230" i="10"/>
  <c r="J230" i="10"/>
  <c r="H230" i="10"/>
  <c r="K229" i="10"/>
  <c r="J229" i="10"/>
  <c r="H229" i="10"/>
  <c r="K228" i="10"/>
  <c r="J228" i="10"/>
  <c r="H228" i="10"/>
  <c r="K227" i="10"/>
  <c r="J227" i="10"/>
  <c r="H227" i="10"/>
  <c r="K226" i="10"/>
  <c r="J226" i="10"/>
  <c r="H226" i="10"/>
  <c r="K225" i="10"/>
  <c r="J225" i="10"/>
  <c r="H225" i="10"/>
  <c r="K224" i="10"/>
  <c r="J224" i="10"/>
  <c r="H224" i="10"/>
  <c r="K223" i="10"/>
  <c r="J223" i="10"/>
  <c r="H223" i="10"/>
  <c r="K222" i="10"/>
  <c r="J222" i="10"/>
  <c r="H222" i="10"/>
  <c r="K221" i="10"/>
  <c r="J221" i="10"/>
  <c r="H221" i="10"/>
  <c r="AK220" i="10"/>
  <c r="K220" i="10"/>
  <c r="J220" i="10"/>
  <c r="H220" i="10"/>
  <c r="K219" i="10"/>
  <c r="J219" i="10"/>
  <c r="H219" i="10"/>
  <c r="K218" i="10"/>
  <c r="J218" i="10"/>
  <c r="H218" i="10"/>
  <c r="K217" i="10"/>
  <c r="J217" i="10"/>
  <c r="H217" i="10"/>
  <c r="K216" i="10"/>
  <c r="J216" i="10"/>
  <c r="H216" i="10"/>
  <c r="K215" i="10"/>
  <c r="J215" i="10"/>
  <c r="H215" i="10"/>
  <c r="K214" i="10"/>
  <c r="J214" i="10"/>
  <c r="H214" i="10"/>
  <c r="K213" i="10"/>
  <c r="J213" i="10"/>
  <c r="H213" i="10"/>
  <c r="K212" i="10"/>
  <c r="J212" i="10"/>
  <c r="H212" i="10"/>
  <c r="K211" i="10"/>
  <c r="J211" i="10"/>
  <c r="H211" i="10"/>
  <c r="K210" i="10"/>
  <c r="J210" i="10"/>
  <c r="H210" i="10"/>
  <c r="AK209" i="10"/>
  <c r="K209" i="10"/>
  <c r="J209" i="10"/>
  <c r="H209" i="10"/>
  <c r="AK208" i="10"/>
  <c r="K208" i="10"/>
  <c r="J208" i="10"/>
  <c r="H208" i="10"/>
  <c r="AK207" i="10"/>
  <c r="K207" i="10"/>
  <c r="J207" i="10"/>
  <c r="H207" i="10"/>
  <c r="AK206" i="10"/>
  <c r="K206" i="10"/>
  <c r="J206" i="10"/>
  <c r="H206" i="10"/>
  <c r="K205" i="10"/>
  <c r="J205" i="10"/>
  <c r="H205" i="10"/>
  <c r="K204" i="10"/>
  <c r="J204" i="10"/>
  <c r="H204" i="10"/>
  <c r="K203" i="10"/>
  <c r="J203" i="10"/>
  <c r="H203" i="10"/>
  <c r="K202" i="10"/>
  <c r="J202" i="10"/>
  <c r="H202" i="10"/>
  <c r="K201" i="10"/>
  <c r="J201" i="10"/>
  <c r="H201" i="10"/>
  <c r="K200" i="10"/>
  <c r="J200" i="10"/>
  <c r="H200" i="10"/>
  <c r="K199" i="10"/>
  <c r="J199" i="10"/>
  <c r="H199" i="10"/>
  <c r="K198" i="10"/>
  <c r="J198" i="10"/>
  <c r="H198" i="10"/>
  <c r="K197" i="10"/>
  <c r="J197" i="10"/>
  <c r="H197" i="10"/>
  <c r="K196" i="10"/>
  <c r="J196" i="10"/>
  <c r="H196" i="10"/>
  <c r="K195" i="10"/>
  <c r="J195" i="10"/>
  <c r="H195" i="10"/>
  <c r="K194" i="10"/>
  <c r="J194" i="10"/>
  <c r="H194" i="10"/>
  <c r="K193" i="10"/>
  <c r="J193" i="10"/>
  <c r="H193" i="10"/>
  <c r="K192" i="10"/>
  <c r="J192" i="10"/>
  <c r="H192" i="10"/>
  <c r="K191" i="10"/>
  <c r="J191" i="10"/>
  <c r="H191" i="10"/>
  <c r="K190" i="10"/>
  <c r="J190" i="10"/>
  <c r="H190" i="10"/>
  <c r="K189" i="10"/>
  <c r="J189" i="10"/>
  <c r="H189" i="10"/>
  <c r="J188" i="10"/>
  <c r="H188" i="10"/>
  <c r="J187" i="10"/>
  <c r="H187" i="10"/>
  <c r="J186" i="10"/>
  <c r="H186" i="10"/>
  <c r="J185" i="10"/>
  <c r="H185" i="10"/>
  <c r="AH184" i="10"/>
  <c r="J184" i="10"/>
  <c r="H184" i="10"/>
  <c r="J183" i="10"/>
  <c r="H183" i="10"/>
  <c r="J182" i="10"/>
  <c r="H182" i="10"/>
  <c r="K181" i="10"/>
  <c r="J181" i="10"/>
  <c r="H181" i="10"/>
  <c r="K180" i="10"/>
  <c r="J180" i="10"/>
  <c r="H180" i="10"/>
  <c r="K179" i="10"/>
  <c r="J179" i="10"/>
  <c r="H179" i="10"/>
  <c r="AK178" i="10"/>
  <c r="AH178" i="10"/>
  <c r="K178" i="10"/>
  <c r="J178" i="10"/>
  <c r="H178" i="10"/>
  <c r="AH177" i="10"/>
  <c r="K177" i="10"/>
  <c r="J177" i="10"/>
  <c r="H177" i="10"/>
  <c r="K176" i="10"/>
  <c r="J176" i="10"/>
  <c r="H176" i="10"/>
  <c r="K175" i="10"/>
  <c r="J175" i="10"/>
  <c r="H175" i="10"/>
  <c r="K174" i="10"/>
  <c r="J174" i="10"/>
  <c r="H174" i="10"/>
  <c r="K173" i="10"/>
  <c r="J173" i="10"/>
  <c r="H173" i="10"/>
  <c r="K172" i="10"/>
  <c r="J172" i="10"/>
  <c r="H172" i="10"/>
  <c r="K171" i="10"/>
  <c r="J171" i="10"/>
  <c r="H171" i="10"/>
  <c r="K170" i="10"/>
  <c r="J170" i="10"/>
  <c r="H170" i="10"/>
  <c r="K169" i="10"/>
  <c r="J169" i="10"/>
  <c r="H169" i="10"/>
  <c r="K168" i="10"/>
  <c r="J168" i="10"/>
  <c r="H168" i="10"/>
  <c r="K167" i="10"/>
  <c r="J167" i="10"/>
  <c r="H167" i="10"/>
  <c r="K166" i="10"/>
  <c r="J166" i="10"/>
  <c r="H166" i="10"/>
  <c r="K165" i="10"/>
  <c r="J165" i="10"/>
  <c r="H165" i="10"/>
  <c r="K164" i="10"/>
  <c r="J164" i="10"/>
  <c r="H164" i="10"/>
  <c r="K163" i="10"/>
  <c r="J163" i="10"/>
  <c r="H163" i="10"/>
  <c r="K162" i="10"/>
  <c r="J162" i="10"/>
  <c r="H162" i="10"/>
  <c r="K161" i="10"/>
  <c r="J161" i="10"/>
  <c r="H161" i="10"/>
  <c r="K160" i="10"/>
  <c r="J160" i="10"/>
  <c r="H160" i="10"/>
  <c r="K159" i="10"/>
  <c r="J159" i="10"/>
  <c r="H159" i="10"/>
  <c r="K158" i="10"/>
  <c r="J158" i="10"/>
  <c r="H158" i="10"/>
  <c r="K157" i="10"/>
  <c r="J157" i="10"/>
  <c r="H157" i="10"/>
  <c r="AH156" i="10"/>
  <c r="K156" i="10"/>
  <c r="J156" i="10"/>
  <c r="H156" i="10"/>
  <c r="AK155" i="10"/>
  <c r="K155" i="10"/>
  <c r="J155" i="10"/>
  <c r="H155" i="10"/>
  <c r="AK154" i="10"/>
  <c r="K154" i="10"/>
  <c r="J154" i="10"/>
  <c r="H154" i="10"/>
  <c r="AK153" i="10"/>
  <c r="K153" i="10"/>
  <c r="J153" i="10"/>
  <c r="H153" i="10"/>
  <c r="K152" i="10"/>
  <c r="J152" i="10"/>
  <c r="H152" i="10"/>
  <c r="K151" i="10"/>
  <c r="J151" i="10"/>
  <c r="H151" i="10"/>
  <c r="K150" i="10"/>
  <c r="J150" i="10"/>
  <c r="H150" i="10"/>
  <c r="AK149" i="10"/>
  <c r="K149" i="10"/>
  <c r="J149" i="10"/>
  <c r="H149" i="10"/>
  <c r="AK148" i="10"/>
  <c r="K148" i="10"/>
  <c r="J148" i="10"/>
  <c r="H148" i="10"/>
  <c r="K147" i="10"/>
  <c r="J147" i="10"/>
  <c r="H147" i="10"/>
  <c r="K146" i="10"/>
  <c r="J146" i="10"/>
  <c r="H146" i="10"/>
  <c r="K145" i="10"/>
  <c r="J145" i="10"/>
  <c r="H145" i="10"/>
  <c r="K144" i="10"/>
  <c r="J144" i="10"/>
  <c r="H144" i="10"/>
  <c r="K143" i="10"/>
  <c r="J143" i="10"/>
  <c r="H143" i="10"/>
  <c r="K142" i="10"/>
  <c r="J142" i="10"/>
  <c r="H142" i="10"/>
  <c r="AH141" i="10"/>
  <c r="K141" i="10"/>
  <c r="J141" i="10"/>
  <c r="H141" i="10"/>
  <c r="K140" i="10"/>
  <c r="J140" i="10"/>
  <c r="H140" i="10"/>
  <c r="K139" i="10"/>
  <c r="J139" i="10"/>
  <c r="H139" i="10"/>
  <c r="K138" i="10"/>
  <c r="J138" i="10"/>
  <c r="H138" i="10"/>
  <c r="AK137" i="10"/>
  <c r="K137" i="10"/>
  <c r="J137" i="10"/>
  <c r="H137" i="10"/>
  <c r="AK136" i="10"/>
  <c r="K136" i="10"/>
  <c r="J136" i="10"/>
  <c r="H136" i="10"/>
  <c r="AH135" i="10"/>
  <c r="J135" i="10"/>
  <c r="H135" i="10"/>
  <c r="J134" i="10"/>
  <c r="H134" i="10"/>
  <c r="J133" i="10"/>
  <c r="H133" i="10"/>
  <c r="K132" i="10"/>
  <c r="J132" i="10"/>
  <c r="H132" i="10"/>
  <c r="K131" i="10"/>
  <c r="J131" i="10"/>
  <c r="H131" i="10"/>
  <c r="K130" i="10"/>
  <c r="J130" i="10"/>
  <c r="H130" i="10"/>
  <c r="K129" i="10"/>
  <c r="J129" i="10"/>
  <c r="H129" i="10"/>
  <c r="K128" i="10"/>
  <c r="J128" i="10"/>
  <c r="H128" i="10"/>
  <c r="K127" i="10"/>
  <c r="J127" i="10"/>
  <c r="H127" i="10"/>
  <c r="AK126" i="10"/>
  <c r="K126" i="10"/>
  <c r="J126" i="10"/>
  <c r="H126" i="10"/>
  <c r="AK125" i="10"/>
  <c r="K125" i="10"/>
  <c r="J125" i="10"/>
  <c r="H125" i="10"/>
  <c r="AK124" i="10"/>
  <c r="K124" i="10"/>
  <c r="J124" i="10"/>
  <c r="H124" i="10"/>
  <c r="AK123" i="10"/>
  <c r="K123" i="10"/>
  <c r="J123" i="10"/>
  <c r="H123" i="10"/>
  <c r="AK122" i="10"/>
  <c r="K122" i="10"/>
  <c r="J122" i="10"/>
  <c r="H122" i="10"/>
  <c r="AK121" i="10"/>
  <c r="K121" i="10"/>
  <c r="J121" i="10"/>
  <c r="H121" i="10"/>
  <c r="J120" i="10"/>
  <c r="H120" i="10"/>
  <c r="AH119" i="10"/>
  <c r="J119" i="10"/>
  <c r="H119" i="10"/>
  <c r="AK118" i="10"/>
  <c r="K118" i="10"/>
  <c r="J118" i="10"/>
  <c r="H118" i="10"/>
  <c r="AK117" i="10"/>
  <c r="K117" i="10"/>
  <c r="J117" i="10"/>
  <c r="H117" i="10"/>
  <c r="AK116" i="10"/>
  <c r="K116" i="10"/>
  <c r="J116" i="10"/>
  <c r="H116" i="10"/>
  <c r="AK115" i="10"/>
  <c r="K115" i="10"/>
  <c r="J115" i="10"/>
  <c r="H115" i="10"/>
  <c r="K114" i="10"/>
  <c r="J114" i="10"/>
  <c r="H114" i="10"/>
  <c r="K113" i="10"/>
  <c r="J113" i="10"/>
  <c r="H113" i="10"/>
  <c r="K112" i="10"/>
  <c r="J112" i="10"/>
  <c r="H112" i="10"/>
  <c r="K111" i="10"/>
  <c r="J111" i="10"/>
  <c r="H111" i="10"/>
  <c r="K110" i="10"/>
  <c r="J110" i="10"/>
  <c r="H110" i="10"/>
  <c r="K109" i="10"/>
  <c r="J109" i="10"/>
  <c r="H109" i="10"/>
  <c r="K108" i="10"/>
  <c r="J108" i="10"/>
  <c r="H108" i="10"/>
  <c r="K107" i="10"/>
  <c r="J107" i="10"/>
  <c r="H107" i="10"/>
  <c r="K106" i="10"/>
  <c r="J106" i="10"/>
  <c r="H106" i="10"/>
  <c r="AK105" i="10"/>
  <c r="J105" i="10"/>
  <c r="H105" i="10"/>
  <c r="AK104" i="10"/>
  <c r="J104" i="10"/>
  <c r="H104" i="10"/>
  <c r="AK103" i="10"/>
  <c r="J103" i="10"/>
  <c r="H103" i="10"/>
  <c r="AK102" i="10"/>
  <c r="J102" i="10"/>
  <c r="H102" i="10"/>
  <c r="AK101" i="10"/>
  <c r="J101" i="10"/>
  <c r="H101" i="10"/>
  <c r="K100" i="10"/>
  <c r="J100" i="10"/>
  <c r="H100" i="10"/>
  <c r="K99" i="10"/>
  <c r="J99" i="10"/>
  <c r="H99" i="10"/>
  <c r="K98" i="10"/>
  <c r="J98" i="10"/>
  <c r="H98" i="10"/>
  <c r="K97" i="10"/>
  <c r="J97" i="10"/>
  <c r="H97" i="10"/>
  <c r="K96" i="10"/>
  <c r="J96" i="10"/>
  <c r="H96" i="10"/>
  <c r="K95" i="10"/>
  <c r="J95" i="10"/>
  <c r="H95" i="10"/>
  <c r="K94" i="10"/>
  <c r="J94" i="10"/>
  <c r="H94" i="10"/>
  <c r="AH93" i="10"/>
  <c r="K93" i="10"/>
  <c r="J93" i="10"/>
  <c r="H93" i="10"/>
  <c r="K92" i="10"/>
  <c r="J92" i="10"/>
  <c r="H92" i="10"/>
  <c r="K91" i="10"/>
  <c r="J91" i="10"/>
  <c r="H91" i="10"/>
  <c r="K90" i="10"/>
  <c r="J90" i="10"/>
  <c r="H90" i="10"/>
  <c r="K89" i="10"/>
  <c r="J89" i="10"/>
  <c r="H89" i="10"/>
  <c r="K88" i="10"/>
  <c r="J88" i="10"/>
  <c r="H88" i="10"/>
  <c r="K87" i="10"/>
  <c r="J87" i="10"/>
  <c r="H87" i="10"/>
  <c r="K86" i="10"/>
  <c r="J86" i="10"/>
  <c r="H86" i="10"/>
  <c r="K85" i="10"/>
  <c r="J85" i="10"/>
  <c r="H85" i="10"/>
  <c r="AH84" i="10"/>
  <c r="K84" i="10"/>
  <c r="J84" i="10"/>
  <c r="H84" i="10"/>
  <c r="AH83" i="10"/>
  <c r="K83" i="10"/>
  <c r="J83" i="10"/>
  <c r="H83" i="10"/>
  <c r="J82" i="10"/>
  <c r="H82" i="10"/>
  <c r="J81" i="10"/>
  <c r="H81" i="10"/>
  <c r="J80" i="10"/>
  <c r="H80" i="10"/>
  <c r="J79" i="10"/>
  <c r="H79" i="10"/>
  <c r="K78" i="10"/>
  <c r="J78" i="10"/>
  <c r="H78" i="10"/>
  <c r="K77" i="10"/>
  <c r="J77" i="10"/>
  <c r="H77" i="10"/>
  <c r="K76" i="10"/>
  <c r="J76" i="10"/>
  <c r="H76" i="10"/>
  <c r="K75" i="10"/>
  <c r="J75" i="10"/>
  <c r="H75" i="10"/>
  <c r="K74" i="10"/>
  <c r="J74" i="10"/>
  <c r="H74" i="10"/>
  <c r="K73" i="10"/>
  <c r="J73" i="10"/>
  <c r="H73" i="10"/>
  <c r="K72" i="10"/>
  <c r="J72" i="10"/>
  <c r="H72" i="10"/>
  <c r="K71" i="10"/>
  <c r="J71" i="10"/>
  <c r="H71" i="10"/>
  <c r="K70" i="10"/>
  <c r="J70" i="10"/>
  <c r="H70" i="10"/>
  <c r="K69" i="10"/>
  <c r="J69" i="10"/>
  <c r="H69" i="10"/>
  <c r="K68" i="10"/>
  <c r="J68" i="10"/>
  <c r="H68" i="10"/>
  <c r="K67" i="10"/>
  <c r="J67" i="10"/>
  <c r="H67" i="10"/>
  <c r="K66" i="10"/>
  <c r="J66" i="10"/>
  <c r="H66" i="10"/>
  <c r="K65" i="10"/>
  <c r="J65" i="10"/>
  <c r="H65" i="10"/>
  <c r="K64" i="10"/>
  <c r="J64" i="10"/>
  <c r="H64" i="10"/>
  <c r="K63" i="10"/>
  <c r="J63" i="10"/>
  <c r="H63" i="10"/>
  <c r="K62" i="10"/>
  <c r="J62" i="10"/>
  <c r="H62" i="10"/>
  <c r="AK61" i="10"/>
  <c r="K61" i="10"/>
  <c r="J61" i="10"/>
  <c r="H61" i="10"/>
  <c r="AK60" i="10"/>
  <c r="K60" i="10"/>
  <c r="J60" i="10"/>
  <c r="H60" i="10"/>
  <c r="AK59" i="10"/>
  <c r="K59" i="10"/>
  <c r="J59" i="10"/>
  <c r="H59" i="10"/>
  <c r="AK58" i="10"/>
  <c r="K58" i="10"/>
  <c r="J58" i="10"/>
  <c r="H58" i="10"/>
  <c r="K57" i="10"/>
  <c r="J57" i="10"/>
  <c r="H57" i="10"/>
  <c r="AK56" i="10"/>
  <c r="K56" i="10"/>
  <c r="J56" i="10"/>
  <c r="H56" i="10"/>
  <c r="AK55" i="10"/>
  <c r="K55" i="10"/>
  <c r="J55" i="10"/>
  <c r="H55" i="10"/>
  <c r="K54" i="10"/>
  <c r="J54" i="10"/>
  <c r="H54" i="10"/>
  <c r="K53" i="10"/>
  <c r="J53" i="10"/>
  <c r="H53" i="10"/>
  <c r="K52" i="10"/>
  <c r="J52" i="10"/>
  <c r="H52" i="10"/>
  <c r="K51" i="10"/>
  <c r="J51" i="10"/>
  <c r="H51" i="10"/>
  <c r="K50" i="10"/>
  <c r="J50" i="10"/>
  <c r="H50" i="10"/>
  <c r="K49" i="10"/>
  <c r="J49" i="10"/>
  <c r="H49" i="10"/>
  <c r="K48" i="10"/>
  <c r="J48" i="10"/>
  <c r="H48" i="10"/>
  <c r="K47" i="10"/>
  <c r="J47" i="10"/>
  <c r="H47" i="10"/>
  <c r="K46" i="10"/>
  <c r="J46" i="10"/>
  <c r="H46" i="10"/>
  <c r="AK45" i="10"/>
  <c r="K45" i="10"/>
  <c r="J45" i="10"/>
  <c r="H45" i="10"/>
  <c r="K44" i="10"/>
  <c r="J44" i="10"/>
  <c r="H44" i="10"/>
  <c r="AH43" i="10"/>
  <c r="K43" i="10"/>
  <c r="J43" i="10"/>
  <c r="H43" i="10"/>
  <c r="K42" i="10"/>
  <c r="J42" i="10"/>
  <c r="H42" i="10"/>
  <c r="K41" i="10"/>
  <c r="J41" i="10"/>
  <c r="H41" i="10"/>
  <c r="K40" i="10"/>
  <c r="J40" i="10"/>
  <c r="H40" i="10"/>
  <c r="K39" i="10"/>
  <c r="J39" i="10"/>
  <c r="H39" i="10"/>
  <c r="K38" i="10"/>
  <c r="J38" i="10"/>
  <c r="H38" i="10"/>
  <c r="K37" i="10"/>
  <c r="J37" i="10"/>
  <c r="H37" i="10"/>
  <c r="AH36" i="10"/>
  <c r="J36" i="10"/>
  <c r="H36" i="10"/>
  <c r="K35" i="10"/>
  <c r="J35" i="10"/>
  <c r="H35" i="10"/>
  <c r="K34" i="10"/>
  <c r="J34" i="10"/>
  <c r="H34" i="10"/>
  <c r="K33" i="10"/>
  <c r="J33" i="10"/>
  <c r="H33" i="10"/>
  <c r="K32" i="10"/>
  <c r="J32" i="10"/>
  <c r="H32" i="10"/>
  <c r="K31" i="10"/>
  <c r="J31" i="10"/>
  <c r="H31" i="10"/>
  <c r="K30" i="10"/>
  <c r="J30" i="10"/>
  <c r="H30" i="10"/>
  <c r="K29" i="10"/>
  <c r="J29" i="10"/>
  <c r="H29" i="10"/>
  <c r="K28" i="10"/>
  <c r="J28" i="10"/>
  <c r="H28" i="10"/>
  <c r="K27" i="10"/>
  <c r="J27" i="10"/>
  <c r="H27" i="10"/>
  <c r="K26" i="10"/>
  <c r="J26" i="10"/>
  <c r="H26" i="10"/>
  <c r="K25" i="10"/>
  <c r="J25" i="10"/>
  <c r="H25" i="10"/>
  <c r="K24" i="10"/>
  <c r="J24" i="10"/>
  <c r="H24" i="10"/>
  <c r="K23" i="10"/>
  <c r="J23" i="10"/>
  <c r="H23" i="10"/>
  <c r="J22" i="10"/>
  <c r="H22" i="10"/>
  <c r="K21" i="10"/>
  <c r="J21" i="10"/>
  <c r="H21" i="10"/>
  <c r="K20" i="10"/>
  <c r="J20" i="10"/>
  <c r="H20" i="10"/>
  <c r="AK19" i="10"/>
  <c r="K19" i="10"/>
  <c r="J19" i="10"/>
  <c r="H19" i="10"/>
  <c r="AK18" i="10"/>
  <c r="K18" i="10"/>
  <c r="J18" i="10"/>
  <c r="H18" i="10"/>
  <c r="K17" i="10"/>
  <c r="J17" i="10"/>
  <c r="H17" i="10"/>
  <c r="K16" i="10"/>
  <c r="J16" i="10"/>
  <c r="H16" i="10"/>
  <c r="K15" i="10"/>
  <c r="J15" i="10"/>
  <c r="H15" i="10"/>
  <c r="K14" i="10"/>
  <c r="J14" i="10"/>
  <c r="H14" i="10"/>
  <c r="K13" i="10"/>
  <c r="J13" i="10"/>
  <c r="H13" i="10"/>
  <c r="K12" i="10"/>
  <c r="J12" i="10"/>
  <c r="H12" i="10"/>
  <c r="K11" i="10"/>
  <c r="J11" i="10"/>
  <c r="H11" i="10"/>
  <c r="K10" i="10"/>
  <c r="J10" i="10"/>
  <c r="H10" i="10"/>
  <c r="K9" i="10"/>
  <c r="J9" i="10"/>
  <c r="H9" i="10"/>
  <c r="K8" i="10"/>
  <c r="J8" i="10"/>
  <c r="H8" i="10"/>
  <c r="K7" i="10"/>
  <c r="J7" i="10"/>
  <c r="H7" i="10"/>
  <c r="J6" i="10"/>
  <c r="H6" i="10"/>
  <c r="K5" i="10"/>
  <c r="J5" i="10"/>
  <c r="H5" i="10"/>
  <c r="K4" i="10"/>
  <c r="J4" i="10"/>
  <c r="H4" i="10"/>
  <c r="K3" i="10"/>
  <c r="J3" i="10"/>
  <c r="H3" i="10"/>
  <c r="K2" i="10"/>
  <c r="J2" i="10"/>
  <c r="H2" i="10"/>
  <c r="H191" i="9"/>
  <c r="F191" i="9"/>
  <c r="E191" i="9"/>
  <c r="H190" i="9"/>
  <c r="F190" i="9"/>
  <c r="E190" i="9"/>
  <c r="H189" i="9"/>
  <c r="F189" i="9"/>
  <c r="E189" i="9"/>
  <c r="H188" i="9"/>
  <c r="F188" i="9"/>
  <c r="E188" i="9"/>
  <c r="H187" i="9"/>
  <c r="F187" i="9"/>
  <c r="E187" i="9"/>
  <c r="H186" i="9"/>
  <c r="F186" i="9"/>
  <c r="E186" i="9"/>
  <c r="H185" i="9"/>
  <c r="F185" i="9"/>
  <c r="E185" i="9"/>
  <c r="H184" i="9"/>
  <c r="F184" i="9"/>
  <c r="E184" i="9"/>
  <c r="H183" i="9"/>
  <c r="F183" i="9"/>
  <c r="E183" i="9"/>
  <c r="H182" i="9"/>
  <c r="F182" i="9"/>
  <c r="E182" i="9"/>
  <c r="H181" i="9"/>
  <c r="F181" i="9"/>
  <c r="E181" i="9"/>
  <c r="H180" i="9"/>
  <c r="F180" i="9"/>
  <c r="E180" i="9"/>
  <c r="H179" i="9"/>
  <c r="F179" i="9"/>
  <c r="E179" i="9"/>
  <c r="H178" i="9"/>
  <c r="F178" i="9"/>
  <c r="E178" i="9"/>
  <c r="H177" i="9"/>
  <c r="F177" i="9"/>
  <c r="E177" i="9"/>
  <c r="H176" i="9"/>
  <c r="F176" i="9"/>
  <c r="E176" i="9"/>
  <c r="H175" i="9"/>
  <c r="F175" i="9"/>
  <c r="E175" i="9"/>
  <c r="H174" i="9"/>
  <c r="F174" i="9"/>
  <c r="E174" i="9"/>
  <c r="H173" i="9"/>
  <c r="F173" i="9"/>
  <c r="E173" i="9"/>
  <c r="H172" i="9"/>
  <c r="F172" i="9"/>
  <c r="E172" i="9"/>
  <c r="H171" i="9"/>
  <c r="F171" i="9"/>
  <c r="E171" i="9"/>
  <c r="H170" i="9"/>
  <c r="F170" i="9"/>
  <c r="E170" i="9"/>
  <c r="H169" i="9"/>
  <c r="F169" i="9"/>
  <c r="E169" i="9"/>
  <c r="H168" i="9"/>
  <c r="F168" i="9"/>
  <c r="E168" i="9"/>
  <c r="H167" i="9"/>
  <c r="F167" i="9"/>
  <c r="E167" i="9"/>
  <c r="H166" i="9"/>
  <c r="F166" i="9"/>
  <c r="E166" i="9"/>
  <c r="H165" i="9"/>
  <c r="F165" i="9"/>
  <c r="E165" i="9"/>
  <c r="H164" i="9"/>
  <c r="F164" i="9"/>
  <c r="E164" i="9"/>
  <c r="H163" i="9"/>
  <c r="F163" i="9"/>
  <c r="E163" i="9"/>
  <c r="H162" i="9"/>
  <c r="F162" i="9"/>
  <c r="E162" i="9"/>
  <c r="H161" i="9"/>
  <c r="F161" i="9"/>
  <c r="E161" i="9"/>
  <c r="H160" i="9"/>
  <c r="F160" i="9"/>
  <c r="E160" i="9"/>
  <c r="H159" i="9"/>
  <c r="F159" i="9"/>
  <c r="E159" i="9"/>
  <c r="H158" i="9"/>
  <c r="F158" i="9"/>
  <c r="E158" i="9"/>
  <c r="H157" i="9"/>
  <c r="F157" i="9"/>
  <c r="E157" i="9"/>
  <c r="H156" i="9"/>
  <c r="F156" i="9"/>
  <c r="E156" i="9"/>
  <c r="H155" i="9"/>
  <c r="F155" i="9"/>
  <c r="E155" i="9"/>
  <c r="H154" i="9"/>
  <c r="F154" i="9"/>
  <c r="E154" i="9"/>
  <c r="H153" i="9"/>
  <c r="F153" i="9"/>
  <c r="E153" i="9"/>
  <c r="H152" i="9"/>
  <c r="F152" i="9"/>
  <c r="E152" i="9"/>
  <c r="H151" i="9"/>
  <c r="F151" i="9"/>
  <c r="E151" i="9"/>
  <c r="H150" i="9"/>
  <c r="F150" i="9"/>
  <c r="E150" i="9"/>
  <c r="H149" i="9"/>
  <c r="F149" i="9"/>
  <c r="E149" i="9"/>
  <c r="H148" i="9"/>
  <c r="F148" i="9"/>
  <c r="E148" i="9"/>
  <c r="H147" i="9"/>
  <c r="F147" i="9"/>
  <c r="E147" i="9"/>
  <c r="H146" i="9"/>
  <c r="F146" i="9"/>
  <c r="E146" i="9"/>
  <c r="H145" i="9"/>
  <c r="F145" i="9"/>
  <c r="E145" i="9"/>
  <c r="H144" i="9"/>
  <c r="F144" i="9"/>
  <c r="E144" i="9"/>
  <c r="H143" i="9"/>
  <c r="F143" i="9"/>
  <c r="E143" i="9"/>
  <c r="H142" i="9"/>
  <c r="F142" i="9"/>
  <c r="E142" i="9"/>
  <c r="H141" i="9"/>
  <c r="F141" i="9"/>
  <c r="E141" i="9"/>
  <c r="H140" i="9"/>
  <c r="F140" i="9"/>
  <c r="E140" i="9"/>
  <c r="H139" i="9"/>
  <c r="F139" i="9"/>
  <c r="E139" i="9"/>
  <c r="H138" i="9"/>
  <c r="F138" i="9"/>
  <c r="E138" i="9"/>
  <c r="H137" i="9"/>
  <c r="F137" i="9"/>
  <c r="E137" i="9"/>
  <c r="H136" i="9"/>
  <c r="F136" i="9"/>
  <c r="E136" i="9"/>
  <c r="H135" i="9"/>
  <c r="F135" i="9"/>
  <c r="E135" i="9"/>
  <c r="H134" i="9"/>
  <c r="F134" i="9"/>
  <c r="E134" i="9"/>
  <c r="H133" i="9"/>
  <c r="F133" i="9"/>
  <c r="E133" i="9"/>
  <c r="H132" i="9"/>
  <c r="F132" i="9"/>
  <c r="E132" i="9"/>
  <c r="H131" i="9"/>
  <c r="F131" i="9"/>
  <c r="E131" i="9"/>
  <c r="H130" i="9"/>
  <c r="F130" i="9"/>
  <c r="E130" i="9"/>
  <c r="H129" i="9"/>
  <c r="F129" i="9"/>
  <c r="E129" i="9"/>
  <c r="H128" i="9"/>
  <c r="F128" i="9"/>
  <c r="E128" i="9"/>
  <c r="H127" i="9"/>
  <c r="F127" i="9"/>
  <c r="E127" i="9"/>
  <c r="H126" i="9"/>
  <c r="F126" i="9"/>
  <c r="E126" i="9"/>
  <c r="H125" i="9"/>
  <c r="F125" i="9"/>
  <c r="E125" i="9"/>
  <c r="H124" i="9"/>
  <c r="F124" i="9"/>
  <c r="E124" i="9"/>
  <c r="H123" i="9"/>
  <c r="F123" i="9"/>
  <c r="E123" i="9"/>
  <c r="H122" i="9"/>
  <c r="F122" i="9"/>
  <c r="E122" i="9"/>
  <c r="H121" i="9"/>
  <c r="F121" i="9"/>
  <c r="E121" i="9"/>
  <c r="H120" i="9"/>
  <c r="F120" i="9"/>
  <c r="E120" i="9"/>
  <c r="H119" i="9"/>
  <c r="F119" i="9"/>
  <c r="E119" i="9"/>
  <c r="H118" i="9"/>
  <c r="F118" i="9"/>
  <c r="E118" i="9"/>
  <c r="H117" i="9"/>
  <c r="F117" i="9"/>
  <c r="E117" i="9"/>
  <c r="H116" i="9"/>
  <c r="F116" i="9"/>
  <c r="E116" i="9"/>
  <c r="H115" i="9"/>
  <c r="F115" i="9"/>
  <c r="E115" i="9"/>
  <c r="H114" i="9"/>
  <c r="F114" i="9"/>
  <c r="E114" i="9"/>
  <c r="H113" i="9"/>
  <c r="F113" i="9"/>
  <c r="E113" i="9"/>
  <c r="H112" i="9"/>
  <c r="F112" i="9"/>
  <c r="E112" i="9"/>
  <c r="H111" i="9"/>
  <c r="F111" i="9"/>
  <c r="E111" i="9"/>
  <c r="H110" i="9"/>
  <c r="F110" i="9"/>
  <c r="E110" i="9"/>
  <c r="H109" i="9"/>
  <c r="F109" i="9"/>
  <c r="E109" i="9"/>
  <c r="H108" i="9"/>
  <c r="F108" i="9"/>
  <c r="E108" i="9"/>
  <c r="H107" i="9"/>
  <c r="F107" i="9"/>
  <c r="E107" i="9"/>
  <c r="H106" i="9"/>
  <c r="F106" i="9"/>
  <c r="E106" i="9"/>
  <c r="H105" i="9"/>
  <c r="F105" i="9"/>
  <c r="E105" i="9"/>
  <c r="H104" i="9"/>
  <c r="F104" i="9"/>
  <c r="E104" i="9"/>
  <c r="H103" i="9"/>
  <c r="F103" i="9"/>
  <c r="E103" i="9"/>
  <c r="H102" i="9"/>
  <c r="F102" i="9"/>
  <c r="E102" i="9"/>
  <c r="H101" i="9"/>
  <c r="F101" i="9"/>
  <c r="E101" i="9"/>
  <c r="H100" i="9"/>
  <c r="F100" i="9"/>
  <c r="E100" i="9"/>
  <c r="H99" i="9"/>
  <c r="F99" i="9"/>
  <c r="E99" i="9"/>
  <c r="H98" i="9"/>
  <c r="F98" i="9"/>
  <c r="E98" i="9"/>
  <c r="H97" i="9"/>
  <c r="F97" i="9"/>
  <c r="E97" i="9"/>
  <c r="H96" i="9"/>
  <c r="F96" i="9"/>
  <c r="E96" i="9"/>
  <c r="H95" i="9"/>
  <c r="F95" i="9"/>
  <c r="E95" i="9"/>
  <c r="H94" i="9"/>
  <c r="F94" i="9"/>
  <c r="E94" i="9"/>
  <c r="H93" i="9"/>
  <c r="F93" i="9"/>
  <c r="E93" i="9"/>
  <c r="H92" i="9"/>
  <c r="F92" i="9"/>
  <c r="E92" i="9"/>
  <c r="H91" i="9"/>
  <c r="F91" i="9"/>
  <c r="E91" i="9"/>
  <c r="H90" i="9"/>
  <c r="F90" i="9"/>
  <c r="E90" i="9"/>
  <c r="H89" i="9"/>
  <c r="F89" i="9"/>
  <c r="E89" i="9"/>
  <c r="H88" i="9"/>
  <c r="F88" i="9"/>
  <c r="E88" i="9"/>
  <c r="H87" i="9"/>
  <c r="F87" i="9"/>
  <c r="E87" i="9"/>
  <c r="H86" i="9"/>
  <c r="F86" i="9"/>
  <c r="E86" i="9"/>
  <c r="H85" i="9"/>
  <c r="F85" i="9"/>
  <c r="E85" i="9"/>
  <c r="H84" i="9"/>
  <c r="F84" i="9"/>
  <c r="E84" i="9"/>
  <c r="H83" i="9"/>
  <c r="F83" i="9"/>
  <c r="E83" i="9"/>
  <c r="H82" i="9"/>
  <c r="F82" i="9"/>
  <c r="E82" i="9"/>
  <c r="H81" i="9"/>
  <c r="F81" i="9"/>
  <c r="E81" i="9"/>
  <c r="H80" i="9"/>
  <c r="F80" i="9"/>
  <c r="E80" i="9"/>
  <c r="H79" i="9"/>
  <c r="F79" i="9"/>
  <c r="E79" i="9"/>
  <c r="H78" i="9"/>
  <c r="F78" i="9"/>
  <c r="E78" i="9"/>
  <c r="H77" i="9"/>
  <c r="F77" i="9"/>
  <c r="E77" i="9"/>
  <c r="H76" i="9"/>
  <c r="F76" i="9"/>
  <c r="E76" i="9"/>
  <c r="H75" i="9"/>
  <c r="F75" i="9"/>
  <c r="E75" i="9"/>
  <c r="H74" i="9"/>
  <c r="F74" i="9"/>
  <c r="E74" i="9"/>
  <c r="H73" i="9"/>
  <c r="F73" i="9"/>
  <c r="E73" i="9"/>
  <c r="H72" i="9"/>
  <c r="F72" i="9"/>
  <c r="E72" i="9"/>
  <c r="H71" i="9"/>
  <c r="F71" i="9"/>
  <c r="E71" i="9"/>
  <c r="F70" i="9"/>
  <c r="E70" i="9"/>
  <c r="H69" i="9"/>
  <c r="F69" i="9"/>
  <c r="E69" i="9"/>
  <c r="H68" i="9"/>
  <c r="F68" i="9"/>
  <c r="E68" i="9"/>
  <c r="H67" i="9"/>
  <c r="F67" i="9"/>
  <c r="E67" i="9"/>
  <c r="H66" i="9"/>
  <c r="F66" i="9"/>
  <c r="E66" i="9"/>
  <c r="H65" i="9"/>
  <c r="F65" i="9"/>
  <c r="E65" i="9"/>
  <c r="H64" i="9"/>
  <c r="F64" i="9"/>
  <c r="E64" i="9"/>
  <c r="H63" i="9"/>
  <c r="F63" i="9"/>
  <c r="E63" i="9"/>
  <c r="H62" i="9"/>
  <c r="F62" i="9"/>
  <c r="E62" i="9"/>
  <c r="F61" i="9"/>
  <c r="E61" i="9"/>
  <c r="H60" i="9"/>
  <c r="F60" i="9"/>
  <c r="E60" i="9"/>
  <c r="H59" i="9"/>
  <c r="F59" i="9"/>
  <c r="E59" i="9"/>
  <c r="H58" i="9"/>
  <c r="F58" i="9"/>
  <c r="E58" i="9"/>
  <c r="H57" i="9"/>
  <c r="F57" i="9"/>
  <c r="E57" i="9"/>
  <c r="H56" i="9"/>
  <c r="F56" i="9"/>
  <c r="E56" i="9"/>
  <c r="H55" i="9"/>
  <c r="F55" i="9"/>
  <c r="E55" i="9"/>
  <c r="H54" i="9"/>
  <c r="F54" i="9"/>
  <c r="E54" i="9"/>
  <c r="H53" i="9"/>
  <c r="F53" i="9"/>
  <c r="E53" i="9"/>
  <c r="F52" i="9"/>
  <c r="E52" i="9"/>
  <c r="H51" i="9"/>
  <c r="F51" i="9"/>
  <c r="E51" i="9"/>
  <c r="H50" i="9"/>
  <c r="F50" i="9"/>
  <c r="E50" i="9"/>
  <c r="H49" i="9"/>
  <c r="F49" i="9"/>
  <c r="E49" i="9"/>
  <c r="H48" i="9"/>
  <c r="F48" i="9"/>
  <c r="E48" i="9"/>
  <c r="H47" i="9"/>
  <c r="F47" i="9"/>
  <c r="E47" i="9"/>
  <c r="H46" i="9"/>
  <c r="F46" i="9"/>
  <c r="E46" i="9"/>
  <c r="H45" i="9"/>
  <c r="F45" i="9"/>
  <c r="E45" i="9"/>
  <c r="H44" i="9"/>
  <c r="F44" i="9"/>
  <c r="E44" i="9"/>
  <c r="H43" i="9"/>
  <c r="F43" i="9"/>
  <c r="E43" i="9"/>
  <c r="F42" i="9"/>
  <c r="E42" i="9"/>
  <c r="H41" i="9"/>
  <c r="F41" i="9"/>
  <c r="E41" i="9"/>
  <c r="H40" i="9"/>
  <c r="F40" i="9"/>
  <c r="E40" i="9"/>
  <c r="H39" i="9"/>
  <c r="F39" i="9"/>
  <c r="E39" i="9"/>
  <c r="H38" i="9"/>
  <c r="F38" i="9"/>
  <c r="E38" i="9"/>
  <c r="H37" i="9"/>
  <c r="F37" i="9"/>
  <c r="E37" i="9"/>
  <c r="H36" i="9"/>
  <c r="F36" i="9"/>
  <c r="E36" i="9"/>
  <c r="H35" i="9"/>
  <c r="F35" i="9"/>
  <c r="E35" i="9"/>
  <c r="H34" i="9"/>
  <c r="F34" i="9"/>
  <c r="E34" i="9"/>
  <c r="H33" i="9"/>
  <c r="F33" i="9"/>
  <c r="E33" i="9"/>
  <c r="H32" i="9"/>
  <c r="F32" i="9"/>
  <c r="E32" i="9"/>
  <c r="F31" i="9"/>
  <c r="E31" i="9"/>
  <c r="H30" i="9"/>
  <c r="F30" i="9"/>
  <c r="E30" i="9"/>
  <c r="H29" i="9"/>
  <c r="F29" i="9"/>
  <c r="E29" i="9"/>
  <c r="H28" i="9"/>
  <c r="F28" i="9"/>
  <c r="E28" i="9"/>
  <c r="H27" i="9"/>
  <c r="F27" i="9"/>
  <c r="E27" i="9"/>
  <c r="H26" i="9"/>
  <c r="F26" i="9"/>
  <c r="E26" i="9"/>
  <c r="H25" i="9"/>
  <c r="F25" i="9"/>
  <c r="E25" i="9"/>
  <c r="H24" i="9"/>
  <c r="F24" i="9"/>
  <c r="E24" i="9"/>
  <c r="H23" i="9"/>
  <c r="F23" i="9"/>
  <c r="E23" i="9"/>
  <c r="H22" i="9"/>
  <c r="F22" i="9"/>
  <c r="E22" i="9"/>
  <c r="H21" i="9"/>
  <c r="F21" i="9"/>
  <c r="E21" i="9"/>
  <c r="F20" i="9"/>
  <c r="E20" i="9"/>
  <c r="H19" i="9"/>
  <c r="F19" i="9"/>
  <c r="E19" i="9"/>
  <c r="H18" i="9"/>
  <c r="F18" i="9"/>
  <c r="E18" i="9"/>
  <c r="H17" i="9"/>
  <c r="F17" i="9"/>
  <c r="E17" i="9"/>
  <c r="H16" i="9"/>
  <c r="F16" i="9"/>
  <c r="E16" i="9"/>
  <c r="H15" i="9"/>
  <c r="F15" i="9"/>
  <c r="E15" i="9"/>
  <c r="H14" i="9"/>
  <c r="F14" i="9"/>
  <c r="E14" i="9"/>
  <c r="H13" i="9"/>
  <c r="F13" i="9"/>
  <c r="E13" i="9"/>
  <c r="H12" i="9"/>
  <c r="F12" i="9"/>
  <c r="E12" i="9"/>
  <c r="H11" i="9"/>
  <c r="F11" i="9"/>
  <c r="E11" i="9"/>
  <c r="H10" i="9"/>
  <c r="F10" i="9"/>
  <c r="E10" i="9"/>
  <c r="H9" i="9"/>
  <c r="F9" i="9"/>
  <c r="E9" i="9"/>
  <c r="H8" i="9"/>
  <c r="F8" i="9"/>
  <c r="E8" i="9"/>
  <c r="H7" i="9"/>
  <c r="F7" i="9"/>
  <c r="E7" i="9"/>
  <c r="H6" i="9"/>
  <c r="F6" i="9"/>
  <c r="E6" i="9"/>
  <c r="H5" i="9"/>
  <c r="F5" i="9"/>
  <c r="E5" i="9"/>
  <c r="H4" i="9"/>
  <c r="F4" i="9"/>
  <c r="E4" i="9"/>
  <c r="H3" i="9"/>
  <c r="F3" i="9"/>
  <c r="E3" i="9"/>
  <c r="H2" i="9"/>
  <c r="F2" i="9"/>
  <c r="E2" i="9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M110" i="6"/>
  <c r="I110" i="6"/>
  <c r="M109" i="6"/>
  <c r="I109" i="6"/>
  <c r="M108" i="6"/>
  <c r="I108" i="6"/>
  <c r="J107" i="6"/>
  <c r="M107" i="6" s="1"/>
  <c r="I107" i="6"/>
  <c r="M106" i="6"/>
  <c r="I106" i="6"/>
  <c r="M105" i="6"/>
  <c r="I105" i="6"/>
  <c r="M104" i="6"/>
  <c r="I104" i="6"/>
  <c r="M103" i="6"/>
  <c r="I103" i="6"/>
  <c r="M102" i="6"/>
  <c r="I102" i="6"/>
  <c r="M101" i="6"/>
  <c r="I101" i="6"/>
  <c r="M100" i="6"/>
  <c r="I100" i="6"/>
  <c r="M99" i="6"/>
  <c r="I99" i="6"/>
  <c r="M98" i="6"/>
  <c r="K98" i="6"/>
  <c r="I98" i="6"/>
  <c r="M97" i="6"/>
  <c r="I97" i="6"/>
  <c r="M96" i="6"/>
  <c r="I96" i="6"/>
  <c r="M95" i="6"/>
  <c r="L95" i="6"/>
  <c r="I95" i="6"/>
  <c r="M94" i="6"/>
  <c r="I94" i="6"/>
  <c r="M93" i="6"/>
  <c r="I93" i="6"/>
  <c r="M92" i="6"/>
  <c r="I92" i="6"/>
  <c r="M91" i="6"/>
  <c r="I91" i="6"/>
  <c r="M90" i="6"/>
  <c r="I90" i="6"/>
  <c r="M89" i="6"/>
  <c r="I89" i="6"/>
  <c r="M88" i="6"/>
  <c r="K88" i="6"/>
  <c r="I88" i="6"/>
  <c r="M87" i="6"/>
  <c r="I87" i="6"/>
  <c r="M86" i="6"/>
  <c r="I86" i="6"/>
  <c r="M85" i="6"/>
  <c r="I85" i="6"/>
  <c r="M84" i="6"/>
  <c r="I84" i="6"/>
  <c r="M83" i="6"/>
  <c r="I83" i="6"/>
  <c r="M82" i="6"/>
  <c r="I82" i="6"/>
  <c r="M81" i="6"/>
  <c r="I81" i="6"/>
  <c r="M80" i="6"/>
  <c r="I80" i="6"/>
  <c r="M79" i="6"/>
  <c r="I79" i="6"/>
  <c r="M78" i="6"/>
  <c r="I78" i="6"/>
  <c r="M77" i="6"/>
  <c r="I77" i="6"/>
  <c r="M76" i="6"/>
  <c r="I76" i="6"/>
  <c r="M75" i="6"/>
  <c r="I75" i="6"/>
  <c r="M74" i="6"/>
  <c r="I74" i="6"/>
  <c r="M73" i="6"/>
  <c r="I73" i="6"/>
  <c r="M72" i="6"/>
  <c r="I72" i="6"/>
  <c r="M71" i="6"/>
  <c r="I71" i="6"/>
  <c r="M70" i="6"/>
  <c r="I70" i="6"/>
  <c r="M69" i="6"/>
  <c r="I69" i="6"/>
  <c r="M68" i="6"/>
  <c r="I68" i="6"/>
  <c r="M67" i="6"/>
  <c r="I67" i="6"/>
  <c r="M66" i="6"/>
  <c r="I66" i="6"/>
  <c r="M65" i="6"/>
  <c r="I65" i="6"/>
  <c r="M64" i="6"/>
  <c r="I64" i="6"/>
  <c r="M63" i="6"/>
  <c r="I63" i="6"/>
  <c r="M62" i="6"/>
  <c r="I62" i="6"/>
  <c r="M61" i="6"/>
  <c r="I61" i="6"/>
  <c r="M60" i="6"/>
  <c r="I60" i="6"/>
  <c r="M59" i="6"/>
  <c r="I59" i="6"/>
  <c r="M58" i="6"/>
  <c r="I58" i="6"/>
  <c r="M57" i="6"/>
  <c r="I57" i="6"/>
  <c r="M56" i="6"/>
  <c r="I56" i="6"/>
  <c r="M55" i="6"/>
  <c r="I55" i="6"/>
  <c r="M54" i="6"/>
  <c r="I54" i="6"/>
  <c r="M53" i="6"/>
  <c r="I53" i="6"/>
  <c r="M52" i="6"/>
  <c r="I52" i="6"/>
  <c r="M51" i="6"/>
  <c r="I51" i="6"/>
  <c r="M50" i="6"/>
  <c r="I50" i="6"/>
  <c r="M49" i="6"/>
  <c r="I49" i="6"/>
  <c r="M48" i="6"/>
  <c r="I48" i="6"/>
  <c r="M47" i="6"/>
  <c r="I47" i="6"/>
  <c r="M46" i="6"/>
  <c r="I46" i="6"/>
  <c r="M45" i="6"/>
  <c r="I45" i="6"/>
  <c r="M44" i="6"/>
  <c r="I44" i="6"/>
  <c r="M43" i="6"/>
  <c r="I43" i="6"/>
  <c r="M42" i="6"/>
  <c r="I42" i="6"/>
  <c r="M41" i="6"/>
  <c r="I41" i="6"/>
  <c r="M40" i="6"/>
  <c r="I40" i="6"/>
  <c r="M39" i="6"/>
  <c r="I39" i="6"/>
  <c r="M38" i="6"/>
  <c r="I38" i="6"/>
  <c r="M37" i="6"/>
  <c r="I37" i="6"/>
  <c r="M36" i="6"/>
  <c r="I36" i="6"/>
  <c r="M35" i="6"/>
  <c r="I35" i="6"/>
  <c r="M34" i="6"/>
  <c r="I34" i="6"/>
  <c r="M33" i="6"/>
  <c r="I33" i="6"/>
  <c r="M32" i="6"/>
  <c r="I32" i="6"/>
  <c r="M31" i="6"/>
  <c r="I31" i="6"/>
  <c r="M30" i="6"/>
  <c r="I30" i="6"/>
  <c r="M29" i="6"/>
  <c r="I29" i="6"/>
  <c r="M28" i="6"/>
  <c r="I28" i="6"/>
  <c r="M27" i="6"/>
  <c r="I27" i="6"/>
  <c r="M26" i="6"/>
  <c r="I26" i="6"/>
  <c r="M25" i="6"/>
  <c r="I25" i="6"/>
  <c r="M24" i="6"/>
  <c r="I24" i="6"/>
  <c r="M23" i="6"/>
  <c r="I23" i="6"/>
  <c r="M22" i="6"/>
  <c r="I22" i="6"/>
  <c r="M21" i="6"/>
  <c r="I21" i="6"/>
  <c r="M20" i="6"/>
  <c r="I20" i="6"/>
  <c r="M19" i="6"/>
  <c r="I19" i="6"/>
  <c r="M18" i="6"/>
  <c r="I18" i="6"/>
  <c r="M17" i="6"/>
  <c r="I17" i="6"/>
  <c r="M16" i="6"/>
  <c r="I16" i="6"/>
  <c r="M15" i="6"/>
  <c r="I15" i="6"/>
  <c r="M14" i="6"/>
  <c r="I14" i="6"/>
  <c r="M13" i="6"/>
  <c r="I13" i="6"/>
  <c r="M12" i="6"/>
  <c r="I12" i="6"/>
  <c r="M11" i="6"/>
  <c r="I11" i="6"/>
  <c r="M10" i="6"/>
  <c r="I10" i="6"/>
  <c r="M9" i="6"/>
  <c r="I9" i="6"/>
  <c r="M8" i="6"/>
  <c r="I8" i="6"/>
  <c r="M7" i="6"/>
  <c r="I7" i="6"/>
  <c r="M6" i="6"/>
  <c r="K6" i="6"/>
  <c r="I6" i="6"/>
  <c r="M5" i="6"/>
  <c r="I5" i="6"/>
  <c r="M4" i="6"/>
  <c r="I4" i="6"/>
  <c r="M3" i="6"/>
  <c r="I3" i="6"/>
  <c r="M2" i="6"/>
  <c r="I2" i="6"/>
  <c r="L231" i="5"/>
  <c r="K231" i="5"/>
  <c r="I231" i="5"/>
  <c r="K230" i="5"/>
  <c r="I230" i="5"/>
  <c r="L230" i="5" s="1"/>
  <c r="L229" i="5"/>
  <c r="K229" i="5"/>
  <c r="I229" i="5"/>
  <c r="K228" i="5"/>
  <c r="I228" i="5"/>
  <c r="L228" i="5" s="1"/>
  <c r="L227" i="5"/>
  <c r="K227" i="5"/>
  <c r="I227" i="5"/>
  <c r="K226" i="5"/>
  <c r="I226" i="5"/>
  <c r="L226" i="5" s="1"/>
  <c r="L225" i="5"/>
  <c r="K225" i="5"/>
  <c r="I225" i="5"/>
  <c r="K224" i="5"/>
  <c r="I224" i="5"/>
  <c r="L224" i="5" s="1"/>
  <c r="L223" i="5"/>
  <c r="K223" i="5"/>
  <c r="I223" i="5"/>
  <c r="K222" i="5"/>
  <c r="I222" i="5"/>
  <c r="L222" i="5" s="1"/>
  <c r="L221" i="5"/>
  <c r="K221" i="5"/>
  <c r="I221" i="5"/>
  <c r="K220" i="5"/>
  <c r="I220" i="5"/>
  <c r="L220" i="5" s="1"/>
  <c r="L219" i="5"/>
  <c r="K219" i="5"/>
  <c r="I219" i="5"/>
  <c r="K218" i="5"/>
  <c r="I218" i="5"/>
  <c r="L218" i="5" s="1"/>
  <c r="L217" i="5"/>
  <c r="K217" i="5"/>
  <c r="I217" i="5"/>
  <c r="K216" i="5"/>
  <c r="I216" i="5"/>
  <c r="L216" i="5" s="1"/>
  <c r="L215" i="5"/>
  <c r="K215" i="5"/>
  <c r="I215" i="5"/>
  <c r="K214" i="5"/>
  <c r="I214" i="5"/>
  <c r="L214" i="5" s="1"/>
  <c r="L213" i="5"/>
  <c r="K213" i="5"/>
  <c r="I213" i="5"/>
  <c r="K212" i="5"/>
  <c r="I212" i="5"/>
  <c r="L212" i="5" s="1"/>
  <c r="L211" i="5"/>
  <c r="K211" i="5"/>
  <c r="I211" i="5"/>
  <c r="K210" i="5"/>
  <c r="I210" i="5"/>
  <c r="L210" i="5" s="1"/>
  <c r="L209" i="5"/>
  <c r="K209" i="5"/>
  <c r="I209" i="5"/>
  <c r="K208" i="5"/>
  <c r="I208" i="5"/>
  <c r="L208" i="5" s="1"/>
  <c r="L207" i="5"/>
  <c r="K207" i="5"/>
  <c r="I207" i="5"/>
  <c r="K206" i="5"/>
  <c r="I206" i="5"/>
  <c r="L206" i="5" s="1"/>
  <c r="L205" i="5"/>
  <c r="K205" i="5"/>
  <c r="I205" i="5"/>
  <c r="K204" i="5"/>
  <c r="I204" i="5"/>
  <c r="L204" i="5" s="1"/>
  <c r="L203" i="5"/>
  <c r="I203" i="5"/>
  <c r="L202" i="5"/>
  <c r="K202" i="5"/>
  <c r="I202" i="5"/>
  <c r="K201" i="5"/>
  <c r="I201" i="5"/>
  <c r="L201" i="5" s="1"/>
  <c r="L200" i="5"/>
  <c r="K200" i="5"/>
  <c r="I200" i="5"/>
  <c r="L199" i="5"/>
  <c r="K199" i="5"/>
  <c r="I199" i="5"/>
  <c r="L198" i="5"/>
  <c r="K198" i="5"/>
  <c r="I198" i="5"/>
  <c r="K197" i="5"/>
  <c r="I197" i="5"/>
  <c r="L197" i="5" s="1"/>
  <c r="L196" i="5"/>
  <c r="K196" i="5"/>
  <c r="I196" i="5"/>
  <c r="L195" i="5"/>
  <c r="K195" i="5"/>
  <c r="I195" i="5"/>
  <c r="L194" i="5"/>
  <c r="K194" i="5"/>
  <c r="I194" i="5"/>
  <c r="K193" i="5"/>
  <c r="I193" i="5"/>
  <c r="L193" i="5" s="1"/>
  <c r="L192" i="5"/>
  <c r="K192" i="5"/>
  <c r="I192" i="5"/>
  <c r="L191" i="5"/>
  <c r="K191" i="5"/>
  <c r="I191" i="5"/>
  <c r="L190" i="5"/>
  <c r="I190" i="5"/>
  <c r="K189" i="5"/>
  <c r="I189" i="5"/>
  <c r="L189" i="5" s="1"/>
  <c r="K188" i="5"/>
  <c r="I188" i="5"/>
  <c r="L188" i="5" s="1"/>
  <c r="K187" i="5"/>
  <c r="I187" i="5"/>
  <c r="L187" i="5" s="1"/>
  <c r="L186" i="5"/>
  <c r="K186" i="5"/>
  <c r="I186" i="5"/>
  <c r="K185" i="5"/>
  <c r="I185" i="5"/>
  <c r="L185" i="5" s="1"/>
  <c r="K184" i="5"/>
  <c r="I184" i="5"/>
  <c r="L184" i="5" s="1"/>
  <c r="K183" i="5"/>
  <c r="I183" i="5"/>
  <c r="L183" i="5" s="1"/>
  <c r="L182" i="5"/>
  <c r="K182" i="5"/>
  <c r="I182" i="5"/>
  <c r="K181" i="5"/>
  <c r="I181" i="5"/>
  <c r="L181" i="5" s="1"/>
  <c r="K180" i="5"/>
  <c r="I180" i="5"/>
  <c r="L180" i="5" s="1"/>
  <c r="K179" i="5"/>
  <c r="I179" i="5"/>
  <c r="L179" i="5" s="1"/>
  <c r="L178" i="5"/>
  <c r="K178" i="5"/>
  <c r="I178" i="5"/>
  <c r="K177" i="5"/>
  <c r="I177" i="5"/>
  <c r="L177" i="5" s="1"/>
  <c r="K176" i="5"/>
  <c r="I176" i="5"/>
  <c r="L176" i="5" s="1"/>
  <c r="K175" i="5"/>
  <c r="I175" i="5"/>
  <c r="L175" i="5" s="1"/>
  <c r="L174" i="5"/>
  <c r="K174" i="5"/>
  <c r="I174" i="5"/>
  <c r="K173" i="5"/>
  <c r="I173" i="5"/>
  <c r="L173" i="5" s="1"/>
  <c r="K172" i="5"/>
  <c r="I172" i="5"/>
  <c r="L172" i="5" s="1"/>
  <c r="K171" i="5"/>
  <c r="I171" i="5"/>
  <c r="L171" i="5" s="1"/>
  <c r="L170" i="5"/>
  <c r="K170" i="5"/>
  <c r="I170" i="5"/>
  <c r="K169" i="5"/>
  <c r="I169" i="5"/>
  <c r="L169" i="5" s="1"/>
  <c r="K168" i="5"/>
  <c r="I168" i="5"/>
  <c r="L168" i="5" s="1"/>
  <c r="K167" i="5"/>
  <c r="I167" i="5"/>
  <c r="L167" i="5" s="1"/>
  <c r="L166" i="5"/>
  <c r="K166" i="5"/>
  <c r="I166" i="5"/>
  <c r="K165" i="5"/>
  <c r="I165" i="5"/>
  <c r="L165" i="5" s="1"/>
  <c r="K164" i="5"/>
  <c r="I164" i="5"/>
  <c r="L164" i="5" s="1"/>
  <c r="K163" i="5"/>
  <c r="I163" i="5"/>
  <c r="L163" i="5" s="1"/>
  <c r="L162" i="5"/>
  <c r="K162" i="5"/>
  <c r="I162" i="5"/>
  <c r="K161" i="5"/>
  <c r="I161" i="5"/>
  <c r="L160" i="5"/>
  <c r="K160" i="5"/>
  <c r="I160" i="5"/>
  <c r="K159" i="5"/>
  <c r="I159" i="5"/>
  <c r="L159" i="5" s="1"/>
  <c r="L158" i="5"/>
  <c r="K158" i="5"/>
  <c r="I158" i="5"/>
  <c r="K157" i="5"/>
  <c r="I157" i="5"/>
  <c r="L157" i="5" s="1"/>
  <c r="L156" i="5"/>
  <c r="K156" i="5"/>
  <c r="I156" i="5"/>
  <c r="K155" i="5"/>
  <c r="I155" i="5"/>
  <c r="L155" i="5" s="1"/>
  <c r="L154" i="5"/>
  <c r="K154" i="5"/>
  <c r="I154" i="5"/>
  <c r="K153" i="5"/>
  <c r="I153" i="5"/>
  <c r="L153" i="5" s="1"/>
  <c r="L152" i="5"/>
  <c r="K152" i="5"/>
  <c r="I152" i="5"/>
  <c r="K151" i="5"/>
  <c r="I151" i="5"/>
  <c r="L151" i="5" s="1"/>
  <c r="L150" i="5"/>
  <c r="K150" i="5"/>
  <c r="I150" i="5"/>
  <c r="K149" i="5"/>
  <c r="I149" i="5"/>
  <c r="L149" i="5" s="1"/>
  <c r="L148" i="5"/>
  <c r="K148" i="5"/>
  <c r="I148" i="5"/>
  <c r="L147" i="5"/>
  <c r="K147" i="5"/>
  <c r="L146" i="5"/>
  <c r="K146" i="5"/>
  <c r="I146" i="5"/>
  <c r="L145" i="5"/>
  <c r="K145" i="5"/>
  <c r="I145" i="5"/>
  <c r="K144" i="5"/>
  <c r="I144" i="5"/>
  <c r="L144" i="5" s="1"/>
  <c r="L143" i="5"/>
  <c r="K143" i="5"/>
  <c r="I143" i="5"/>
  <c r="L142" i="5"/>
  <c r="K142" i="5"/>
  <c r="I142" i="5"/>
  <c r="L141" i="5"/>
  <c r="K141" i="5"/>
  <c r="I141" i="5"/>
  <c r="K140" i="5"/>
  <c r="I140" i="5"/>
  <c r="L140" i="5" s="1"/>
  <c r="L139" i="5"/>
  <c r="K139" i="5"/>
  <c r="I139" i="5"/>
  <c r="L138" i="5"/>
  <c r="K138" i="5"/>
  <c r="I138" i="5"/>
  <c r="L137" i="5"/>
  <c r="K137" i="5"/>
  <c r="I137" i="5"/>
  <c r="K136" i="5"/>
  <c r="I136" i="5"/>
  <c r="L136" i="5" s="1"/>
  <c r="L135" i="5"/>
  <c r="K135" i="5"/>
  <c r="I135" i="5"/>
  <c r="L134" i="5"/>
  <c r="K134" i="5"/>
  <c r="I134" i="5"/>
  <c r="L133" i="5"/>
  <c r="K133" i="5"/>
  <c r="K132" i="5"/>
  <c r="I132" i="5"/>
  <c r="L132" i="5" s="1"/>
  <c r="K131" i="5"/>
  <c r="I131" i="5"/>
  <c r="L131" i="5" s="1"/>
  <c r="K130" i="5"/>
  <c r="I130" i="5"/>
  <c r="L130" i="5" s="1"/>
  <c r="L129" i="5"/>
  <c r="K129" i="5"/>
  <c r="I129" i="5"/>
  <c r="K128" i="5"/>
  <c r="I128" i="5"/>
  <c r="L128" i="5" s="1"/>
  <c r="K127" i="5"/>
  <c r="I127" i="5"/>
  <c r="L127" i="5" s="1"/>
  <c r="K126" i="5"/>
  <c r="I126" i="5"/>
  <c r="L126" i="5" s="1"/>
  <c r="L125" i="5"/>
  <c r="K125" i="5"/>
  <c r="I125" i="5"/>
  <c r="K124" i="5"/>
  <c r="I124" i="5"/>
  <c r="L124" i="5" s="1"/>
  <c r="L123" i="5"/>
  <c r="K123" i="5"/>
  <c r="I123" i="5"/>
  <c r="K122" i="5"/>
  <c r="I122" i="5"/>
  <c r="L122" i="5" s="1"/>
  <c r="L121" i="5"/>
  <c r="K121" i="5"/>
  <c r="I121" i="5"/>
  <c r="K120" i="5"/>
  <c r="I120" i="5"/>
  <c r="L120" i="5" s="1"/>
  <c r="L119" i="5"/>
  <c r="K119" i="5"/>
  <c r="K118" i="5"/>
  <c r="I118" i="5"/>
  <c r="L118" i="5" s="1"/>
  <c r="L117" i="5"/>
  <c r="K117" i="5"/>
  <c r="I117" i="5"/>
  <c r="K116" i="5"/>
  <c r="I116" i="5"/>
  <c r="L116" i="5" s="1"/>
  <c r="L115" i="5"/>
  <c r="K115" i="5"/>
  <c r="I115" i="5"/>
  <c r="K114" i="5"/>
  <c r="I114" i="5"/>
  <c r="L114" i="5" s="1"/>
  <c r="L113" i="5"/>
  <c r="K113" i="5"/>
  <c r="I113" i="5"/>
  <c r="K112" i="5"/>
  <c r="I112" i="5"/>
  <c r="L112" i="5" s="1"/>
  <c r="L111" i="5"/>
  <c r="K111" i="5"/>
  <c r="I111" i="5"/>
  <c r="K110" i="5"/>
  <c r="I110" i="5"/>
  <c r="L110" i="5" s="1"/>
  <c r="L109" i="5"/>
  <c r="K109" i="5"/>
  <c r="I109" i="5"/>
  <c r="K108" i="5"/>
  <c r="I108" i="5"/>
  <c r="L108" i="5" s="1"/>
  <c r="L107" i="5"/>
  <c r="K107" i="5"/>
  <c r="I107" i="5"/>
  <c r="K106" i="5"/>
  <c r="I106" i="5"/>
  <c r="L106" i="5" s="1"/>
  <c r="L105" i="5"/>
  <c r="K105" i="5"/>
  <c r="I105" i="5"/>
  <c r="K104" i="5"/>
  <c r="I104" i="5"/>
  <c r="L104" i="5" s="1"/>
  <c r="L103" i="5"/>
  <c r="K103" i="5"/>
  <c r="I103" i="5"/>
  <c r="K102" i="5"/>
  <c r="I102" i="5"/>
  <c r="L102" i="5" s="1"/>
  <c r="L101" i="5"/>
  <c r="K101" i="5"/>
  <c r="I101" i="5"/>
  <c r="K100" i="5"/>
  <c r="I100" i="5"/>
  <c r="L100" i="5" s="1"/>
  <c r="L99" i="5"/>
  <c r="K99" i="5"/>
  <c r="I99" i="5"/>
  <c r="K98" i="5"/>
  <c r="I98" i="5"/>
  <c r="L98" i="5" s="1"/>
  <c r="L97" i="5"/>
  <c r="K97" i="5"/>
  <c r="I97" i="5"/>
  <c r="K96" i="5"/>
  <c r="I96" i="5"/>
  <c r="L96" i="5" s="1"/>
  <c r="L95" i="5"/>
  <c r="K95" i="5"/>
  <c r="I95" i="5"/>
  <c r="K94" i="5"/>
  <c r="I94" i="5"/>
  <c r="L93" i="5"/>
  <c r="K93" i="5"/>
  <c r="I93" i="5"/>
  <c r="L92" i="5"/>
  <c r="K92" i="5"/>
  <c r="I92" i="5"/>
  <c r="K91" i="5"/>
  <c r="I91" i="5"/>
  <c r="L91" i="5" s="1"/>
  <c r="L90" i="5"/>
  <c r="K90" i="5"/>
  <c r="I90" i="5"/>
  <c r="L89" i="5"/>
  <c r="K89" i="5"/>
  <c r="I89" i="5"/>
  <c r="L88" i="5"/>
  <c r="K88" i="5"/>
  <c r="I88" i="5"/>
  <c r="K87" i="5"/>
  <c r="I87" i="5"/>
  <c r="L87" i="5" s="1"/>
  <c r="L86" i="5"/>
  <c r="K86" i="5"/>
  <c r="I86" i="5"/>
  <c r="L85" i="5"/>
  <c r="K85" i="5"/>
  <c r="I85" i="5"/>
  <c r="L84" i="5"/>
  <c r="K84" i="5"/>
  <c r="I84" i="5"/>
  <c r="K83" i="5"/>
  <c r="I83" i="5"/>
  <c r="L83" i="5" s="1"/>
  <c r="L82" i="5"/>
  <c r="K82" i="5"/>
  <c r="I82" i="5"/>
  <c r="L81" i="5"/>
  <c r="K81" i="5"/>
  <c r="I81" i="5"/>
  <c r="K80" i="5"/>
  <c r="I80" i="5"/>
  <c r="K79" i="5"/>
  <c r="I79" i="5"/>
  <c r="L79" i="5" s="1"/>
  <c r="K78" i="5"/>
  <c r="I78" i="5"/>
  <c r="L78" i="5" s="1"/>
  <c r="L77" i="5"/>
  <c r="K77" i="5"/>
  <c r="L76" i="5"/>
  <c r="K76" i="5"/>
  <c r="L75" i="5"/>
  <c r="K75" i="5"/>
  <c r="I75" i="5"/>
  <c r="K74" i="5"/>
  <c r="I74" i="5"/>
  <c r="L74" i="5" s="1"/>
  <c r="L73" i="5"/>
  <c r="K73" i="5"/>
  <c r="I73" i="5"/>
  <c r="L72" i="5"/>
  <c r="K72" i="5"/>
  <c r="I72" i="5"/>
  <c r="L71" i="5"/>
  <c r="K71" i="5"/>
  <c r="I71" i="5"/>
  <c r="K70" i="5"/>
  <c r="I70" i="5"/>
  <c r="L70" i="5" s="1"/>
  <c r="L69" i="5"/>
  <c r="K69" i="5"/>
  <c r="I69" i="5"/>
  <c r="L68" i="5"/>
  <c r="K68" i="5"/>
  <c r="I68" i="5"/>
  <c r="L67" i="5"/>
  <c r="K67" i="5"/>
  <c r="I67" i="5"/>
  <c r="K66" i="5"/>
  <c r="I66" i="5"/>
  <c r="L66" i="5" s="1"/>
  <c r="K65" i="5"/>
  <c r="I65" i="5"/>
  <c r="K64" i="5"/>
  <c r="I64" i="5"/>
  <c r="L64" i="5" s="1"/>
  <c r="L63" i="5"/>
  <c r="K63" i="5"/>
  <c r="I63" i="5"/>
  <c r="L62" i="5"/>
  <c r="K62" i="5"/>
  <c r="L61" i="5"/>
  <c r="K61" i="5"/>
  <c r="I61" i="5"/>
  <c r="K60" i="5"/>
  <c r="I60" i="5"/>
  <c r="L60" i="5" s="1"/>
  <c r="L59" i="5"/>
  <c r="K59" i="5"/>
  <c r="I59" i="5"/>
  <c r="K58" i="5"/>
  <c r="I58" i="5"/>
  <c r="L58" i="5" s="1"/>
  <c r="L57" i="5"/>
  <c r="K57" i="5"/>
  <c r="I57" i="5"/>
  <c r="K56" i="5"/>
  <c r="I56" i="5"/>
  <c r="L56" i="5" s="1"/>
  <c r="L55" i="5"/>
  <c r="K55" i="5"/>
  <c r="I55" i="5"/>
  <c r="K54" i="5"/>
  <c r="I54" i="5"/>
  <c r="L54" i="5" s="1"/>
  <c r="L53" i="5"/>
  <c r="K53" i="5"/>
  <c r="I53" i="5"/>
  <c r="K52" i="5"/>
  <c r="I52" i="5"/>
  <c r="L52" i="5" s="1"/>
  <c r="L51" i="5"/>
  <c r="K51" i="5"/>
  <c r="I51" i="5"/>
  <c r="K50" i="5"/>
  <c r="I50" i="5"/>
  <c r="L50" i="5" s="1"/>
  <c r="L49" i="5"/>
  <c r="K49" i="5"/>
  <c r="I49" i="5"/>
  <c r="K48" i="5"/>
  <c r="I48" i="5"/>
  <c r="L48" i="5" s="1"/>
  <c r="L47" i="5"/>
  <c r="K47" i="5"/>
  <c r="L46" i="5"/>
  <c r="K46" i="5"/>
  <c r="I46" i="5"/>
  <c r="K45" i="5"/>
  <c r="I45" i="5"/>
  <c r="L45" i="5" s="1"/>
  <c r="L44" i="5"/>
  <c r="K44" i="5"/>
  <c r="I44" i="5"/>
  <c r="L43" i="5"/>
  <c r="K43" i="5"/>
  <c r="I43" i="5"/>
  <c r="L42" i="5"/>
  <c r="K42" i="5"/>
  <c r="I42" i="5"/>
  <c r="K41" i="5"/>
  <c r="I41" i="5"/>
  <c r="L41" i="5" s="1"/>
  <c r="L40" i="5"/>
  <c r="K40" i="5"/>
  <c r="I40" i="5"/>
  <c r="L39" i="5"/>
  <c r="K39" i="5"/>
  <c r="I39" i="5"/>
  <c r="L38" i="5"/>
  <c r="K38" i="5"/>
  <c r="I38" i="5"/>
  <c r="K37" i="5"/>
  <c r="I37" i="5"/>
  <c r="L37" i="5" s="1"/>
  <c r="L36" i="5"/>
  <c r="K36" i="5"/>
  <c r="I36" i="5"/>
  <c r="L35" i="5"/>
  <c r="K35" i="5"/>
  <c r="I35" i="5"/>
  <c r="L34" i="5"/>
  <c r="K34" i="5"/>
  <c r="I34" i="5"/>
  <c r="K33" i="5"/>
  <c r="I33" i="5"/>
  <c r="L33" i="5" s="1"/>
  <c r="L32" i="5"/>
  <c r="K32" i="5"/>
  <c r="K31" i="5"/>
  <c r="I31" i="5"/>
  <c r="L31" i="5" s="1"/>
  <c r="L30" i="5"/>
  <c r="K30" i="5"/>
  <c r="I30" i="5"/>
  <c r="K29" i="5"/>
  <c r="I29" i="5"/>
  <c r="L29" i="5" s="1"/>
  <c r="K28" i="5"/>
  <c r="I28" i="5"/>
  <c r="L28" i="5" s="1"/>
  <c r="K27" i="5"/>
  <c r="I27" i="5"/>
  <c r="L27" i="5" s="1"/>
  <c r="L26" i="5"/>
  <c r="K26" i="5"/>
  <c r="I26" i="5"/>
  <c r="K25" i="5"/>
  <c r="I25" i="5"/>
  <c r="L25" i="5" s="1"/>
  <c r="K24" i="5"/>
  <c r="I24" i="5"/>
  <c r="L24" i="5" s="1"/>
  <c r="K23" i="5"/>
  <c r="I23" i="5"/>
  <c r="L23" i="5" s="1"/>
  <c r="L22" i="5"/>
  <c r="K22" i="5"/>
  <c r="I22" i="5"/>
  <c r="K21" i="5"/>
  <c r="I21" i="5"/>
  <c r="L21" i="5" s="1"/>
  <c r="K20" i="5"/>
  <c r="I20" i="5"/>
  <c r="K19" i="5"/>
  <c r="I19" i="5"/>
  <c r="L19" i="5" s="1"/>
  <c r="L18" i="5"/>
  <c r="K18" i="5"/>
  <c r="I18" i="5"/>
  <c r="L17" i="5"/>
  <c r="K17" i="5"/>
  <c r="K16" i="5"/>
  <c r="I16" i="5"/>
  <c r="L16" i="5" s="1"/>
  <c r="L15" i="5"/>
  <c r="K15" i="5"/>
  <c r="I15" i="5"/>
  <c r="L14" i="5"/>
  <c r="K14" i="5"/>
  <c r="I14" i="5"/>
  <c r="L13" i="5"/>
  <c r="K13" i="5"/>
  <c r="I13" i="5"/>
  <c r="K12" i="5"/>
  <c r="I12" i="5"/>
  <c r="L12" i="5" s="1"/>
  <c r="L11" i="5"/>
  <c r="K11" i="5"/>
  <c r="I11" i="5"/>
  <c r="L10" i="5"/>
  <c r="K10" i="5"/>
  <c r="I10" i="5"/>
  <c r="L9" i="5"/>
  <c r="K9" i="5"/>
  <c r="I9" i="5"/>
  <c r="K8" i="5"/>
  <c r="I8" i="5"/>
  <c r="L8" i="5" s="1"/>
  <c r="L7" i="5"/>
  <c r="K7" i="5"/>
  <c r="I7" i="5"/>
  <c r="L6" i="5"/>
  <c r="K6" i="5"/>
  <c r="I6" i="5"/>
  <c r="L5" i="5"/>
  <c r="K5" i="5"/>
  <c r="I5" i="5"/>
  <c r="K4" i="5"/>
  <c r="I4" i="5"/>
  <c r="L4" i="5" s="1"/>
  <c r="L3" i="5"/>
  <c r="K3" i="5"/>
  <c r="I3" i="5"/>
  <c r="L2" i="5"/>
  <c r="K2" i="5"/>
  <c r="I2" i="5"/>
  <c r="V37" i="4"/>
  <c r="U37" i="4"/>
  <c r="V36" i="4"/>
  <c r="U36" i="4"/>
  <c r="V35" i="4"/>
  <c r="U35" i="4"/>
  <c r="V34" i="4"/>
  <c r="U34" i="4"/>
  <c r="V33" i="4"/>
  <c r="U33" i="4"/>
  <c r="V32" i="4"/>
  <c r="U32" i="4"/>
  <c r="V31" i="4"/>
  <c r="U31" i="4"/>
  <c r="V30" i="4"/>
  <c r="U30" i="4"/>
  <c r="V29" i="4"/>
  <c r="U29" i="4"/>
  <c r="V28" i="4"/>
  <c r="U28" i="4"/>
  <c r="V27" i="4"/>
  <c r="U27" i="4"/>
  <c r="V26" i="4"/>
  <c r="U26" i="4"/>
  <c r="V25" i="4"/>
  <c r="U25" i="4"/>
  <c r="V24" i="4"/>
  <c r="U24" i="4"/>
  <c r="V23" i="4"/>
  <c r="U23" i="4"/>
  <c r="V22" i="4"/>
  <c r="U22" i="4"/>
  <c r="V21" i="4"/>
  <c r="U21" i="4"/>
  <c r="U20" i="4"/>
  <c r="V19" i="4"/>
  <c r="U19" i="4"/>
  <c r="V18" i="4"/>
  <c r="U18" i="4"/>
  <c r="V17" i="4"/>
  <c r="U17" i="4"/>
  <c r="V16" i="4"/>
  <c r="U16" i="4"/>
  <c r="V15" i="4"/>
  <c r="U15" i="4"/>
  <c r="V14" i="4"/>
  <c r="U14" i="4"/>
  <c r="V13" i="4"/>
  <c r="U13" i="4"/>
  <c r="V12" i="4"/>
  <c r="U12" i="4"/>
  <c r="V11" i="4"/>
  <c r="U11" i="4"/>
  <c r="V10" i="4"/>
  <c r="U10" i="4"/>
  <c r="V9" i="4"/>
  <c r="U9" i="4"/>
  <c r="V8" i="4"/>
  <c r="U8" i="4"/>
  <c r="V7" i="4"/>
  <c r="U7" i="4"/>
  <c r="V6" i="4"/>
  <c r="U6" i="4"/>
  <c r="V5" i="4"/>
  <c r="U5" i="4"/>
  <c r="V4" i="4"/>
  <c r="U4" i="4"/>
  <c r="V3" i="4"/>
  <c r="U3" i="4"/>
  <c r="V2" i="4"/>
  <c r="U2" i="4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R4" i="1"/>
  <c r="R3" i="1"/>
  <c r="R2" i="1"/>
  <c r="D563" i="10" l="1" a="1"/>
  <c r="D563" i="10" s="1"/>
  <c r="E563" i="10"/>
  <c r="E574" i="10"/>
  <c r="D574" i="10" a="1"/>
  <c r="D574" i="10" s="1"/>
  <c r="D599" i="10" a="1"/>
  <c r="D599" i="10" s="1"/>
  <c r="E599" i="10"/>
  <c r="E610" i="10"/>
  <c r="D610" i="10" a="1"/>
  <c r="D610" i="10" s="1"/>
  <c r="D566" i="10" a="1"/>
  <c r="D566" i="10" s="1"/>
  <c r="E566" i="10"/>
  <c r="E577" i="10"/>
  <c r="D577" i="10" a="1"/>
  <c r="D577" i="10" s="1"/>
  <c r="D602" i="10" a="1"/>
  <c r="D602" i="10" s="1"/>
  <c r="E602" i="10"/>
  <c r="D569" i="10" a="1"/>
  <c r="D569" i="10" s="1"/>
  <c r="E569" i="10"/>
  <c r="E580" i="10"/>
  <c r="D580" i="10" a="1"/>
  <c r="D580" i="10" s="1"/>
  <c r="D605" i="10" a="1"/>
  <c r="D605" i="10" s="1"/>
  <c r="E605" i="10"/>
  <c r="D572" i="10" a="1"/>
  <c r="D572" i="10" s="1"/>
  <c r="E572" i="10"/>
  <c r="E583" i="10"/>
  <c r="D583" i="10" a="1"/>
  <c r="D583" i="10" s="1"/>
  <c r="D608" i="10" a="1"/>
  <c r="D608" i="10" s="1"/>
  <c r="E608" i="10"/>
  <c r="D575" i="10" a="1"/>
  <c r="D575" i="10" s="1"/>
  <c r="E575" i="10"/>
  <c r="E586" i="10"/>
  <c r="D586" i="10" a="1"/>
  <c r="D586" i="10" s="1"/>
  <c r="D611" i="10" a="1"/>
  <c r="D611" i="10" s="1"/>
  <c r="E611" i="10"/>
  <c r="D578" i="10" a="1"/>
  <c r="D578" i="10" s="1"/>
  <c r="E578" i="10"/>
  <c r="E589" i="10"/>
  <c r="D589" i="10" a="1"/>
  <c r="D589" i="10" s="1"/>
  <c r="D581" i="10" a="1"/>
  <c r="D581" i="10" s="1"/>
  <c r="E581" i="10"/>
  <c r="E592" i="10"/>
  <c r="D592" i="10" a="1"/>
  <c r="D592" i="10" s="1"/>
  <c r="D584" i="10" a="1"/>
  <c r="D584" i="10" s="1"/>
  <c r="E584" i="10"/>
  <c r="E595" i="10"/>
  <c r="D595" i="10" a="1"/>
  <c r="D595" i="10" s="1"/>
  <c r="E562" i="10"/>
  <c r="D562" i="10" a="1"/>
  <c r="D562" i="10" s="1"/>
  <c r="D587" i="10" a="1"/>
  <c r="D587" i="10" s="1"/>
  <c r="E587" i="10"/>
  <c r="E598" i="10"/>
  <c r="D598" i="10" a="1"/>
  <c r="D598" i="10" s="1"/>
  <c r="E565" i="10"/>
  <c r="D565" i="10" a="1"/>
  <c r="D565" i="10" s="1"/>
  <c r="D590" i="10" a="1"/>
  <c r="D590" i="10" s="1"/>
  <c r="E590" i="10"/>
  <c r="E601" i="10"/>
  <c r="D601" i="10" a="1"/>
  <c r="D601" i="10" s="1"/>
  <c r="E568" i="10"/>
  <c r="D568" i="10" a="1"/>
  <c r="D568" i="10" s="1"/>
  <c r="D593" i="10" a="1"/>
  <c r="D593" i="10" s="1"/>
  <c r="E593" i="10"/>
  <c r="E604" i="10"/>
  <c r="D604" i="10" a="1"/>
  <c r="D604" i="10" s="1"/>
  <c r="C543" i="10" a="1"/>
  <c r="C543" i="10" s="1"/>
  <c r="E503" i="10" s="1"/>
  <c r="E571" i="10"/>
  <c r="D571" i="10" a="1"/>
  <c r="D571" i="10" s="1"/>
  <c r="D596" i="10" a="1"/>
  <c r="D596" i="10" s="1"/>
  <c r="E596" i="10"/>
  <c r="E607" i="10"/>
  <c r="D607" i="10" a="1"/>
  <c r="D607" i="10" s="1"/>
  <c r="D561" i="10" a="1"/>
  <c r="D561" i="10" s="1"/>
  <c r="D564" i="10" a="1"/>
  <c r="D564" i="10" s="1"/>
  <c r="D567" i="10" a="1"/>
  <c r="D567" i="10" s="1"/>
  <c r="D570" i="10" a="1"/>
  <c r="D570" i="10" s="1"/>
  <c r="D573" i="10" a="1"/>
  <c r="D573" i="10" s="1"/>
  <c r="D576" i="10" a="1"/>
  <c r="D576" i="10" s="1"/>
  <c r="D579" i="10" a="1"/>
  <c r="D579" i="10" s="1"/>
  <c r="D582" i="10" a="1"/>
  <c r="D582" i="10" s="1"/>
  <c r="D585" i="10" a="1"/>
  <c r="D585" i="10" s="1"/>
  <c r="D588" i="10" a="1"/>
  <c r="D588" i="10" s="1"/>
  <c r="D591" i="10" a="1"/>
  <c r="D591" i="10" s="1"/>
  <c r="D594" i="10" a="1"/>
  <c r="D594" i="10" s="1"/>
  <c r="D597" i="10" a="1"/>
  <c r="D597" i="10" s="1"/>
  <c r="D600" i="10" a="1"/>
  <c r="D600" i="10" s="1"/>
  <c r="D603" i="10" a="1"/>
  <c r="D603" i="10" s="1"/>
  <c r="D606" i="10" a="1"/>
  <c r="D606" i="10" s="1"/>
  <c r="D609" i="10" a="1"/>
  <c r="D609" i="10" s="1"/>
  <c r="D612" i="10" a="1"/>
  <c r="D612" i="10" s="1"/>
  <c r="D477" i="10" l="1" a="1"/>
  <c r="D477" i="10" s="1"/>
  <c r="AH429" i="10"/>
  <c r="E499" i="10"/>
  <c r="D463" i="10" a="1"/>
  <c r="D463" i="10" s="1"/>
  <c r="E470" i="10"/>
  <c r="E510" i="10"/>
  <c r="E557" i="10"/>
  <c r="AH531" i="10"/>
  <c r="E441" i="10"/>
  <c r="E489" i="10"/>
  <c r="E554" i="10"/>
  <c r="E421" i="10"/>
  <c r="E468" i="10"/>
  <c r="AH539" i="10"/>
  <c r="AH473" i="10"/>
  <c r="D517" i="10" a="1"/>
  <c r="D517" i="10" s="1"/>
  <c r="E434" i="10"/>
  <c r="AH490" i="10"/>
  <c r="E498" i="10"/>
  <c r="D545" i="10" a="1"/>
  <c r="D545" i="10" s="1"/>
  <c r="D450" i="10" a="1"/>
  <c r="D450" i="10" s="1"/>
  <c r="E505" i="10"/>
  <c r="E462" i="10"/>
  <c r="AH517" i="10"/>
  <c r="D471" i="10" a="1"/>
  <c r="D471" i="10" s="1"/>
  <c r="D511" i="10" a="1"/>
  <c r="D511" i="10" s="1"/>
  <c r="D424" i="10" a="1"/>
  <c r="D424" i="10" s="1"/>
  <c r="E476" i="10"/>
  <c r="D518" i="10" a="1"/>
  <c r="D518" i="10" s="1"/>
  <c r="E513" i="10"/>
  <c r="E558" i="10"/>
  <c r="AH507" i="10"/>
  <c r="E555" i="10"/>
  <c r="D547" i="10" a="1"/>
  <c r="D547" i="10" s="1"/>
  <c r="D457" i="10" a="1"/>
  <c r="D457" i="10" s="1"/>
  <c r="AH515" i="10"/>
  <c r="D469" i="10" a="1"/>
  <c r="D469" i="10" s="1"/>
  <c r="D525" i="10" a="1"/>
  <c r="D525" i="10" s="1"/>
  <c r="AH472" i="10"/>
  <c r="D516" i="10" a="1"/>
  <c r="D516" i="10" s="1"/>
  <c r="AH425" i="10"/>
  <c r="D486" i="10" a="1"/>
  <c r="D486" i="10" s="1"/>
  <c r="D527" i="10" a="1"/>
  <c r="D527" i="10" s="1"/>
  <c r="AH514" i="10"/>
  <c r="D560" i="10" a="1"/>
  <c r="D560" i="10" s="1"/>
  <c r="D515" i="10" a="1"/>
  <c r="D515" i="10" s="1"/>
  <c r="E549" i="10"/>
  <c r="D498" i="10" a="1"/>
  <c r="D498" i="10" s="1"/>
  <c r="D555" i="10" a="1"/>
  <c r="D555" i="10" s="1"/>
  <c r="AH478" i="10"/>
  <c r="E526" i="10"/>
  <c r="D448" i="10" a="1"/>
  <c r="D448" i="10" s="1"/>
  <c r="D503" i="10" a="1"/>
  <c r="D503" i="10" s="1"/>
  <c r="D505" i="10" a="1"/>
  <c r="D505" i="10" s="1"/>
  <c r="D552" i="10" a="1"/>
  <c r="D552" i="10" s="1"/>
  <c r="AH458" i="10"/>
  <c r="E523" i="10"/>
  <c r="E474" i="10"/>
  <c r="AH526" i="10"/>
  <c r="D476" i="10" a="1"/>
  <c r="D476" i="10" s="1"/>
  <c r="AH519" i="10"/>
  <c r="E429" i="10"/>
  <c r="AH489" i="10"/>
  <c r="E539" i="10"/>
  <c r="E518" i="10"/>
  <c r="D480" i="10" a="1"/>
  <c r="D480" i="10" s="1"/>
  <c r="D524" i="10" a="1"/>
  <c r="D524" i="10" s="1"/>
  <c r="E533" i="10"/>
  <c r="AH522" i="10"/>
  <c r="AH476" i="10"/>
  <c r="D482" i="10" a="1"/>
  <c r="D482" i="10" s="1"/>
  <c r="AH529" i="10"/>
  <c r="D514" i="10" a="1"/>
  <c r="D514" i="10" s="1"/>
  <c r="AH506" i="10"/>
  <c r="E559" i="10"/>
  <c r="D462" i="10" a="1"/>
  <c r="D462" i="10" s="1"/>
  <c r="E530" i="10"/>
  <c r="D481" i="10" a="1"/>
  <c r="D481" i="10" s="1"/>
  <c r="D532" i="10" a="1"/>
  <c r="D532" i="10" s="1"/>
  <c r="AH477" i="10"/>
  <c r="E525" i="10"/>
  <c r="E433" i="10"/>
  <c r="E495" i="10"/>
  <c r="D558" i="10" a="1"/>
  <c r="D558" i="10" s="1"/>
  <c r="D520" i="10" a="1"/>
  <c r="D520" i="10" s="1"/>
  <c r="AH481" i="10"/>
  <c r="AH525" i="10"/>
  <c r="E534" i="10"/>
  <c r="AH433" i="10"/>
  <c r="D557" i="10" a="1"/>
  <c r="D557" i="10" s="1"/>
  <c r="AH449" i="10"/>
  <c r="E515" i="10"/>
  <c r="D446" i="10" a="1"/>
  <c r="D446" i="10" s="1"/>
  <c r="E485" i="10"/>
  <c r="E538" i="10"/>
  <c r="D415" i="10" a="1"/>
  <c r="D415" i="10" s="1"/>
  <c r="AH463" i="10"/>
  <c r="D535" i="10" a="1"/>
  <c r="D535" i="10" s="1"/>
  <c r="AH485" i="10"/>
  <c r="E535" i="10"/>
  <c r="E481" i="10"/>
  <c r="E532" i="10"/>
  <c r="E445" i="10"/>
  <c r="D497" i="10" a="1"/>
  <c r="D497" i="10" s="1"/>
  <c r="D478" i="10" a="1"/>
  <c r="D478" i="10" s="1"/>
  <c r="D522" i="10" a="1"/>
  <c r="D522" i="10" s="1"/>
  <c r="AH484" i="10"/>
  <c r="D531" i="10" a="1"/>
  <c r="D531" i="10" s="1"/>
  <c r="E472" i="10"/>
  <c r="D437" i="10" a="1"/>
  <c r="D437" i="10" s="1"/>
  <c r="E480" i="10"/>
  <c r="D455" i="10" a="1"/>
  <c r="D455" i="10" s="1"/>
  <c r="E517" i="10"/>
  <c r="E519" i="10"/>
  <c r="E442" i="10"/>
  <c r="E492" i="10"/>
  <c r="E453" i="10"/>
  <c r="AH488" i="10"/>
  <c r="D540" i="10" a="1"/>
  <c r="D540" i="10" s="1"/>
  <c r="AH456" i="10"/>
  <c r="D519" i="10" a="1"/>
  <c r="D519" i="10" s="1"/>
  <c r="E521" i="10"/>
  <c r="AH416" i="10"/>
  <c r="E467" i="10"/>
  <c r="AH538" i="10"/>
  <c r="E491" i="10"/>
  <c r="D537" i="10" a="1"/>
  <c r="D537" i="10" s="1"/>
  <c r="AH482" i="10"/>
  <c r="AH533" i="10"/>
  <c r="D447" i="10" a="1"/>
  <c r="D447" i="10" s="1"/>
  <c r="AH498" i="10"/>
  <c r="AH479" i="10"/>
  <c r="AH523" i="10"/>
  <c r="E490" i="10"/>
  <c r="AH532" i="10"/>
  <c r="E553" i="10"/>
  <c r="AH543" i="10"/>
  <c r="E543" i="10"/>
  <c r="D543" i="10" a="1"/>
  <c r="D543" i="10" s="1"/>
  <c r="E529" i="10"/>
  <c r="AH474" i="10"/>
  <c r="D467" i="10" a="1"/>
  <c r="D467" i="10" s="1"/>
  <c r="E452" i="10"/>
  <c r="D416" i="10" a="1"/>
  <c r="D416" i="10" s="1"/>
  <c r="E414" i="10"/>
  <c r="AH410" i="10"/>
  <c r="E407" i="10"/>
  <c r="AH403" i="10"/>
  <c r="D402" i="10" a="1"/>
  <c r="D402" i="10" s="1"/>
  <c r="E395" i="10"/>
  <c r="AH391" i="10"/>
  <c r="D390" i="10" a="1"/>
  <c r="D390" i="10" s="1"/>
  <c r="D383" i="10" a="1"/>
  <c r="D383" i="10" s="1"/>
  <c r="E376" i="10"/>
  <c r="AH370" i="10"/>
  <c r="D369" i="10" a="1"/>
  <c r="D369" i="10" s="1"/>
  <c r="E362" i="10"/>
  <c r="AH358" i="10"/>
  <c r="D357" i="10" a="1"/>
  <c r="D357" i="10" s="1"/>
  <c r="E350" i="10"/>
  <c r="E336" i="10"/>
  <c r="AH332" i="10"/>
  <c r="D331" i="10" a="1"/>
  <c r="D331" i="10" s="1"/>
  <c r="E324" i="10"/>
  <c r="D319" i="10" a="1"/>
  <c r="D319" i="10" s="1"/>
  <c r="E310" i="10"/>
  <c r="AH306" i="10"/>
  <c r="E303" i="10"/>
  <c r="AH299" i="10"/>
  <c r="D298" i="10" a="1"/>
  <c r="D298" i="10" s="1"/>
  <c r="E293" i="10"/>
  <c r="AH289" i="10"/>
  <c r="D288" i="10" a="1"/>
  <c r="D288" i="10" s="1"/>
  <c r="E281" i="10"/>
  <c r="AH277" i="10"/>
  <c r="D276" i="10" a="1"/>
  <c r="D276" i="10" s="1"/>
  <c r="D271" i="10" a="1"/>
  <c r="D271" i="10" s="1"/>
  <c r="E264" i="10"/>
  <c r="AH260" i="10"/>
  <c r="E259" i="10"/>
  <c r="E251" i="10"/>
  <c r="AH247" i="10"/>
  <c r="D246" i="10" a="1"/>
  <c r="D246" i="10" s="1"/>
  <c r="AH242" i="10"/>
  <c r="E239" i="10"/>
  <c r="AH235" i="10"/>
  <c r="D234" i="10" a="1"/>
  <c r="D234" i="10" s="1"/>
  <c r="E232" i="10"/>
  <c r="E225" i="10"/>
  <c r="AH221" i="10"/>
  <c r="E220" i="10"/>
  <c r="AH216" i="10"/>
  <c r="D215" i="10" a="1"/>
  <c r="D215" i="10" s="1"/>
  <c r="E200" i="10"/>
  <c r="D512" i="10" a="1"/>
  <c r="D512" i="10" s="1"/>
  <c r="D489" i="10" a="1"/>
  <c r="D489" i="10" s="1"/>
  <c r="D459" i="10" a="1"/>
  <c r="D459" i="10" s="1"/>
  <c r="AH451" i="10"/>
  <c r="E432" i="10"/>
  <c r="AH417" i="10"/>
  <c r="D414" i="10" a="1"/>
  <c r="D414" i="10" s="1"/>
  <c r="D407" i="10" a="1"/>
  <c r="D407" i="10" s="1"/>
  <c r="E400" i="10"/>
  <c r="AH396" i="10"/>
  <c r="D395" i="10" a="1"/>
  <c r="D395" i="10" s="1"/>
  <c r="E388" i="10"/>
  <c r="AH384" i="10"/>
  <c r="E381" i="10"/>
  <c r="AH377" i="10"/>
  <c r="D376" i="10" a="1"/>
  <c r="D376" i="10" s="1"/>
  <c r="E367" i="10"/>
  <c r="AH363" i="10"/>
  <c r="D362" i="10" a="1"/>
  <c r="D362" i="10" s="1"/>
  <c r="E355" i="10"/>
  <c r="D350" i="10" a="1"/>
  <c r="D350" i="10" s="1"/>
  <c r="E341" i="10"/>
  <c r="AH337" i="10"/>
  <c r="D336" i="10" a="1"/>
  <c r="D336" i="10" s="1"/>
  <c r="E329" i="10"/>
  <c r="AH325" i="10"/>
  <c r="D324" i="10" a="1"/>
  <c r="D324" i="10" s="1"/>
  <c r="E317" i="10"/>
  <c r="AH311" i="10"/>
  <c r="D310" i="10" a="1"/>
  <c r="D310" i="10" s="1"/>
  <c r="AH304" i="10"/>
  <c r="D303" i="10" a="1"/>
  <c r="D303" i="10" s="1"/>
  <c r="E296" i="10"/>
  <c r="AH294" i="10"/>
  <c r="D293" i="10" a="1"/>
  <c r="D293" i="10" s="1"/>
  <c r="E286" i="10"/>
  <c r="AH282" i="10"/>
  <c r="D281" i="10" a="1"/>
  <c r="D281" i="10" s="1"/>
  <c r="AH272" i="10"/>
  <c r="E269" i="10"/>
  <c r="AH265" i="10"/>
  <c r="D264" i="10" a="1"/>
  <c r="D264" i="10" s="1"/>
  <c r="D538" i="10" a="1"/>
  <c r="D538" i="10" s="1"/>
  <c r="E483" i="10"/>
  <c r="AH468" i="10"/>
  <c r="E454" i="10"/>
  <c r="E447" i="10"/>
  <c r="E440" i="10"/>
  <c r="D434" i="10" a="1"/>
  <c r="D434" i="10" s="1"/>
  <c r="E427" i="10"/>
  <c r="E425" i="10"/>
  <c r="E412" i="10"/>
  <c r="E405" i="10"/>
  <c r="D400" i="10" a="1"/>
  <c r="D400" i="10" s="1"/>
  <c r="E393" i="10"/>
  <c r="AH389" i="10"/>
  <c r="D388" i="10" a="1"/>
  <c r="D388" i="10" s="1"/>
  <c r="AH382" i="10"/>
  <c r="D381" i="10" a="1"/>
  <c r="D381" i="10" s="1"/>
  <c r="E374" i="10"/>
  <c r="E372" i="10"/>
  <c r="AH368" i="10"/>
  <c r="D367" i="10" a="1"/>
  <c r="D367" i="10" s="1"/>
  <c r="E360" i="10"/>
  <c r="D355" i="10" a="1"/>
  <c r="D355" i="10" s="1"/>
  <c r="E348" i="10"/>
  <c r="E346" i="10"/>
  <c r="E344" i="10"/>
  <c r="AH342" i="10"/>
  <c r="D341" i="10" a="1"/>
  <c r="D341" i="10" s="1"/>
  <c r="E334" i="10"/>
  <c r="D329" i="10" a="1"/>
  <c r="D329" i="10" s="1"/>
  <c r="E322" i="10"/>
  <c r="AH318" i="10"/>
  <c r="D317" i="10" a="1"/>
  <c r="D317" i="10" s="1"/>
  <c r="E308" i="10"/>
  <c r="E301" i="10"/>
  <c r="AH297" i="10"/>
  <c r="D296" i="10" a="1"/>
  <c r="D296" i="10" s="1"/>
  <c r="E291" i="10"/>
  <c r="AH287" i="10"/>
  <c r="D286" i="10" a="1"/>
  <c r="D286" i="10" s="1"/>
  <c r="E279" i="10"/>
  <c r="AH275" i="10"/>
  <c r="E274" i="10"/>
  <c r="AH270" i="10"/>
  <c r="D269" i="10" a="1"/>
  <c r="D269" i="10" s="1"/>
  <c r="E262" i="10"/>
  <c r="AH255" i="10"/>
  <c r="D254" i="10" a="1"/>
  <c r="D254" i="10" s="1"/>
  <c r="E249" i="10"/>
  <c r="D244" i="10" a="1"/>
  <c r="D244" i="10" s="1"/>
  <c r="E237" i="10"/>
  <c r="AH233" i="10"/>
  <c r="D230" i="10" a="1"/>
  <c r="D230" i="10" s="1"/>
  <c r="E223" i="10"/>
  <c r="E218" i="10"/>
  <c r="AH214" i="10"/>
  <c r="D213" i="10" a="1"/>
  <c r="D213" i="10" s="1"/>
  <c r="AH209" i="10"/>
  <c r="E208" i="10"/>
  <c r="D548" i="10" a="1"/>
  <c r="D548" i="10" s="1"/>
  <c r="D508" i="10" a="1"/>
  <c r="D508" i="10" s="1"/>
  <c r="E461" i="10"/>
  <c r="E456" i="10"/>
  <c r="E449" i="10"/>
  <c r="E444" i="10"/>
  <c r="D442" i="10" a="1"/>
  <c r="D442" i="10" s="1"/>
  <c r="D440" i="10" a="1"/>
  <c r="D440" i="10" s="1"/>
  <c r="E438" i="10"/>
  <c r="D436" i="10" a="1"/>
  <c r="D436" i="10" s="1"/>
  <c r="D429" i="10" a="1"/>
  <c r="D429" i="10" s="1"/>
  <c r="D425" i="10" a="1"/>
  <c r="D425" i="10" s="1"/>
  <c r="E423" i="10"/>
  <c r="D421" i="10" a="1"/>
  <c r="D421" i="10" s="1"/>
  <c r="E419" i="10"/>
  <c r="AH413" i="10"/>
  <c r="D412" i="10" a="1"/>
  <c r="D412" i="10" s="1"/>
  <c r="E410" i="10"/>
  <c r="AH406" i="10"/>
  <c r="D405" i="10" a="1"/>
  <c r="D405" i="10" s="1"/>
  <c r="E398" i="10"/>
  <c r="D393" i="10" a="1"/>
  <c r="D393" i="10" s="1"/>
  <c r="E386" i="10"/>
  <c r="E379" i="10"/>
  <c r="AH375" i="10"/>
  <c r="D374" i="10" a="1"/>
  <c r="D374" i="10" s="1"/>
  <c r="D372" i="10" a="1"/>
  <c r="D372" i="10" s="1"/>
  <c r="E365" i="10"/>
  <c r="AH361" i="10"/>
  <c r="D360" i="10" a="1"/>
  <c r="D360" i="10" s="1"/>
  <c r="E353" i="10"/>
  <c r="AH349" i="10"/>
  <c r="D348" i="10" a="1"/>
  <c r="D348" i="10" s="1"/>
  <c r="D346" i="10" a="1"/>
  <c r="D346" i="10" s="1"/>
  <c r="D344" i="10" a="1"/>
  <c r="D344" i="10" s="1"/>
  <c r="E339" i="10"/>
  <c r="AH335" i="10"/>
  <c r="D334" i="10" a="1"/>
  <c r="D334" i="10" s="1"/>
  <c r="E327" i="10"/>
  <c r="AH323" i="10"/>
  <c r="D322" i="10" a="1"/>
  <c r="D322" i="10" s="1"/>
  <c r="E315" i="10"/>
  <c r="E313" i="10"/>
  <c r="AH309" i="10"/>
  <c r="D308" i="10" a="1"/>
  <c r="D308" i="10" s="1"/>
  <c r="AH302" i="10"/>
  <c r="D301" i="10" a="1"/>
  <c r="D301" i="10" s="1"/>
  <c r="AH292" i="10"/>
  <c r="D291" i="10" a="1"/>
  <c r="D291" i="10" s="1"/>
  <c r="E544" i="10"/>
  <c r="E541" i="10"/>
  <c r="AH527" i="10"/>
  <c r="D501" i="10" a="1"/>
  <c r="D501" i="10" s="1"/>
  <c r="AH497" i="10"/>
  <c r="D485" i="10" a="1"/>
  <c r="D485" i="10" s="1"/>
  <c r="E466" i="10"/>
  <c r="E463" i="10"/>
  <c r="D461" i="10" a="1"/>
  <c r="D461" i="10" s="1"/>
  <c r="D456" i="10" a="1"/>
  <c r="D456" i="10" s="1"/>
  <c r="D449" i="10" a="1"/>
  <c r="D449" i="10" s="1"/>
  <c r="AH446" i="10"/>
  <c r="D444" i="10" a="1"/>
  <c r="D444" i="10" s="1"/>
  <c r="D438" i="10" a="1"/>
  <c r="D438" i="10" s="1"/>
  <c r="AH435" i="10"/>
  <c r="AH426" i="10"/>
  <c r="D423" i="10" a="1"/>
  <c r="D423" i="10" s="1"/>
  <c r="D419" i="10" a="1"/>
  <c r="D419" i="10" s="1"/>
  <c r="D410" i="10" a="1"/>
  <c r="D410" i="10" s="1"/>
  <c r="E403" i="10"/>
  <c r="AH399" i="10"/>
  <c r="D398" i="10" a="1"/>
  <c r="D398" i="10" s="1"/>
  <c r="E391" i="10"/>
  <c r="AH387" i="10"/>
  <c r="D386" i="10" a="1"/>
  <c r="D386" i="10" s="1"/>
  <c r="E384" i="10"/>
  <c r="D379" i="10" a="1"/>
  <c r="D379" i="10" s="1"/>
  <c r="E370" i="10"/>
  <c r="D365" i="10" a="1"/>
  <c r="D365" i="10" s="1"/>
  <c r="E358" i="10"/>
  <c r="D353" i="10" a="1"/>
  <c r="D353" i="10" s="1"/>
  <c r="AH340" i="10"/>
  <c r="D339" i="10" a="1"/>
  <c r="D339" i="10" s="1"/>
  <c r="E332" i="10"/>
  <c r="AH328" i="10"/>
  <c r="D327" i="10" a="1"/>
  <c r="D327" i="10" s="1"/>
  <c r="E320" i="10"/>
  <c r="D315" i="10" a="1"/>
  <c r="D315" i="10" s="1"/>
  <c r="D504" i="10" a="1"/>
  <c r="D504" i="10" s="1"/>
  <c r="E488" i="10"/>
  <c r="D466" i="10" a="1"/>
  <c r="D466" i="10" s="1"/>
  <c r="AH460" i="10"/>
  <c r="E458" i="10"/>
  <c r="D451" i="10" a="1"/>
  <c r="D451" i="10" s="1"/>
  <c r="AH443" i="10"/>
  <c r="AH441" i="10"/>
  <c r="AH439" i="10"/>
  <c r="AH437" i="10"/>
  <c r="AH424" i="10"/>
  <c r="AH422" i="10"/>
  <c r="AH420" i="10"/>
  <c r="E417" i="10"/>
  <c r="AH411" i="10"/>
  <c r="E408" i="10"/>
  <c r="D403" i="10" a="1"/>
  <c r="D403" i="10" s="1"/>
  <c r="E396" i="10"/>
  <c r="AH392" i="10"/>
  <c r="D391" i="10" a="1"/>
  <c r="D391" i="10" s="1"/>
  <c r="D384" i="10" a="1"/>
  <c r="D384" i="10" s="1"/>
  <c r="E377" i="10"/>
  <c r="AH371" i="10"/>
  <c r="D370" i="10" a="1"/>
  <c r="D370" i="10" s="1"/>
  <c r="E368" i="10"/>
  <c r="E363" i="10"/>
  <c r="AH359" i="10"/>
  <c r="D358" i="10" a="1"/>
  <c r="D358" i="10" s="1"/>
  <c r="E351" i="10"/>
  <c r="E337" i="10"/>
  <c r="AH333" i="10"/>
  <c r="D332" i="10" a="1"/>
  <c r="D332" i="10" s="1"/>
  <c r="E325" i="10"/>
  <c r="AH321" i="10"/>
  <c r="D320" i="10" a="1"/>
  <c r="D320" i="10" s="1"/>
  <c r="E311" i="10"/>
  <c r="AH307" i="10"/>
  <c r="D306" i="10" a="1"/>
  <c r="D306" i="10" s="1"/>
  <c r="E304" i="10"/>
  <c r="AH300" i="10"/>
  <c r="D299" i="10" a="1"/>
  <c r="D299" i="10" s="1"/>
  <c r="AH295" i="10"/>
  <c r="E294" i="10"/>
  <c r="AH290" i="10"/>
  <c r="D289" i="10" a="1"/>
  <c r="D289" i="10" s="1"/>
  <c r="E282" i="10"/>
  <c r="AH278" i="10"/>
  <c r="D277" i="10" a="1"/>
  <c r="D277" i="10" s="1"/>
  <c r="D272" i="10" a="1"/>
  <c r="D272" i="10" s="1"/>
  <c r="E265" i="10"/>
  <c r="AH261" i="10"/>
  <c r="D260" i="10" a="1"/>
  <c r="D260" i="10" s="1"/>
  <c r="AH253" i="10"/>
  <c r="E252" i="10"/>
  <c r="AH248" i="10"/>
  <c r="D247" i="10" a="1"/>
  <c r="D247" i="10" s="1"/>
  <c r="AH243" i="10"/>
  <c r="E240" i="10"/>
  <c r="AH236" i="10"/>
  <c r="D235" i="10" a="1"/>
  <c r="D235" i="10" s="1"/>
  <c r="E226" i="10"/>
  <c r="AH222" i="10"/>
  <c r="AH513" i="10"/>
  <c r="D494" i="10" a="1"/>
  <c r="D494" i="10" s="1"/>
  <c r="D468" i="10" a="1"/>
  <c r="D468" i="10" s="1"/>
  <c r="AH462" i="10"/>
  <c r="AH430" i="10"/>
  <c r="AH418" i="10"/>
  <c r="D417" i="10" a="1"/>
  <c r="D417" i="10" s="1"/>
  <c r="E415" i="10"/>
  <c r="AH409" i="10"/>
  <c r="D408" i="10" a="1"/>
  <c r="D408" i="10" s="1"/>
  <c r="E401" i="10"/>
  <c r="AH397" i="10"/>
  <c r="D396" i="10" a="1"/>
  <c r="D396" i="10" s="1"/>
  <c r="E389" i="10"/>
  <c r="AH385" i="10"/>
  <c r="E382" i="10"/>
  <c r="AH378" i="10"/>
  <c r="D377" i="10" a="1"/>
  <c r="D377" i="10" s="1"/>
  <c r="D368" i="10" a="1"/>
  <c r="D368" i="10" s="1"/>
  <c r="AH364" i="10"/>
  <c r="D363" i="10" a="1"/>
  <c r="D363" i="10" s="1"/>
  <c r="E356" i="10"/>
  <c r="D351" i="10" a="1"/>
  <c r="D351" i="10" s="1"/>
  <c r="AH343" i="10"/>
  <c r="E342" i="10"/>
  <c r="AH338" i="10"/>
  <c r="D337" i="10" a="1"/>
  <c r="D337" i="10" s="1"/>
  <c r="E330" i="10"/>
  <c r="AH326" i="10"/>
  <c r="D325" i="10" a="1"/>
  <c r="D325" i="10" s="1"/>
  <c r="E318" i="10"/>
  <c r="AH312" i="10"/>
  <c r="D311" i="10" a="1"/>
  <c r="D311" i="10" s="1"/>
  <c r="D304" i="10" a="1"/>
  <c r="D304" i="10" s="1"/>
  <c r="E297" i="10"/>
  <c r="D294" i="10" a="1"/>
  <c r="D294" i="10" s="1"/>
  <c r="E287" i="10"/>
  <c r="AH283" i="10"/>
  <c r="D282" i="10" a="1"/>
  <c r="D282" i="10" s="1"/>
  <c r="E275" i="10"/>
  <c r="AH273" i="10"/>
  <c r="E270" i="10"/>
  <c r="AH266" i="10"/>
  <c r="D265" i="10" a="1"/>
  <c r="D265" i="10" s="1"/>
  <c r="AH256" i="10"/>
  <c r="E255" i="10"/>
  <c r="D252" i="10" a="1"/>
  <c r="D252" i="10" s="1"/>
  <c r="E245" i="10"/>
  <c r="AH241" i="10"/>
  <c r="D240" i="10" a="1"/>
  <c r="D240" i="10" s="1"/>
  <c r="E233" i="10"/>
  <c r="E231" i="10"/>
  <c r="AH227" i="10"/>
  <c r="D226" i="10" a="1"/>
  <c r="D226" i="10" s="1"/>
  <c r="E214" i="10"/>
  <c r="AH210" i="10"/>
  <c r="D479" i="10" a="1"/>
  <c r="D479" i="10" s="1"/>
  <c r="AH457" i="10"/>
  <c r="D453" i="10" a="1"/>
  <c r="D453" i="10" s="1"/>
  <c r="AH450" i="10"/>
  <c r="D433" i="10" a="1"/>
  <c r="D433" i="10" s="1"/>
  <c r="E413" i="10"/>
  <c r="E406" i="10"/>
  <c r="AH402" i="10"/>
  <c r="D401" i="10" a="1"/>
  <c r="D401" i="10" s="1"/>
  <c r="E394" i="10"/>
  <c r="AH390" i="10"/>
  <c r="D389" i="10" a="1"/>
  <c r="D389" i="10" s="1"/>
  <c r="AH383" i="10"/>
  <c r="D382" i="10" a="1"/>
  <c r="D382" i="10" s="1"/>
  <c r="E375" i="10"/>
  <c r="AH369" i="10"/>
  <c r="E361" i="10"/>
  <c r="AH357" i="10"/>
  <c r="D356" i="10" a="1"/>
  <c r="D356" i="10" s="1"/>
  <c r="E349" i="10"/>
  <c r="D342" i="10" a="1"/>
  <c r="D342" i="10" s="1"/>
  <c r="E335" i="10"/>
  <c r="AH331" i="10"/>
  <c r="D330" i="10" a="1"/>
  <c r="D330" i="10" s="1"/>
  <c r="E323" i="10"/>
  <c r="AH319" i="10"/>
  <c r="D318" i="10" a="1"/>
  <c r="D318" i="10" s="1"/>
  <c r="E309" i="10"/>
  <c r="E302" i="10"/>
  <c r="AH298" i="10"/>
  <c r="D297" i="10" a="1"/>
  <c r="D297" i="10" s="1"/>
  <c r="E292" i="10"/>
  <c r="AH288" i="10"/>
  <c r="D287" i="10" a="1"/>
  <c r="D287" i="10" s="1"/>
  <c r="E280" i="10"/>
  <c r="AH276" i="10"/>
  <c r="D275" i="10" a="1"/>
  <c r="D275" i="10" s="1"/>
  <c r="AH271" i="10"/>
  <c r="D270" i="10" a="1"/>
  <c r="D270" i="10" s="1"/>
  <c r="E263" i="10"/>
  <c r="D255" i="10" a="1"/>
  <c r="D255" i="10" s="1"/>
  <c r="E250" i="10"/>
  <c r="D245" i="10" a="1"/>
  <c r="D245" i="10" s="1"/>
  <c r="E238" i="10"/>
  <c r="AH234" i="10"/>
  <c r="D233" i="10" a="1"/>
  <c r="D233" i="10" s="1"/>
  <c r="D231" i="10" a="1"/>
  <c r="D231" i="10" s="1"/>
  <c r="E224" i="10"/>
  <c r="E219" i="10"/>
  <c r="AH215" i="10"/>
  <c r="D214" i="10" a="1"/>
  <c r="D214" i="10" s="1"/>
  <c r="E536" i="10"/>
  <c r="E520" i="10"/>
  <c r="D510" i="10" a="1"/>
  <c r="D510" i="10" s="1"/>
  <c r="E487" i="10"/>
  <c r="AH467" i="10"/>
  <c r="AH452" i="10"/>
  <c r="E437" i="10"/>
  <c r="E435" i="10"/>
  <c r="E428" i="10"/>
  <c r="E426" i="10"/>
  <c r="AH414" i="10"/>
  <c r="D413" i="10" a="1"/>
  <c r="D413" i="10" s="1"/>
  <c r="AH407" i="10"/>
  <c r="D406" i="10" a="1"/>
  <c r="D406" i="10" s="1"/>
  <c r="E399" i="10"/>
  <c r="D394" i="10" a="1"/>
  <c r="D394" i="10" s="1"/>
  <c r="E387" i="10"/>
  <c r="E380" i="10"/>
  <c r="AH376" i="10"/>
  <c r="D375" i="10" a="1"/>
  <c r="D375" i="10" s="1"/>
  <c r="E373" i="10"/>
  <c r="E366" i="10"/>
  <c r="D361" i="10" a="1"/>
  <c r="D361" i="10" s="1"/>
  <c r="E354" i="10"/>
  <c r="AH350" i="10"/>
  <c r="D349" i="10" a="1"/>
  <c r="D349" i="10" s="1"/>
  <c r="E347" i="10"/>
  <c r="E345" i="10"/>
  <c r="E340" i="10"/>
  <c r="AH336" i="10"/>
  <c r="D335" i="10" a="1"/>
  <c r="D335" i="10" s="1"/>
  <c r="E328" i="10"/>
  <c r="AH324" i="10"/>
  <c r="D323" i="10" a="1"/>
  <c r="D323" i="10" s="1"/>
  <c r="E316" i="10"/>
  <c r="AH310" i="10"/>
  <c r="D309" i="10" a="1"/>
  <c r="D309" i="10" s="1"/>
  <c r="AH303" i="10"/>
  <c r="D302" i="10" a="1"/>
  <c r="D302" i="10" s="1"/>
  <c r="AH293" i="10"/>
  <c r="D292" i="10" a="1"/>
  <c r="D292" i="10" s="1"/>
  <c r="E285" i="10"/>
  <c r="AH281" i="10"/>
  <c r="D280" i="10" a="1"/>
  <c r="D280" i="10" s="1"/>
  <c r="E268" i="10"/>
  <c r="AH264" i="10"/>
  <c r="D263" i="10" a="1"/>
  <c r="D263" i="10" s="1"/>
  <c r="AH259" i="10"/>
  <c r="E258" i="10"/>
  <c r="D250" i="10" a="1"/>
  <c r="D250" i="10" s="1"/>
  <c r="E243" i="10"/>
  <c r="AH239" i="10"/>
  <c r="D238" i="10" a="1"/>
  <c r="D238" i="10" s="1"/>
  <c r="E229" i="10"/>
  <c r="AH225" i="10"/>
  <c r="D224" i="10" a="1"/>
  <c r="D224" i="10" s="1"/>
  <c r="AH220" i="10"/>
  <c r="D219" i="10" a="1"/>
  <c r="D219" i="10" s="1"/>
  <c r="D546" i="10" a="1"/>
  <c r="D546" i="10" s="1"/>
  <c r="AH535" i="10"/>
  <c r="AH502" i="10"/>
  <c r="AH486" i="10"/>
  <c r="E473" i="10"/>
  <c r="D470" i="10" a="1"/>
  <c r="D470" i="10" s="1"/>
  <c r="E455" i="10"/>
  <c r="E448" i="10"/>
  <c r="E443" i="10"/>
  <c r="D441" i="10" a="1"/>
  <c r="D441" i="10" s="1"/>
  <c r="E439" i="10"/>
  <c r="D435" i="10" a="1"/>
  <c r="D435" i="10" s="1"/>
  <c r="D426" i="10" a="1"/>
  <c r="D426" i="10" s="1"/>
  <c r="E424" i="10"/>
  <c r="E422" i="10"/>
  <c r="D420" i="10" a="1"/>
  <c r="D420" i="10" s="1"/>
  <c r="E411" i="10"/>
  <c r="E404" i="10"/>
  <c r="AH400" i="10"/>
  <c r="D399" i="10" a="1"/>
  <c r="D399" i="10" s="1"/>
  <c r="E392" i="10"/>
  <c r="AH388" i="10"/>
  <c r="D387" i="10" a="1"/>
  <c r="D387" i="10" s="1"/>
  <c r="AH381" i="10"/>
  <c r="D380" i="10" a="1"/>
  <c r="D380" i="10" s="1"/>
  <c r="D373" i="10" a="1"/>
  <c r="D373" i="10" s="1"/>
  <c r="E371" i="10"/>
  <c r="AH367" i="10"/>
  <c r="D366" i="10" a="1"/>
  <c r="D366" i="10" s="1"/>
  <c r="E359" i="10"/>
  <c r="AH355" i="10"/>
  <c r="D354" i="10" a="1"/>
  <c r="D354" i="10" s="1"/>
  <c r="D347" i="10" a="1"/>
  <c r="D347" i="10" s="1"/>
  <c r="D345" i="10" a="1"/>
  <c r="D345" i="10" s="1"/>
  <c r="D340" i="10" a="1"/>
  <c r="D340" i="10" s="1"/>
  <c r="E333" i="10"/>
  <c r="D328" i="10" a="1"/>
  <c r="D328" i="10" s="1"/>
  <c r="E321" i="10"/>
  <c r="AH317" i="10"/>
  <c r="D316" i="10" a="1"/>
  <c r="D316" i="10" s="1"/>
  <c r="E314" i="10"/>
  <c r="E307" i="10"/>
  <c r="E300" i="10"/>
  <c r="AH296" i="10"/>
  <c r="E295" i="10"/>
  <c r="E290" i="10"/>
  <c r="AH286" i="10"/>
  <c r="D285" i="10" a="1"/>
  <c r="D285" i="10" s="1"/>
  <c r="D533" i="10" a="1"/>
  <c r="D533" i="10" s="1"/>
  <c r="AH492" i="10"/>
  <c r="D490" i="10" a="1"/>
  <c r="D490" i="10" s="1"/>
  <c r="E475" i="10"/>
  <c r="D473" i="10" a="1"/>
  <c r="D473" i="10" s="1"/>
  <c r="AH469" i="10"/>
  <c r="AH454" i="10"/>
  <c r="E450" i="10"/>
  <c r="AH447" i="10"/>
  <c r="D443" i="10" a="1"/>
  <c r="D443" i="10" s="1"/>
  <c r="AH440" i="10"/>
  <c r="D439" i="10" a="1"/>
  <c r="D439" i="10" s="1"/>
  <c r="AH434" i="10"/>
  <c r="D430" i="10" a="1"/>
  <c r="D430" i="10" s="1"/>
  <c r="AH427" i="10"/>
  <c r="D422" i="10" a="1"/>
  <c r="D422" i="10" s="1"/>
  <c r="E418" i="10"/>
  <c r="AH412" i="10"/>
  <c r="D411" i="10" a="1"/>
  <c r="D411" i="10" s="1"/>
  <c r="E409" i="10"/>
  <c r="D404" i="10" a="1"/>
  <c r="D404" i="10" s="1"/>
  <c r="E397" i="10"/>
  <c r="AH393" i="10"/>
  <c r="D392" i="10" a="1"/>
  <c r="D392" i="10" s="1"/>
  <c r="E385" i="10"/>
  <c r="E378" i="10"/>
  <c r="AH374" i="10"/>
  <c r="D371" i="10" a="1"/>
  <c r="D371" i="10" s="1"/>
  <c r="E364" i="10"/>
  <c r="AH360" i="10"/>
  <c r="D359" i="10" a="1"/>
  <c r="D359" i="10" s="1"/>
  <c r="E352" i="10"/>
  <c r="E343" i="10"/>
  <c r="AH341" i="10"/>
  <c r="E338" i="10"/>
  <c r="AH334" i="10"/>
  <c r="D333" i="10" a="1"/>
  <c r="D333" i="10" s="1"/>
  <c r="E326" i="10"/>
  <c r="AH322" i="10"/>
  <c r="D321" i="10" a="1"/>
  <c r="D321" i="10" s="1"/>
  <c r="D314" i="10" a="1"/>
  <c r="D314" i="10" s="1"/>
  <c r="E312" i="10"/>
  <c r="AH308" i="10"/>
  <c r="D307" i="10" a="1"/>
  <c r="D307" i="10" s="1"/>
  <c r="E305" i="10"/>
  <c r="AH301" i="10"/>
  <c r="D300" i="10" a="1"/>
  <c r="D300" i="10" s="1"/>
  <c r="D295" i="10" a="1"/>
  <c r="D295" i="10" s="1"/>
  <c r="AH291" i="10"/>
  <c r="D290" i="10" a="1"/>
  <c r="D290" i="10" s="1"/>
  <c r="D551" i="10" a="1"/>
  <c r="D551" i="10" s="1"/>
  <c r="D526" i="10" a="1"/>
  <c r="D526" i="10" s="1"/>
  <c r="AH518" i="10"/>
  <c r="D496" i="10" a="1"/>
  <c r="D496" i="10" s="1"/>
  <c r="AH480" i="10"/>
  <c r="E478" i="10"/>
  <c r="D445" i="10" a="1"/>
  <c r="D445" i="10" s="1"/>
  <c r="AH442" i="10"/>
  <c r="AH438" i="10"/>
  <c r="AH436" i="10"/>
  <c r="AH423" i="10"/>
  <c r="AH421" i="10"/>
  <c r="AH419" i="10"/>
  <c r="D418" i="10" a="1"/>
  <c r="D418" i="10" s="1"/>
  <c r="E416" i="10"/>
  <c r="D409" i="10" a="1"/>
  <c r="D409" i="10" s="1"/>
  <c r="E402" i="10"/>
  <c r="AH398" i="10"/>
  <c r="D397" i="10" a="1"/>
  <c r="D397" i="10" s="1"/>
  <c r="E390" i="10"/>
  <c r="AH386" i="10"/>
  <c r="D385" i="10" a="1"/>
  <c r="D385" i="10" s="1"/>
  <c r="E383" i="10"/>
  <c r="AH379" i="10"/>
  <c r="D378" i="10" a="1"/>
  <c r="D378" i="10" s="1"/>
  <c r="E369" i="10"/>
  <c r="AH365" i="10"/>
  <c r="D364" i="10" a="1"/>
  <c r="D364" i="10" s="1"/>
  <c r="E357" i="10"/>
  <c r="AH353" i="10"/>
  <c r="D352" i="10" a="1"/>
  <c r="D352" i="10" s="1"/>
  <c r="AH344" i="10"/>
  <c r="D343" i="10" a="1"/>
  <c r="D343" i="10" s="1"/>
  <c r="D338" i="10" a="1"/>
  <c r="D338" i="10" s="1"/>
  <c r="AH284" i="10"/>
  <c r="E272" i="10"/>
  <c r="D267" i="10" a="1"/>
  <c r="D267" i="10" s="1"/>
  <c r="AH263" i="10"/>
  <c r="AH254" i="10"/>
  <c r="E246" i="10"/>
  <c r="E217" i="10"/>
  <c r="E202" i="10"/>
  <c r="AH196" i="10"/>
  <c r="D195" i="10" a="1"/>
  <c r="D195" i="10" s="1"/>
  <c r="D188" i="10" a="1"/>
  <c r="D188" i="10" s="1"/>
  <c r="D186" i="10" a="1"/>
  <c r="D186" i="10" s="1"/>
  <c r="D184" i="10" a="1"/>
  <c r="D184" i="10" s="1"/>
  <c r="D182" i="10" a="1"/>
  <c r="D182" i="10" s="1"/>
  <c r="D177" i="10" a="1"/>
  <c r="D177" i="10" s="1"/>
  <c r="E170" i="10"/>
  <c r="AH166" i="10"/>
  <c r="D165" i="10" a="1"/>
  <c r="D165" i="10" s="1"/>
  <c r="E158" i="10"/>
  <c r="AH151" i="10"/>
  <c r="D150" i="10" a="1"/>
  <c r="D150" i="10" s="1"/>
  <c r="E145" i="10"/>
  <c r="D140" i="10" a="1"/>
  <c r="D140" i="10" s="1"/>
  <c r="D135" i="10" a="1"/>
  <c r="D135" i="10" s="1"/>
  <c r="D133" i="10" a="1"/>
  <c r="D133" i="10" s="1"/>
  <c r="D120" i="10" a="1"/>
  <c r="D120" i="10" s="1"/>
  <c r="E110" i="10"/>
  <c r="AH106" i="10"/>
  <c r="D105" i="10" a="1"/>
  <c r="D105" i="10" s="1"/>
  <c r="AH101" i="10"/>
  <c r="E98" i="10"/>
  <c r="AH94" i="10"/>
  <c r="D93" i="10" a="1"/>
  <c r="D93" i="10" s="1"/>
  <c r="E86" i="10"/>
  <c r="AH82" i="10"/>
  <c r="AH80" i="10"/>
  <c r="AH78" i="10"/>
  <c r="D77" i="10" a="1"/>
  <c r="D77" i="10" s="1"/>
  <c r="E70" i="10"/>
  <c r="AH66" i="10"/>
  <c r="D65" i="10" a="1"/>
  <c r="D65" i="10" s="1"/>
  <c r="AH61" i="10"/>
  <c r="E60" i="10"/>
  <c r="AH58" i="10"/>
  <c r="D57" i="10" a="1"/>
  <c r="D57" i="10" s="1"/>
  <c r="E52" i="10"/>
  <c r="AH48" i="10"/>
  <c r="E277" i="10"/>
  <c r="AH268" i="10"/>
  <c r="D259" i="10" a="1"/>
  <c r="D259" i="10" s="1"/>
  <c r="E257" i="10"/>
  <c r="E248" i="10"/>
  <c r="E241" i="10"/>
  <c r="E236" i="10"/>
  <c r="D217" i="10" a="1"/>
  <c r="D217" i="10" s="1"/>
  <c r="E207" i="10"/>
  <c r="AH203" i="10"/>
  <c r="D202" i="10" a="1"/>
  <c r="D202" i="10" s="1"/>
  <c r="D200" i="10" a="1"/>
  <c r="D200" i="10" s="1"/>
  <c r="E193" i="10"/>
  <c r="AH189" i="10"/>
  <c r="E180" i="10"/>
  <c r="E175" i="10"/>
  <c r="AH171" i="10"/>
  <c r="D170" i="10" a="1"/>
  <c r="D170" i="10" s="1"/>
  <c r="E163" i="10"/>
  <c r="AH159" i="10"/>
  <c r="D158" i="10" a="1"/>
  <c r="D158" i="10" s="1"/>
  <c r="AH146" i="10"/>
  <c r="D145" i="10" a="1"/>
  <c r="D145" i="10" s="1"/>
  <c r="E138" i="10"/>
  <c r="AH136" i="10"/>
  <c r="E131" i="10"/>
  <c r="AH127" i="10"/>
  <c r="E126" i="10"/>
  <c r="AH124" i="10"/>
  <c r="E123" i="10"/>
  <c r="AH121" i="10"/>
  <c r="E118" i="10"/>
  <c r="AH116" i="10"/>
  <c r="E115" i="10"/>
  <c r="AH111" i="10"/>
  <c r="D110" i="10" a="1"/>
  <c r="D110" i="10" s="1"/>
  <c r="E103" i="10"/>
  <c r="AH99" i="10"/>
  <c r="D98" i="10" a="1"/>
  <c r="D98" i="10" s="1"/>
  <c r="E91" i="10"/>
  <c r="AH87" i="10"/>
  <c r="D86" i="10" a="1"/>
  <c r="D86" i="10" s="1"/>
  <c r="E75" i="10"/>
  <c r="AH71" i="10"/>
  <c r="D70" i="10" a="1"/>
  <c r="D70" i="10" s="1"/>
  <c r="E63" i="10"/>
  <c r="D60" i="10" a="1"/>
  <c r="D60" i="10" s="1"/>
  <c r="AH53" i="10"/>
  <c r="D52" i="10" a="1"/>
  <c r="D52" i="10" s="1"/>
  <c r="E40" i="10"/>
  <c r="E33" i="10"/>
  <c r="AH29" i="10"/>
  <c r="D28" i="10" a="1"/>
  <c r="D28" i="10" s="1"/>
  <c r="D21" i="10" a="1"/>
  <c r="D21" i="10" s="1"/>
  <c r="E16" i="10"/>
  <c r="AH12" i="10"/>
  <c r="D11" i="10" a="1"/>
  <c r="D11" i="10" s="1"/>
  <c r="AH5" i="10"/>
  <c r="D4" i="10" a="1"/>
  <c r="D4" i="10" s="1"/>
  <c r="D279" i="10" a="1"/>
  <c r="D279" i="10" s="1"/>
  <c r="D274" i="10" a="1"/>
  <c r="D274" i="10" s="1"/>
  <c r="E261" i="10"/>
  <c r="D257" i="10" a="1"/>
  <c r="D257" i="10" s="1"/>
  <c r="AH252" i="10"/>
  <c r="D248" i="10" a="1"/>
  <c r="D248" i="10" s="1"/>
  <c r="D241" i="10" a="1"/>
  <c r="D241" i="10" s="1"/>
  <c r="D236" i="10" a="1"/>
  <c r="D236" i="10" s="1"/>
  <c r="E221" i="10"/>
  <c r="AH218" i="10"/>
  <c r="AH208" i="10"/>
  <c r="D207" i="10" a="1"/>
  <c r="D207" i="10" s="1"/>
  <c r="AH201" i="10"/>
  <c r="E198" i="10"/>
  <c r="AH194" i="10"/>
  <c r="D193" i="10" a="1"/>
  <c r="D193" i="10" s="1"/>
  <c r="AH187" i="10"/>
  <c r="AH185" i="10"/>
  <c r="AH183" i="10"/>
  <c r="AH181" i="10"/>
  <c r="D180" i="10" a="1"/>
  <c r="D180" i="10" s="1"/>
  <c r="AH176" i="10"/>
  <c r="D175" i="10" a="1"/>
  <c r="D175" i="10" s="1"/>
  <c r="E168" i="10"/>
  <c r="AH164" i="10"/>
  <c r="D163" i="10" a="1"/>
  <c r="D163" i="10" s="1"/>
  <c r="E156" i="10"/>
  <c r="AH154" i="10"/>
  <c r="E153" i="10"/>
  <c r="E143" i="10"/>
  <c r="AH139" i="10"/>
  <c r="D138" i="10" a="1"/>
  <c r="D138" i="10" s="1"/>
  <c r="AH134" i="10"/>
  <c r="AH132" i="10"/>
  <c r="D131" i="10" a="1"/>
  <c r="D131" i="10" s="1"/>
  <c r="D126" i="10" a="1"/>
  <c r="D126" i="10" s="1"/>
  <c r="D123" i="10" a="1"/>
  <c r="D123" i="10" s="1"/>
  <c r="D118" i="10" a="1"/>
  <c r="D118" i="10" s="1"/>
  <c r="D115" i="10" a="1"/>
  <c r="D115" i="10" s="1"/>
  <c r="E108" i="10"/>
  <c r="D103" i="10" a="1"/>
  <c r="D103" i="10" s="1"/>
  <c r="E96" i="10"/>
  <c r="AH92" i="10"/>
  <c r="D91" i="10" a="1"/>
  <c r="D91" i="10" s="1"/>
  <c r="E84" i="10"/>
  <c r="AH76" i="10"/>
  <c r="D75" i="10" a="1"/>
  <c r="D75" i="10" s="1"/>
  <c r="E68" i="10"/>
  <c r="AH64" i="10"/>
  <c r="D63" i="10" a="1"/>
  <c r="D63" i="10" s="1"/>
  <c r="D261" i="10" a="1"/>
  <c r="D261" i="10" s="1"/>
  <c r="AH258" i="10"/>
  <c r="AH245" i="10"/>
  <c r="D243" i="10" a="1"/>
  <c r="D243" i="10" s="1"/>
  <c r="AH240" i="10"/>
  <c r="E230" i="10"/>
  <c r="E228" i="10"/>
  <c r="D223" i="10" a="1"/>
  <c r="D223" i="10" s="1"/>
  <c r="D221" i="10" a="1"/>
  <c r="D221" i="10" s="1"/>
  <c r="E212" i="10"/>
  <c r="E205" i="10"/>
  <c r="AH199" i="10"/>
  <c r="D198" i="10" a="1"/>
  <c r="D198" i="10" s="1"/>
  <c r="E191" i="10"/>
  <c r="E173" i="10"/>
  <c r="AH169" i="10"/>
  <c r="D168" i="10" a="1"/>
  <c r="D168" i="10" s="1"/>
  <c r="E161" i="10"/>
  <c r="AH157" i="10"/>
  <c r="D156" i="10" a="1"/>
  <c r="D156" i="10" s="1"/>
  <c r="D153" i="10" a="1"/>
  <c r="D153" i="10" s="1"/>
  <c r="AH149" i="10"/>
  <c r="E148" i="10"/>
  <c r="AH144" i="10"/>
  <c r="D143" i="10" a="1"/>
  <c r="D143" i="10" s="1"/>
  <c r="E129" i="10"/>
  <c r="E113" i="10"/>
  <c r="AH109" i="10"/>
  <c r="D108" i="10" a="1"/>
  <c r="D108" i="10" s="1"/>
  <c r="AH104" i="10"/>
  <c r="E101" i="10"/>
  <c r="AH97" i="10"/>
  <c r="D96" i="10" a="1"/>
  <c r="D96" i="10" s="1"/>
  <c r="E89" i="10"/>
  <c r="AH85" i="10"/>
  <c r="D84" i="10" a="1"/>
  <c r="D84" i="10" s="1"/>
  <c r="E82" i="10"/>
  <c r="E80" i="10"/>
  <c r="E73" i="10"/>
  <c r="AH69" i="10"/>
  <c r="D68" i="10" a="1"/>
  <c r="D68" i="10" s="1"/>
  <c r="AH56" i="10"/>
  <c r="E55" i="10"/>
  <c r="AH51" i="10"/>
  <c r="D50" i="10" a="1"/>
  <c r="D50" i="10" s="1"/>
  <c r="D45" i="10" a="1"/>
  <c r="D45" i="10" s="1"/>
  <c r="E38" i="10"/>
  <c r="E31" i="10"/>
  <c r="AH27" i="10"/>
  <c r="D26" i="10" a="1"/>
  <c r="D26" i="10" s="1"/>
  <c r="AH20" i="10"/>
  <c r="E19" i="10"/>
  <c r="E14" i="10"/>
  <c r="AH10" i="10"/>
  <c r="D9" i="10" a="1"/>
  <c r="D9" i="10" s="1"/>
  <c r="D313" i="10" a="1"/>
  <c r="D313" i="10" s="1"/>
  <c r="E284" i="10"/>
  <c r="E271" i="10"/>
  <c r="E266" i="10"/>
  <c r="E254" i="10"/>
  <c r="AH249" i="10"/>
  <c r="AH237" i="10"/>
  <c r="AH232" i="10"/>
  <c r="D228" i="10" a="1"/>
  <c r="D228" i="10" s="1"/>
  <c r="D212" i="10" a="1"/>
  <c r="D212" i="10" s="1"/>
  <c r="E210" i="10"/>
  <c r="AH206" i="10"/>
  <c r="D205" i="10" a="1"/>
  <c r="D205" i="10" s="1"/>
  <c r="E196" i="10"/>
  <c r="AH192" i="10"/>
  <c r="D191" i="10" a="1"/>
  <c r="D191" i="10" s="1"/>
  <c r="AH179" i="10"/>
  <c r="E178" i="10"/>
  <c r="AH174" i="10"/>
  <c r="D173" i="10" a="1"/>
  <c r="D173" i="10" s="1"/>
  <c r="E166" i="10"/>
  <c r="AH162" i="10"/>
  <c r="D161" i="10" a="1"/>
  <c r="D161" i="10" s="1"/>
  <c r="E151" i="10"/>
  <c r="D148" i="10" a="1"/>
  <c r="D148" i="10" s="1"/>
  <c r="E141" i="10"/>
  <c r="AH130" i="10"/>
  <c r="D129" i="10" a="1"/>
  <c r="D129" i="10" s="1"/>
  <c r="AH114" i="10"/>
  <c r="D113" i="10" a="1"/>
  <c r="D113" i="10" s="1"/>
  <c r="E106" i="10"/>
  <c r="D101" i="10" a="1"/>
  <c r="D101" i="10" s="1"/>
  <c r="E94" i="10"/>
  <c r="AH90" i="10"/>
  <c r="D89" i="10" a="1"/>
  <c r="D89" i="10" s="1"/>
  <c r="D82" i="10" a="1"/>
  <c r="D82" i="10" s="1"/>
  <c r="D80" i="10" a="1"/>
  <c r="D80" i="10" s="1"/>
  <c r="E78" i="10"/>
  <c r="AH74" i="10"/>
  <c r="D73" i="10" a="1"/>
  <c r="D73" i="10" s="1"/>
  <c r="E66" i="10"/>
  <c r="AH62" i="10"/>
  <c r="E61" i="10"/>
  <c r="AH59" i="10"/>
  <c r="E58" i="10"/>
  <c r="D55" i="10" a="1"/>
  <c r="D55" i="10" s="1"/>
  <c r="E48" i="10"/>
  <c r="E43" i="10"/>
  <c r="AH39" i="10"/>
  <c r="D38" i="10" a="1"/>
  <c r="D38" i="10" s="1"/>
  <c r="E36" i="10"/>
  <c r="AH32" i="10"/>
  <c r="D31" i="10" a="1"/>
  <c r="D31" i="10" s="1"/>
  <c r="E24" i="10"/>
  <c r="D19" i="10" a="1"/>
  <c r="D19" i="10" s="1"/>
  <c r="AH15" i="10"/>
  <c r="AH339" i="10"/>
  <c r="E306" i="10"/>
  <c r="D284" i="10" a="1"/>
  <c r="D284" i="10" s="1"/>
  <c r="AH280" i="10"/>
  <c r="E276" i="10"/>
  <c r="D268" i="10" a="1"/>
  <c r="D268" i="10" s="1"/>
  <c r="D266" i="10" a="1"/>
  <c r="D266" i="10" s="1"/>
  <c r="AH262" i="10"/>
  <c r="AH229" i="10"/>
  <c r="D225" i="10" a="1"/>
  <c r="D225" i="10" s="1"/>
  <c r="AH213" i="10"/>
  <c r="D210" i="10" a="1"/>
  <c r="D210" i="10" s="1"/>
  <c r="E203" i="10"/>
  <c r="AH197" i="10"/>
  <c r="D196" i="10" a="1"/>
  <c r="D196" i="10" s="1"/>
  <c r="E189" i="10"/>
  <c r="E187" i="10"/>
  <c r="E185" i="10"/>
  <c r="E183" i="10"/>
  <c r="D178" i="10" a="1"/>
  <c r="D178" i="10" s="1"/>
  <c r="E171" i="10"/>
  <c r="AH167" i="10"/>
  <c r="D166" i="10" a="1"/>
  <c r="D166" i="10" s="1"/>
  <c r="E159" i="10"/>
  <c r="AH152" i="10"/>
  <c r="D151" i="10" a="1"/>
  <c r="D151" i="10" s="1"/>
  <c r="E146" i="10"/>
  <c r="AH142" i="10"/>
  <c r="D141" i="10" a="1"/>
  <c r="D141" i="10" s="1"/>
  <c r="AH137" i="10"/>
  <c r="E136" i="10"/>
  <c r="E134" i="10"/>
  <c r="E127" i="10"/>
  <c r="AH125" i="10"/>
  <c r="E124" i="10"/>
  <c r="AH122" i="10"/>
  <c r="E121" i="10"/>
  <c r="E119" i="10"/>
  <c r="AH117" i="10"/>
  <c r="E116" i="10"/>
  <c r="E111" i="10"/>
  <c r="AH107" i="10"/>
  <c r="D106" i="10" a="1"/>
  <c r="D106" i="10" s="1"/>
  <c r="AH102" i="10"/>
  <c r="E99" i="10"/>
  <c r="AH95" i="10"/>
  <c r="D94" i="10" a="1"/>
  <c r="D94" i="10" s="1"/>
  <c r="E87" i="10"/>
  <c r="D78" i="10" a="1"/>
  <c r="D78" i="10" s="1"/>
  <c r="E71" i="10"/>
  <c r="AH67" i="10"/>
  <c r="D66" i="10" a="1"/>
  <c r="D66" i="10" s="1"/>
  <c r="D61" i="10" a="1"/>
  <c r="D61" i="10" s="1"/>
  <c r="D58" i="10" a="1"/>
  <c r="D58" i="10" s="1"/>
  <c r="E53" i="10"/>
  <c r="AH49" i="10"/>
  <c r="D48" i="10" a="1"/>
  <c r="D48" i="10" s="1"/>
  <c r="AH44" i="10"/>
  <c r="D43" i="10" a="1"/>
  <c r="D43" i="10" s="1"/>
  <c r="D36" i="10" a="1"/>
  <c r="D36" i="10" s="1"/>
  <c r="D326" i="10" a="1"/>
  <c r="D326" i="10" s="1"/>
  <c r="E319" i="10"/>
  <c r="E299" i="10"/>
  <c r="E256" i="10"/>
  <c r="AH224" i="10"/>
  <c r="D218" i="10" a="1"/>
  <c r="D218" i="10" s="1"/>
  <c r="E216" i="10"/>
  <c r="AH211" i="10"/>
  <c r="D208" i="10" a="1"/>
  <c r="D208" i="10" s="1"/>
  <c r="AH204" i="10"/>
  <c r="D203" i="10" a="1"/>
  <c r="D203" i="10" s="1"/>
  <c r="E201" i="10"/>
  <c r="E194" i="10"/>
  <c r="AH190" i="10"/>
  <c r="D189" i="10" a="1"/>
  <c r="D189" i="10" s="1"/>
  <c r="D187" i="10" a="1"/>
  <c r="D187" i="10" s="1"/>
  <c r="D185" i="10" a="1"/>
  <c r="D185" i="10" s="1"/>
  <c r="D183" i="10" a="1"/>
  <c r="D183" i="10" s="1"/>
  <c r="E181" i="10"/>
  <c r="E176" i="10"/>
  <c r="AH172" i="10"/>
  <c r="D171" i="10" a="1"/>
  <c r="D171" i="10" s="1"/>
  <c r="E164" i="10"/>
  <c r="AH160" i="10"/>
  <c r="D159" i="10" a="1"/>
  <c r="D159" i="10" s="1"/>
  <c r="AH155" i="10"/>
  <c r="E154" i="10"/>
  <c r="AH147" i="10"/>
  <c r="D146" i="10" a="1"/>
  <c r="D146" i="10" s="1"/>
  <c r="E139" i="10"/>
  <c r="D136" i="10" a="1"/>
  <c r="D136" i="10" s="1"/>
  <c r="D134" i="10" a="1"/>
  <c r="D134" i="10" s="1"/>
  <c r="E132" i="10"/>
  <c r="AH128" i="10"/>
  <c r="D127" i="10" a="1"/>
  <c r="D127" i="10" s="1"/>
  <c r="D124" i="10" a="1"/>
  <c r="D124" i="10" s="1"/>
  <c r="D121" i="10" a="1"/>
  <c r="D121" i="10" s="1"/>
  <c r="D119" i="10" a="1"/>
  <c r="D119" i="10" s="1"/>
  <c r="D116" i="10" a="1"/>
  <c r="D116" i="10" s="1"/>
  <c r="AH112" i="10"/>
  <c r="D111" i="10" a="1"/>
  <c r="D111" i="10" s="1"/>
  <c r="E104" i="10"/>
  <c r="AH100" i="10"/>
  <c r="D99" i="10" a="1"/>
  <c r="D99" i="10" s="1"/>
  <c r="E92" i="10"/>
  <c r="E289" i="10"/>
  <c r="AH285" i="10"/>
  <c r="E278" i="10"/>
  <c r="AH267" i="10"/>
  <c r="D258" i="10" a="1"/>
  <c r="D258" i="10" s="1"/>
  <c r="D256" i="10" a="1"/>
  <c r="D256" i="10" s="1"/>
  <c r="E247" i="10"/>
  <c r="AH244" i="10"/>
  <c r="E235" i="10"/>
  <c r="D232" i="10" a="1"/>
  <c r="D232" i="10" s="1"/>
  <c r="D216" i="10" a="1"/>
  <c r="D216" i="10" s="1"/>
  <c r="D201" i="10" a="1"/>
  <c r="D201" i="10" s="1"/>
  <c r="E199" i="10"/>
  <c r="AH195" i="10"/>
  <c r="D194" i="10" a="1"/>
  <c r="D194" i="10" s="1"/>
  <c r="D181" i="10" a="1"/>
  <c r="D181" i="10" s="1"/>
  <c r="D176" i="10" a="1"/>
  <c r="D176" i="10" s="1"/>
  <c r="E169" i="10"/>
  <c r="AH165" i="10"/>
  <c r="D164" i="10" a="1"/>
  <c r="D164" i="10" s="1"/>
  <c r="E157" i="10"/>
  <c r="D154" i="10" a="1"/>
  <c r="D154" i="10" s="1"/>
  <c r="AH150" i="10"/>
  <c r="E149" i="10"/>
  <c r="E144" i="10"/>
  <c r="AH140" i="10"/>
  <c r="D139" i="10" a="1"/>
  <c r="D139" i="10" s="1"/>
  <c r="D132" i="10" a="1"/>
  <c r="D132" i="10" s="1"/>
  <c r="E109" i="10"/>
  <c r="D104" i="10" a="1"/>
  <c r="D104" i="10" s="1"/>
  <c r="E97" i="10"/>
  <c r="D92" i="10" a="1"/>
  <c r="D92" i="10" s="1"/>
  <c r="E85" i="10"/>
  <c r="AH77" i="10"/>
  <c r="D76" i="10" a="1"/>
  <c r="D76" i="10" s="1"/>
  <c r="E69" i="10"/>
  <c r="AH65" i="10"/>
  <c r="D64" i="10" a="1"/>
  <c r="D64" i="10" s="1"/>
  <c r="AH57" i="10"/>
  <c r="E56" i="10"/>
  <c r="E51" i="10"/>
  <c r="AH47" i="10"/>
  <c r="D46" i="10" a="1"/>
  <c r="D46" i="10" s="1"/>
  <c r="AH42" i="10"/>
  <c r="D41" i="10" a="1"/>
  <c r="D41" i="10" s="1"/>
  <c r="AH35" i="10"/>
  <c r="D34" i="10" a="1"/>
  <c r="D34" i="10" s="1"/>
  <c r="E27" i="10"/>
  <c r="AH23" i="10"/>
  <c r="E20" i="10"/>
  <c r="AH18" i="10"/>
  <c r="D17" i="10" a="1"/>
  <c r="D17" i="10" s="1"/>
  <c r="D312" i="10" a="1"/>
  <c r="D312" i="10" s="1"/>
  <c r="D278" i="10" a="1"/>
  <c r="D278" i="10" s="1"/>
  <c r="E273" i="10"/>
  <c r="E260" i="10"/>
  <c r="D249" i="10" a="1"/>
  <c r="D249" i="10" s="1"/>
  <c r="E242" i="10"/>
  <c r="D237" i="10" a="1"/>
  <c r="D237" i="10" s="1"/>
  <c r="AH231" i="10"/>
  <c r="E227" i="10"/>
  <c r="E222" i="10"/>
  <c r="D220" i="10" a="1"/>
  <c r="D220" i="10" s="1"/>
  <c r="AH217" i="10"/>
  <c r="E206" i="10"/>
  <c r="AH202" i="10"/>
  <c r="D199" i="10" a="1"/>
  <c r="D199" i="10" s="1"/>
  <c r="E192" i="10"/>
  <c r="AH188" i="10"/>
  <c r="AH186" i="10"/>
  <c r="AH182" i="10"/>
  <c r="E179" i="10"/>
  <c r="E174" i="10"/>
  <c r="AH170" i="10"/>
  <c r="D169" i="10" a="1"/>
  <c r="D169" i="10" s="1"/>
  <c r="E162" i="10"/>
  <c r="AH158" i="10"/>
  <c r="D157" i="10" a="1"/>
  <c r="D157" i="10" s="1"/>
  <c r="D149" i="10" a="1"/>
  <c r="D149" i="10" s="1"/>
  <c r="AH145" i="10"/>
  <c r="D144" i="10" a="1"/>
  <c r="D144" i="10" s="1"/>
  <c r="AH133" i="10"/>
  <c r="E130" i="10"/>
  <c r="AH120" i="10"/>
  <c r="E114" i="10"/>
  <c r="AH110" i="10"/>
  <c r="D109" i="10" a="1"/>
  <c r="D109" i="10" s="1"/>
  <c r="AH105" i="10"/>
  <c r="E102" i="10"/>
  <c r="AH98" i="10"/>
  <c r="D97" i="10" a="1"/>
  <c r="D97" i="10" s="1"/>
  <c r="E90" i="10"/>
  <c r="AH86" i="10"/>
  <c r="D85" i="10" a="1"/>
  <c r="D85" i="10" s="1"/>
  <c r="E74" i="10"/>
  <c r="AH70" i="10"/>
  <c r="D69" i="10" a="1"/>
  <c r="D69" i="10" s="1"/>
  <c r="E62" i="10"/>
  <c r="AH60" i="10"/>
  <c r="E59" i="10"/>
  <c r="D56" i="10" a="1"/>
  <c r="D56" i="10" s="1"/>
  <c r="AH52" i="10"/>
  <c r="D51" i="10" a="1"/>
  <c r="D51" i="10" s="1"/>
  <c r="E39" i="10"/>
  <c r="E32" i="10"/>
  <c r="AH28" i="10"/>
  <c r="D27" i="10" a="1"/>
  <c r="D27" i="10" s="1"/>
  <c r="AH21" i="10"/>
  <c r="D20" i="10" a="1"/>
  <c r="D20" i="10" s="1"/>
  <c r="E15" i="10"/>
  <c r="AH11" i="10"/>
  <c r="D10" i="10" a="1"/>
  <c r="D10" i="10" s="1"/>
  <c r="D305" i="10" a="1"/>
  <c r="D305" i="10" s="1"/>
  <c r="E283" i="10"/>
  <c r="D273" i="10" a="1"/>
  <c r="D273" i="10" s="1"/>
  <c r="D262" i="10" a="1"/>
  <c r="D262" i="10" s="1"/>
  <c r="AH257" i="10"/>
  <c r="D242" i="10" a="1"/>
  <c r="D242" i="10" s="1"/>
  <c r="D229" i="10" a="1"/>
  <c r="D229" i="10" s="1"/>
  <c r="D227" i="10" a="1"/>
  <c r="D227" i="10" s="1"/>
  <c r="D222" i="10" a="1"/>
  <c r="D222" i="10" s="1"/>
  <c r="AH219" i="10"/>
  <c r="E213" i="10"/>
  <c r="AH207" i="10"/>
  <c r="D206" i="10" a="1"/>
  <c r="D206" i="10" s="1"/>
  <c r="AH200" i="10"/>
  <c r="E197" i="10"/>
  <c r="AH193" i="10"/>
  <c r="D192" i="10" a="1"/>
  <c r="D192" i="10" s="1"/>
  <c r="AH180" i="10"/>
  <c r="D179" i="10" a="1"/>
  <c r="D179" i="10" s="1"/>
  <c r="AH175" i="10"/>
  <c r="D174" i="10" a="1"/>
  <c r="D174" i="10" s="1"/>
  <c r="E167" i="10"/>
  <c r="AH163" i="10"/>
  <c r="D162" i="10" a="1"/>
  <c r="D162" i="10" s="1"/>
  <c r="E152" i="10"/>
  <c r="E142" i="10"/>
  <c r="AH138" i="10"/>
  <c r="E137" i="10"/>
  <c r="AH131" i="10"/>
  <c r="D130" i="10" a="1"/>
  <c r="D130" i="10" s="1"/>
  <c r="AH126" i="10"/>
  <c r="E125" i="10"/>
  <c r="AH123" i="10"/>
  <c r="E122" i="10"/>
  <c r="AH118" i="10"/>
  <c r="E117" i="10"/>
  <c r="AH115" i="10"/>
  <c r="D114" i="10" a="1"/>
  <c r="D114" i="10" s="1"/>
  <c r="E107" i="10"/>
  <c r="D102" i="10" a="1"/>
  <c r="D102" i="10" s="1"/>
  <c r="E95" i="10"/>
  <c r="AH91" i="10"/>
  <c r="D90" i="10" a="1"/>
  <c r="D90" i="10" s="1"/>
  <c r="E83" i="10"/>
  <c r="E81" i="10"/>
  <c r="E79" i="10"/>
  <c r="AH75" i="10"/>
  <c r="D74" i="10" a="1"/>
  <c r="D74" i="10" s="1"/>
  <c r="E67" i="10"/>
  <c r="AH63" i="10"/>
  <c r="D62" i="10" a="1"/>
  <c r="D62" i="10" s="1"/>
  <c r="D59" i="10" a="1"/>
  <c r="D59" i="10" s="1"/>
  <c r="E49" i="10"/>
  <c r="E44" i="10"/>
  <c r="AH40" i="10"/>
  <c r="E298" i="10"/>
  <c r="D283" i="10" a="1"/>
  <c r="D283" i="10" s="1"/>
  <c r="AH279" i="10"/>
  <c r="AH274" i="10"/>
  <c r="E253" i="10"/>
  <c r="D251" i="10" a="1"/>
  <c r="D251" i="10" s="1"/>
  <c r="E244" i="10"/>
  <c r="D239" i="10" a="1"/>
  <c r="D239" i="10" s="1"/>
  <c r="AH226" i="10"/>
  <c r="E211" i="10"/>
  <c r="E209" i="10"/>
  <c r="E204" i="10"/>
  <c r="AH198" i="10"/>
  <c r="D197" i="10" a="1"/>
  <c r="D197" i="10" s="1"/>
  <c r="E190" i="10"/>
  <c r="E172" i="10"/>
  <c r="AH168" i="10"/>
  <c r="D167" i="10" a="1"/>
  <c r="D167" i="10" s="1"/>
  <c r="E160" i="10"/>
  <c r="E155" i="10"/>
  <c r="AH153" i="10"/>
  <c r="D152" i="10" a="1"/>
  <c r="D152" i="10" s="1"/>
  <c r="E147" i="10"/>
  <c r="AH143" i="10"/>
  <c r="D142" i="10" a="1"/>
  <c r="D142" i="10" s="1"/>
  <c r="D137" i="10" a="1"/>
  <c r="D137" i="10" s="1"/>
  <c r="E128" i="10"/>
  <c r="D125" i="10" a="1"/>
  <c r="D125" i="10" s="1"/>
  <c r="D122" i="10" a="1"/>
  <c r="D122" i="10" s="1"/>
  <c r="D117" i="10" a="1"/>
  <c r="D117" i="10" s="1"/>
  <c r="E112" i="10"/>
  <c r="AH108" i="10"/>
  <c r="D107" i="10" a="1"/>
  <c r="D107" i="10" s="1"/>
  <c r="AH103" i="10"/>
  <c r="E100" i="10"/>
  <c r="AH96" i="10"/>
  <c r="D95" i="10" a="1"/>
  <c r="D95" i="10" s="1"/>
  <c r="E88" i="10"/>
  <c r="D83" i="10" a="1"/>
  <c r="D83" i="10" s="1"/>
  <c r="D81" i="10" a="1"/>
  <c r="D81" i="10" s="1"/>
  <c r="D79" i="10" a="1"/>
  <c r="D79" i="10" s="1"/>
  <c r="E72" i="10"/>
  <c r="AH68" i="10"/>
  <c r="D67" i="10" a="1"/>
  <c r="D67" i="10" s="1"/>
  <c r="E54" i="10"/>
  <c r="AH50" i="10"/>
  <c r="D49" i="10" a="1"/>
  <c r="D49" i="10" s="1"/>
  <c r="E331" i="10"/>
  <c r="AH327" i="10"/>
  <c r="E288" i="10"/>
  <c r="E267" i="10"/>
  <c r="D253" i="10" a="1"/>
  <c r="D253" i="10" s="1"/>
  <c r="AH250" i="10"/>
  <c r="AH238" i="10"/>
  <c r="E234" i="10"/>
  <c r="AH230" i="10"/>
  <c r="AH228" i="10"/>
  <c r="AH223" i="10"/>
  <c r="E215" i="10"/>
  <c r="AH212" i="10"/>
  <c r="D211" i="10" a="1"/>
  <c r="D211" i="10" s="1"/>
  <c r="D209" i="10" a="1"/>
  <c r="D209" i="10" s="1"/>
  <c r="AH205" i="10"/>
  <c r="D204" i="10" a="1"/>
  <c r="D204" i="10" s="1"/>
  <c r="E195" i="10"/>
  <c r="AH191" i="10"/>
  <c r="D190" i="10" a="1"/>
  <c r="D190" i="10" s="1"/>
  <c r="E188" i="10"/>
  <c r="E186" i="10"/>
  <c r="E184" i="10"/>
  <c r="E182" i="10"/>
  <c r="E177" i="10"/>
  <c r="AH173" i="10"/>
  <c r="D172" i="10" a="1"/>
  <c r="D172" i="10" s="1"/>
  <c r="E165" i="10"/>
  <c r="AH161" i="10"/>
  <c r="D160" i="10" a="1"/>
  <c r="D160" i="10" s="1"/>
  <c r="D155" i="10" a="1"/>
  <c r="D155" i="10" s="1"/>
  <c r="E150" i="10"/>
  <c r="AH148" i="10"/>
  <c r="D147" i="10" a="1"/>
  <c r="D147" i="10" s="1"/>
  <c r="E140" i="10"/>
  <c r="E135" i="10"/>
  <c r="E133" i="10"/>
  <c r="AH129" i="10"/>
  <c r="D128" i="10" a="1"/>
  <c r="D128" i="10" s="1"/>
  <c r="E120" i="10"/>
  <c r="AH113" i="10"/>
  <c r="D112" i="10" a="1"/>
  <c r="D112" i="10" s="1"/>
  <c r="E105" i="10"/>
  <c r="D100" i="10" a="1"/>
  <c r="D100" i="10" s="1"/>
  <c r="E93" i="10"/>
  <c r="AH89" i="10"/>
  <c r="D88" i="10" a="1"/>
  <c r="D88" i="10" s="1"/>
  <c r="E77" i="10"/>
  <c r="AH73" i="10"/>
  <c r="D72" i="10" a="1"/>
  <c r="D72" i="10" s="1"/>
  <c r="D42" i="10" a="1"/>
  <c r="D42" i="10" s="1"/>
  <c r="D37" i="10" a="1"/>
  <c r="D37" i="10" s="1"/>
  <c r="D32" i="10" a="1"/>
  <c r="D32" i="10" s="1"/>
  <c r="D14" i="10" a="1"/>
  <c r="D14" i="10" s="1"/>
  <c r="E6" i="10"/>
  <c r="D44" i="10" a="1"/>
  <c r="D44" i="10" s="1"/>
  <c r="AH41" i="10"/>
  <c r="D39" i="10" a="1"/>
  <c r="D39" i="10" s="1"/>
  <c r="E25" i="10"/>
  <c r="E23" i="10"/>
  <c r="D12" i="10" a="1"/>
  <c r="D12" i="10" s="1"/>
  <c r="AH9" i="10"/>
  <c r="D6" i="10" a="1"/>
  <c r="D6" i="10" s="1"/>
  <c r="AH54" i="10"/>
  <c r="AH31" i="10"/>
  <c r="D25" i="10" a="1"/>
  <c r="D25" i="10" s="1"/>
  <c r="D23" i="10" a="1"/>
  <c r="D23" i="10" s="1"/>
  <c r="D16" i="10" a="1"/>
  <c r="D16" i="10" s="1"/>
  <c r="AH13" i="10"/>
  <c r="AH7" i="10"/>
  <c r="E2" i="10"/>
  <c r="AH72" i="10"/>
  <c r="E46" i="10"/>
  <c r="AH38" i="10"/>
  <c r="E34" i="10"/>
  <c r="AH22" i="10"/>
  <c r="E18" i="10"/>
  <c r="AH3" i="10"/>
  <c r="D2" i="10" a="1"/>
  <c r="D2" i="10" s="1"/>
  <c r="D5" i="10" a="1"/>
  <c r="D5" i="10" s="1"/>
  <c r="AH79" i="10"/>
  <c r="E57" i="10"/>
  <c r="AH33" i="10"/>
  <c r="AH26" i="10"/>
  <c r="AH24" i="10"/>
  <c r="D18" i="10" a="1"/>
  <c r="D18" i="10" s="1"/>
  <c r="E13" i="10"/>
  <c r="E76" i="10"/>
  <c r="AH45" i="10"/>
  <c r="E41" i="10"/>
  <c r="E29" i="10"/>
  <c r="AH17" i="10"/>
  <c r="E9" i="10"/>
  <c r="E22" i="10"/>
  <c r="AH19" i="10"/>
  <c r="D15" i="10" a="1"/>
  <c r="D15" i="10" s="1"/>
  <c r="AH2" i="10"/>
  <c r="D87" i="10" a="1"/>
  <c r="D87" i="10" s="1"/>
  <c r="D54" i="10" a="1"/>
  <c r="D54" i="10" s="1"/>
  <c r="D29" i="10" a="1"/>
  <c r="D29" i="10" s="1"/>
  <c r="E11" i="10"/>
  <c r="E7" i="10"/>
  <c r="E5" i="10"/>
  <c r="E3" i="10"/>
  <c r="E65" i="10"/>
  <c r="AH37" i="10"/>
  <c r="AH30" i="10"/>
  <c r="D22" i="10" a="1"/>
  <c r="D22" i="10" s="1"/>
  <c r="D13" i="10" a="1"/>
  <c r="D13" i="10" s="1"/>
  <c r="AH8" i="10"/>
  <c r="D7" i="10" a="1"/>
  <c r="D7" i="10" s="1"/>
  <c r="D33" i="10" a="1"/>
  <c r="D33" i="10" s="1"/>
  <c r="E26" i="10"/>
  <c r="D24" i="10" a="1"/>
  <c r="D24" i="10" s="1"/>
  <c r="AH14" i="10"/>
  <c r="D3" i="10" a="1"/>
  <c r="D3" i="10" s="1"/>
  <c r="E50" i="10"/>
  <c r="E47" i="10"/>
  <c r="E45" i="10"/>
  <c r="D40" i="10" a="1"/>
  <c r="D40" i="10" s="1"/>
  <c r="E35" i="10"/>
  <c r="AH25" i="10"/>
  <c r="E17" i="10"/>
  <c r="AH6" i="10"/>
  <c r="AH4" i="10"/>
  <c r="E28" i="10"/>
  <c r="AH16" i="10"/>
  <c r="D71" i="10" a="1"/>
  <c r="D71" i="10" s="1"/>
  <c r="AH55" i="10"/>
  <c r="D53" i="10" a="1"/>
  <c r="D53" i="10" s="1"/>
  <c r="D47" i="10" a="1"/>
  <c r="D47" i="10" s="1"/>
  <c r="D35" i="10" a="1"/>
  <c r="D35" i="10" s="1"/>
  <c r="E4" i="10"/>
  <c r="AH88" i="10"/>
  <c r="AH81" i="10"/>
  <c r="E64" i="10"/>
  <c r="AH46" i="10"/>
  <c r="E42" i="10"/>
  <c r="E37" i="10"/>
  <c r="AH34" i="10"/>
  <c r="E30" i="10"/>
  <c r="E21" i="10"/>
  <c r="E10" i="10"/>
  <c r="E8" i="10"/>
  <c r="D30" i="10" a="1"/>
  <c r="D30" i="10" s="1"/>
  <c r="E12" i="10"/>
  <c r="D8" i="10" a="1"/>
  <c r="D8" i="10" s="1"/>
  <c r="D460" i="10" a="1"/>
  <c r="D460" i="10" s="1"/>
  <c r="E494" i="10"/>
  <c r="AH541" i="10"/>
  <c r="E460" i="10"/>
  <c r="D521" i="10" a="1"/>
  <c r="D521" i="10" s="1"/>
  <c r="D523" i="10" a="1"/>
  <c r="D523" i="10" s="1"/>
  <c r="E420" i="10"/>
  <c r="D474" i="10" a="1"/>
  <c r="D474" i="10" s="1"/>
  <c r="E545" i="10"/>
  <c r="D493" i="10" a="1"/>
  <c r="D493" i="10" s="1"/>
  <c r="D542" i="10" a="1"/>
  <c r="D542" i="10" s="1"/>
  <c r="AH487" i="10"/>
  <c r="E537" i="10"/>
  <c r="AH448" i="10"/>
  <c r="D502" i="10" a="1"/>
  <c r="D502" i="10" s="1"/>
  <c r="D483" i="10" a="1"/>
  <c r="D483" i="10" s="1"/>
  <c r="E527" i="10"/>
  <c r="D492" i="10" a="1"/>
  <c r="D492" i="10" s="1"/>
  <c r="AH537" i="10"/>
  <c r="E514" i="10"/>
  <c r="D428" i="10" a="1"/>
  <c r="D428" i="10" s="1"/>
  <c r="E446" i="10"/>
  <c r="D427" i="10" a="1"/>
  <c r="D427" i="10" s="1"/>
  <c r="D539" i="10" a="1"/>
  <c r="D539" i="10" s="1"/>
  <c r="D454" i="10" a="1"/>
  <c r="D454" i="10" s="1"/>
  <c r="AH503" i="10"/>
  <c r="E486" i="10"/>
  <c r="D529" i="10" a="1"/>
  <c r="D529" i="10" s="1"/>
  <c r="AH493" i="10"/>
  <c r="E546" i="10"/>
  <c r="E484" i="10"/>
  <c r="D528" i="10" a="1"/>
  <c r="D528" i="10" s="1"/>
  <c r="AH496" i="10"/>
  <c r="E493" i="10"/>
  <c r="D465" i="10" a="1"/>
  <c r="D465" i="10" s="1"/>
  <c r="AH546" i="10"/>
  <c r="AH534" i="10"/>
  <c r="AH428" i="10"/>
  <c r="E552" i="10"/>
  <c r="D500" i="10" a="1"/>
  <c r="D500" i="10" s="1"/>
  <c r="D556" i="10" a="1"/>
  <c r="D556" i="10" s="1"/>
  <c r="D495" i="10" a="1"/>
  <c r="D495" i="10" s="1"/>
  <c r="AH540" i="10"/>
  <c r="AH455" i="10"/>
  <c r="E509" i="10"/>
  <c r="D488" i="10" a="1"/>
  <c r="D488" i="10" s="1"/>
  <c r="AH530" i="10"/>
  <c r="D499" i="10" a="1"/>
  <c r="D499" i="10" s="1"/>
  <c r="E548" i="10"/>
  <c r="AH471" i="10"/>
  <c r="AH499" i="10"/>
  <c r="AH445" i="10"/>
  <c r="E496" i="10"/>
  <c r="D554" i="10" a="1"/>
  <c r="D554" i="10" s="1"/>
  <c r="D458" i="10" a="1"/>
  <c r="D458" i="10" s="1"/>
  <c r="AH516" i="10"/>
  <c r="E501" i="10"/>
  <c r="E477" i="10"/>
  <c r="E528" i="10"/>
  <c r="E479" i="10"/>
  <c r="AH459" i="10"/>
  <c r="E524" i="10"/>
  <c r="AH466" i="10"/>
  <c r="E508" i="10"/>
  <c r="D550" i="10" a="1"/>
  <c r="D550" i="10" s="1"/>
  <c r="E482" i="10"/>
  <c r="E540" i="10"/>
  <c r="D530" i="10" a="1"/>
  <c r="D530" i="10" s="1"/>
  <c r="E436" i="10"/>
  <c r="D484" i="10" a="1"/>
  <c r="D484" i="10" s="1"/>
  <c r="D452" i="10" a="1"/>
  <c r="D452" i="10" s="1"/>
  <c r="AH501" i="10"/>
  <c r="D464" i="10" a="1"/>
  <c r="D464" i="10" s="1"/>
  <c r="E500" i="10"/>
  <c r="E542" i="10"/>
  <c r="E459" i="10"/>
  <c r="E511" i="10"/>
  <c r="E497" i="10"/>
  <c r="D534" i="10" a="1"/>
  <c r="D534" i="10" s="1"/>
  <c r="AH500" i="10"/>
  <c r="E560" i="10"/>
  <c r="D475" i="10" a="1"/>
  <c r="D475" i="10" s="1"/>
  <c r="E451" i="10"/>
  <c r="AH461" i="10"/>
  <c r="AH544" i="10"/>
  <c r="AH483" i="10"/>
  <c r="E550" i="10"/>
  <c r="AH453" i="10"/>
  <c r="E507" i="10"/>
  <c r="D513" i="10" a="1"/>
  <c r="D513" i="10" s="1"/>
  <c r="E502" i="10"/>
  <c r="D541" i="10" a="1"/>
  <c r="D541" i="10" s="1"/>
  <c r="E504" i="10"/>
  <c r="E431" i="10"/>
  <c r="D553" i="10" a="1"/>
  <c r="D553" i="10" s="1"/>
  <c r="D549" i="10" a="1"/>
  <c r="D549" i="10" s="1"/>
  <c r="E506" i="10"/>
  <c r="E465" i="10"/>
  <c r="AH524" i="10"/>
  <c r="AH475" i="10"/>
  <c r="E547" i="10"/>
  <c r="E531" i="10"/>
  <c r="D507" i="10" a="1"/>
  <c r="D507" i="10" s="1"/>
  <c r="AH465" i="10"/>
  <c r="E464" i="10"/>
  <c r="E551" i="10"/>
  <c r="AH464" i="10"/>
  <c r="D536" i="10" a="1"/>
  <c r="D536" i="10" s="1"/>
  <c r="D472" i="10" a="1"/>
  <c r="D472" i="10" s="1"/>
  <c r="E512" i="10"/>
  <c r="E430" i="10"/>
  <c r="D487" i="10" a="1"/>
  <c r="D487" i="10" s="1"/>
  <c r="D559" i="10" a="1"/>
  <c r="D559" i="10" s="1"/>
  <c r="AH536" i="10"/>
  <c r="AH444" i="10"/>
  <c r="D491" i="10" a="1"/>
  <c r="D491" i="10" s="1"/>
  <c r="E457" i="10"/>
  <c r="AH512" i="10"/>
  <c r="E469" i="10"/>
  <c r="D509" i="10" a="1"/>
  <c r="D509" i="10" s="1"/>
  <c r="E556" i="10"/>
  <c r="E471" i="10"/>
  <c r="E516" i="10"/>
  <c r="AH505" i="10"/>
  <c r="D544" i="10" a="1"/>
  <c r="D544" i="10" s="1"/>
  <c r="D506" i="10" a="1"/>
  <c r="D506" i="10" s="1"/>
  <c r="E522" i="10"/>
</calcChain>
</file>

<file path=xl/sharedStrings.xml><?xml version="1.0" encoding="utf-8"?>
<sst xmlns="http://schemas.openxmlformats.org/spreadsheetml/2006/main" count="11024" uniqueCount="1559">
  <si>
    <t>IDEmpresa</t>
  </si>
  <si>
    <t>RazaoSocial</t>
  </si>
  <si>
    <t>CNPJ_CPF</t>
  </si>
  <si>
    <t>InscricaoEstadual</t>
  </si>
  <si>
    <t>Abertura</t>
  </si>
  <si>
    <t>TipoCliente</t>
  </si>
  <si>
    <t>RamoCliente</t>
  </si>
  <si>
    <t>SócioAdministrador</t>
  </si>
  <si>
    <t>Logradouro</t>
  </si>
  <si>
    <t>Numero</t>
  </si>
  <si>
    <t>Complemento</t>
  </si>
  <si>
    <t>Bairro</t>
  </si>
  <si>
    <t>CEP</t>
  </si>
  <si>
    <t>Municipio</t>
  </si>
  <si>
    <t>Estado</t>
  </si>
  <si>
    <t>EmailCliente</t>
  </si>
  <si>
    <t>TelefoneCliente</t>
  </si>
  <si>
    <t>Idade</t>
  </si>
  <si>
    <t>TKJ Gerenciamento LTDA</t>
  </si>
  <si>
    <t>13.625.833/0001-90</t>
  </si>
  <si>
    <t>PJ</t>
  </si>
  <si>
    <t>Aluguel de Máquinas e Equipamentos</t>
  </si>
  <si>
    <t>Karina R. Hornink</t>
  </si>
  <si>
    <t>Alameda Afonso Schmidt</t>
  </si>
  <si>
    <t>Conj 67 Sala 02</t>
  </si>
  <si>
    <t>Santa Teresinha</t>
  </si>
  <si>
    <t>02450-000</t>
  </si>
  <si>
    <t>São Paulo</t>
  </si>
  <si>
    <t>SP</t>
  </si>
  <si>
    <t>administrativo@tkjgerenciamento.com.br</t>
  </si>
  <si>
    <t>(11) 2972-4277</t>
  </si>
  <si>
    <t>Finita Gerenciamento e Participacoes SA</t>
  </si>
  <si>
    <t>48.210.902/0001-89</t>
  </si>
  <si>
    <t>Holdings</t>
  </si>
  <si>
    <t>Conj 67 Sala 03</t>
  </si>
  <si>
    <t>finitaempreendimentos@gmail.com</t>
  </si>
  <si>
    <t>Landkraft Locacoes LTDA</t>
  </si>
  <si>
    <t>61.866.923/0001-15</t>
  </si>
  <si>
    <t>Rua Maj Dantas Cortez</t>
  </si>
  <si>
    <t>Anexo 122 Esq Dr Jose N57 Sala 01</t>
  </si>
  <si>
    <t>Vila Gustavo</t>
  </si>
  <si>
    <t>02206-000</t>
  </si>
  <si>
    <t>administrativo@landkraft.com.br</t>
  </si>
  <si>
    <t>(11) 99360-5870</t>
  </si>
  <si>
    <t>Thais Regueira Hornink</t>
  </si>
  <si>
    <t xml:space="preserve">395.164.688-88 </t>
  </si>
  <si>
    <t>IDVeiculo</t>
  </si>
  <si>
    <t>Placa</t>
  </si>
  <si>
    <t>Renavam</t>
  </si>
  <si>
    <t>Marca</t>
  </si>
  <si>
    <t>Modelo</t>
  </si>
  <si>
    <t>Tipagem</t>
  </si>
  <si>
    <t>Especie</t>
  </si>
  <si>
    <t>AnoFabricacao</t>
  </si>
  <si>
    <t>AnoModelo</t>
  </si>
  <si>
    <t>TabelaFipe</t>
  </si>
  <si>
    <t>Implemento</t>
  </si>
  <si>
    <t>ValorImplemento</t>
  </si>
  <si>
    <t>ValorTotal</t>
  </si>
  <si>
    <t>Status</t>
  </si>
  <si>
    <t>ValorVenda</t>
  </si>
  <si>
    <t>StatusBancario</t>
  </si>
  <si>
    <t>Restricoes</t>
  </si>
  <si>
    <t>Observacoes</t>
  </si>
  <si>
    <t>CLH8437</t>
  </si>
  <si>
    <t>Ford</t>
  </si>
  <si>
    <t>Cargo 1415</t>
  </si>
  <si>
    <t>Caminhão</t>
  </si>
  <si>
    <t>Toco</t>
  </si>
  <si>
    <t>Prancha</t>
  </si>
  <si>
    <t>Vendido</t>
  </si>
  <si>
    <t>LOX6E32</t>
  </si>
  <si>
    <t>Volkswagen</t>
  </si>
  <si>
    <t>15.180 Worker</t>
  </si>
  <si>
    <t>EET8B32</t>
  </si>
  <si>
    <t>Fiat</t>
  </si>
  <si>
    <t>Palio Fire 1.0</t>
  </si>
  <si>
    <t>Carro</t>
  </si>
  <si>
    <t>KJX8J96</t>
  </si>
  <si>
    <t>8.150E Delivery</t>
  </si>
  <si>
    <t>3/4</t>
  </si>
  <si>
    <t>Baú</t>
  </si>
  <si>
    <t>ANP7H74</t>
  </si>
  <si>
    <t>13.180 Constellation</t>
  </si>
  <si>
    <t>Tanque</t>
  </si>
  <si>
    <t>EVF8I83</t>
  </si>
  <si>
    <t>Munck</t>
  </si>
  <si>
    <t>Frota</t>
  </si>
  <si>
    <t>Santander Leasing Reneg</t>
  </si>
  <si>
    <t>Financeira</t>
  </si>
  <si>
    <t>Locado</t>
  </si>
  <si>
    <t>EUK4135</t>
  </si>
  <si>
    <t>9.150 Delivery</t>
  </si>
  <si>
    <t>Carroceria</t>
  </si>
  <si>
    <t>AWC3252</t>
  </si>
  <si>
    <t>Cargo 1519</t>
  </si>
  <si>
    <t>Basculante</t>
  </si>
  <si>
    <t>Desativado</t>
  </si>
  <si>
    <t>Banco Bradesco</t>
  </si>
  <si>
    <t>Retido</t>
  </si>
  <si>
    <t>BAM0G65</t>
  </si>
  <si>
    <t>Volvo</t>
  </si>
  <si>
    <t>VM 270</t>
  </si>
  <si>
    <t>BAM0478</t>
  </si>
  <si>
    <t>FIH4496</t>
  </si>
  <si>
    <t>Toyota</t>
  </si>
  <si>
    <t>Etios HB 1.3 Manual</t>
  </si>
  <si>
    <t>Nada Consta</t>
  </si>
  <si>
    <t>Renajud</t>
  </si>
  <si>
    <t>Furtado</t>
  </si>
  <si>
    <t>GAR0I46</t>
  </si>
  <si>
    <t>Gol Comfortl. 1.6</t>
  </si>
  <si>
    <t>GHH0155</t>
  </si>
  <si>
    <t>Chevrolet</t>
  </si>
  <si>
    <t>Prisma Sed. Joy 1.0</t>
  </si>
  <si>
    <t>GEE4D22</t>
  </si>
  <si>
    <t>Onix Joy 1.0</t>
  </si>
  <si>
    <t>GJJ5485</t>
  </si>
  <si>
    <t>GIL6H09</t>
  </si>
  <si>
    <t>BQV5264</t>
  </si>
  <si>
    <t>Caterpillar</t>
  </si>
  <si>
    <t>CAT 416F2</t>
  </si>
  <si>
    <t>Retroescavadeira</t>
  </si>
  <si>
    <t>Máquina</t>
  </si>
  <si>
    <t>ERA6A58</t>
  </si>
  <si>
    <t>Hilux SW4 SRV 2.7 Flex</t>
  </si>
  <si>
    <t>EKJ0028</t>
  </si>
  <si>
    <t>Etios 1.3 Aut.</t>
  </si>
  <si>
    <t>MAX4116</t>
  </si>
  <si>
    <t>Jcb</t>
  </si>
  <si>
    <t>3CX</t>
  </si>
  <si>
    <t>FZB8D94</t>
  </si>
  <si>
    <t>Mercedes Benz</t>
  </si>
  <si>
    <t>GLA200FF Advanced</t>
  </si>
  <si>
    <t>GIK6G75</t>
  </si>
  <si>
    <t>MIMADO</t>
  </si>
  <si>
    <t xml:space="preserve">CARRETA REBOQUE </t>
  </si>
  <si>
    <t>Reboque</t>
  </si>
  <si>
    <t>BPB6D57</t>
  </si>
  <si>
    <t>24.260 Constellation</t>
  </si>
  <si>
    <t>Truck</t>
  </si>
  <si>
    <t>DYG5G03</t>
  </si>
  <si>
    <t>14.190 Constellation</t>
  </si>
  <si>
    <t>Quebrado</t>
  </si>
  <si>
    <t>CRN8D42</t>
  </si>
  <si>
    <t>Fiorino Working</t>
  </si>
  <si>
    <t>Utilitário</t>
  </si>
  <si>
    <t>BYJ1H22</t>
  </si>
  <si>
    <t>DRF4J54</t>
  </si>
  <si>
    <t>BSY5H86</t>
  </si>
  <si>
    <t>BZR7H61</t>
  </si>
  <si>
    <t>CUF6C08</t>
  </si>
  <si>
    <t>CFZ5I74</t>
  </si>
  <si>
    <t>BYQ6A32</t>
  </si>
  <si>
    <t>CCF9F13</t>
  </si>
  <si>
    <t>EXW7D65</t>
  </si>
  <si>
    <t>9.170 Delivery</t>
  </si>
  <si>
    <t>DYE3G22</t>
  </si>
  <si>
    <t>FPY0E65</t>
  </si>
  <si>
    <t>Carroceria Cabinado</t>
  </si>
  <si>
    <t>BWV8F67</t>
  </si>
  <si>
    <t>CUK9B55</t>
  </si>
  <si>
    <t>EJX0I24</t>
  </si>
  <si>
    <t>Express Delivery</t>
  </si>
  <si>
    <t>Caminhonete</t>
  </si>
  <si>
    <t>DPB8E26</t>
  </si>
  <si>
    <t>DLG0D92</t>
  </si>
  <si>
    <t>BSX5H07</t>
  </si>
  <si>
    <t>Banco Volkswagen</t>
  </si>
  <si>
    <t>CSU3F94</t>
  </si>
  <si>
    <t>FFS0D23</t>
  </si>
  <si>
    <t>Banco Itaú</t>
  </si>
  <si>
    <t>EMN8B51</t>
  </si>
  <si>
    <t>CCU5G26</t>
  </si>
  <si>
    <t>CUG4B86</t>
  </si>
  <si>
    <t>Atego 3026</t>
  </si>
  <si>
    <t>Bitruck</t>
  </si>
  <si>
    <t>TJW7I85</t>
  </si>
  <si>
    <t>Hyundai</t>
  </si>
  <si>
    <t>Creta Platinum 1.0 TGDI</t>
  </si>
  <si>
    <t>Administração</t>
  </si>
  <si>
    <t>BQU9B35</t>
  </si>
  <si>
    <t>Caçamba</t>
  </si>
  <si>
    <t>Sublocado</t>
  </si>
  <si>
    <t>Devolvido</t>
  </si>
  <si>
    <t>MAX0753</t>
  </si>
  <si>
    <t>XCMG</t>
  </si>
  <si>
    <t>XZ200</t>
  </si>
  <si>
    <t>Perfuratriz</t>
  </si>
  <si>
    <t>IDCliente</t>
  </si>
  <si>
    <t>ServicoCliente</t>
  </si>
  <si>
    <t>MunicipioCliente</t>
  </si>
  <si>
    <t>EstadoCliente</t>
  </si>
  <si>
    <t>ContatoCliente</t>
  </si>
  <si>
    <t>StatusCliente</t>
  </si>
  <si>
    <t>Celebre Obras e Servicos LTDA</t>
  </si>
  <si>
    <t>12.609.247/0001-99</t>
  </si>
  <si>
    <t>Engenharia</t>
  </si>
  <si>
    <t>Saneamento</t>
  </si>
  <si>
    <t>Raul</t>
  </si>
  <si>
    <t>tatiane@celebrecs.com.br</t>
  </si>
  <si>
    <t>(11) 2680-7631</t>
  </si>
  <si>
    <t>Ativo</t>
  </si>
  <si>
    <t>Jwr Construcoes LTDA</t>
  </si>
  <si>
    <t>12.616.824/0001-70</t>
  </si>
  <si>
    <t>Barueri</t>
  </si>
  <si>
    <t>(11) 3683-1062</t>
  </si>
  <si>
    <t>Inativo</t>
  </si>
  <si>
    <t>Sialdrill Engenharia e Construcoes LTDA</t>
  </si>
  <si>
    <t>08.024.836/0001-38</t>
  </si>
  <si>
    <t>Valdemir</t>
  </si>
  <si>
    <t>valdemir@sialdrill.com.br</t>
  </si>
  <si>
    <t>(11) 4440-7920</t>
  </si>
  <si>
    <t>Consorcio Gb Osasco Tiete</t>
  </si>
  <si>
    <t>44.274.204/0001-96</t>
  </si>
  <si>
    <t>Dimitrius</t>
  </si>
  <si>
    <t>juridico@jobeng.com.br</t>
  </si>
  <si>
    <t>(11) 2602-2600</t>
  </si>
  <si>
    <t>Fbs Adelson Bispo Silva</t>
  </si>
  <si>
    <t>37.709.324/0001-03</t>
  </si>
  <si>
    <t>Taboão da Serra</t>
  </si>
  <si>
    <t>Adelson</t>
  </si>
  <si>
    <t>fbs.polietileno20@gmail.com</t>
  </si>
  <si>
    <t>(11) 4139-2718</t>
  </si>
  <si>
    <t>Calibr Servicos Tecnicos LTDA</t>
  </si>
  <si>
    <t>19.960.028/0001-07</t>
  </si>
  <si>
    <t>São José dos Campos</t>
  </si>
  <si>
    <t>Steffanie</t>
  </si>
  <si>
    <t>contato.hjtecnologia@gmail.com</t>
  </si>
  <si>
    <t>(11) 4764-5616</t>
  </si>
  <si>
    <t>Fibertec Engenharia LTDA</t>
  </si>
  <si>
    <t>30.828.956/0001-47</t>
  </si>
  <si>
    <t>Fibra</t>
  </si>
  <si>
    <t>Donizete</t>
  </si>
  <si>
    <t>contato@fibertecengenharia.com</t>
  </si>
  <si>
    <t>(11) 3933-2130</t>
  </si>
  <si>
    <t>Consorcio Global Franca</t>
  </si>
  <si>
    <t>55.070.909/0001-08</t>
  </si>
  <si>
    <t>Luis</t>
  </si>
  <si>
    <t>contato@polemicaconstrutora.com.br</t>
  </si>
  <si>
    <t>(12) 3941-8555</t>
  </si>
  <si>
    <t>Polemica Servicos Basicos LTDA</t>
  </si>
  <si>
    <t>61.870.101/0001-08</t>
  </si>
  <si>
    <t>Rodrigo</t>
  </si>
  <si>
    <t>Rlt Infraestrutura LTDA</t>
  </si>
  <si>
    <t>06.949.131/0001-04</t>
  </si>
  <si>
    <t>Jose Carlos</t>
  </si>
  <si>
    <t>supervisao@rilty.com.br</t>
  </si>
  <si>
    <t>(11) 2548-0599</t>
  </si>
  <si>
    <t>Zigurate Construcao LTDA</t>
  </si>
  <si>
    <t>32.836.259/0001-63</t>
  </si>
  <si>
    <t>Juscilana</t>
  </si>
  <si>
    <t>zigurate@zigurate.eng.br</t>
  </si>
  <si>
    <t>(11) 2387-1002</t>
  </si>
  <si>
    <t>Consorcio Global Franca II</t>
  </si>
  <si>
    <t>61.065.464/0001-70</t>
  </si>
  <si>
    <t>Ana</t>
  </si>
  <si>
    <t>Consorcio Manutencao Guarapiranga</t>
  </si>
  <si>
    <t>61.431.740/0001-77</t>
  </si>
  <si>
    <t>Itapecerica da Serra</t>
  </si>
  <si>
    <t>Georlando</t>
  </si>
  <si>
    <t>georlando.maciel@infracon.com.br</t>
  </si>
  <si>
    <t>(31) 2121-2121</t>
  </si>
  <si>
    <t>Job Engenharia e Servicos LTDA</t>
  </si>
  <si>
    <t>54.522.867/0001-36</t>
  </si>
  <si>
    <t>Leal Construcao de Redes de Telecomunicacoes LTDA</t>
  </si>
  <si>
    <t>21.614.636/0001-01</t>
  </si>
  <si>
    <t>Belém</t>
  </si>
  <si>
    <t>PA</t>
  </si>
  <si>
    <t>Cleibson</t>
  </si>
  <si>
    <t>administrativo@telecomgsl.com</t>
  </si>
  <si>
    <t>(91) 99349-3027</t>
  </si>
  <si>
    <t>Angra Construcoes e Saneamento LTDA</t>
  </si>
  <si>
    <t>17.598.781/0001-60</t>
  </si>
  <si>
    <t>Kelvin</t>
  </si>
  <si>
    <t>comercial@angraconstrucoes.eng.br</t>
  </si>
  <si>
    <t>(11) 2970-1020</t>
  </si>
  <si>
    <t>IDContrato</t>
  </si>
  <si>
    <t>NomeCliente</t>
  </si>
  <si>
    <t>OrigemContrato</t>
  </si>
  <si>
    <t>IDContratoOrigem</t>
  </si>
  <si>
    <t>ModeloContrato</t>
  </si>
  <si>
    <t>ResponsavelInterno</t>
  </si>
  <si>
    <t>CidadeOperacao</t>
  </si>
  <si>
    <t>EstadoOperacao</t>
  </si>
  <si>
    <t>DataInicio</t>
  </si>
  <si>
    <t>DataFimPrevista</t>
  </si>
  <si>
    <t>DataEncerramento</t>
  </si>
  <si>
    <t>ItensContratados</t>
  </si>
  <si>
    <t>ValorMensal</t>
  </si>
  <si>
    <t>StatusContrato</t>
  </si>
  <si>
    <t>MotivoEncerramento</t>
  </si>
  <si>
    <t>DocumentoRede</t>
  </si>
  <si>
    <t>DiasTotais</t>
  </si>
  <si>
    <t>Alertas</t>
  </si>
  <si>
    <t>Concessão</t>
  </si>
  <si>
    <t>Mensal</t>
  </si>
  <si>
    <t>Antonio Deodato</t>
  </si>
  <si>
    <t>Campinas</t>
  </si>
  <si>
    <t>17;20;24;26;27;28;29;34;39;42;43;45;49</t>
  </si>
  <si>
    <t>Renovado</t>
  </si>
  <si>
    <t>Prazo</t>
  </si>
  <si>
    <t>https://tkjgerenciamento.sharepoint.com/:b:/s/REDE2/IQApjW3LPNBbTrl8LXYCvM9BARkL_VSSnOZjC1TZLg_BoLw?e=wZN6r8</t>
  </si>
  <si>
    <t>Aditado</t>
  </si>
  <si>
    <t>Cleibson Leal</t>
  </si>
  <si>
    <t>15;38;40;41;44;46</t>
  </si>
  <si>
    <t>Encerrado</t>
  </si>
  <si>
    <t>Retirada</t>
  </si>
  <si>
    <t>https://tkjgerenciamento.sharepoint.com/:b:/s/REDE2/IQBV1Tgoq-i6TbFOUgX2pW09AeGNIectu8XKr-C4U8ypzqI?e=NigWUD</t>
  </si>
  <si>
    <t>Encerrado por falta de pagamento</t>
  </si>
  <si>
    <t>Comercial</t>
  </si>
  <si>
    <t>Steffanie Bianca</t>
  </si>
  <si>
    <t>Otalício Costa</t>
  </si>
  <si>
    <t>SC</t>
  </si>
  <si>
    <t>16;41;47</t>
  </si>
  <si>
    <t>Encerramento de obra</t>
  </si>
  <si>
    <t>https://tkjgerenciamento.sharepoint.com/:b:/s/REDE2/IQBW2AHAK9DQQIjwr_-GuguKAT1hcvLMcwVsM6-6oJHbsE0?e=ZNoAPs</t>
  </si>
  <si>
    <t>Finalizado</t>
  </si>
  <si>
    <t>Valdemir Vieira</t>
  </si>
  <si>
    <t>Venda</t>
  </si>
  <si>
    <t>https://tkjgerenciamento.sharepoint.com/:b:/s/REDE2/IQCuGiHGt9GETpqDu7swSl9kAQjFL2MXKf7GTmBLc9WLuJc?e=AezmTO</t>
  </si>
  <si>
    <t>Veículo vendido para a locatária BPB7D65</t>
  </si>
  <si>
    <t>17;24;30;32;39;43;45;49</t>
  </si>
  <si>
    <t>https://tkjgerenciamento-my.sharepoint.com/shared?listurl=https%3A%2F%2Ftkjgerenciamento%2Esharepoint%2Ecom%2Fsites%2FREDE2%2FDocumentos%20Compartilhados&amp;viewid=41f98fb8%2D92ae%2D4e59%2D9b01%2D6f58bb773280&amp;id=%2Fsites%2FREDE2%2FDocumentos%20Compartilhados%2FGeneral%2F01%5FGEST%C3%83O%2DPATRIM%C3%94NIOS%2F03%5FContratos%2DLoca%C3%A7%C3%B5es%2FTKJ%2FJWR%20CONSTRU%C3%87%C3%95ES%2FAditivo%2FAditivo02%2DTKJxJWR%2DVeiculos%2D15%2E05%5Fassinado%2Epdf&amp;parent=%2Fsites%2FREDE2%2FDocumentos%20Compartilhados%2FGeneral%2F01%5FGEST%C3%83O%2DPATRIM%C3%94NIOS%2F03%5FContratos%2DLoca%C3%A7%C3%B5es%2FTKJ%2FJWR%20CONSTRU%C3%87%C3%95ES%2FAditivo</t>
  </si>
  <si>
    <t>Lincoln Ribeiro</t>
  </si>
  <si>
    <t>São Carlos</t>
  </si>
  <si>
    <t>40;44;45;46</t>
  </si>
  <si>
    <t>https://tkjgerenciamento.sharepoint.com/sites/REDE2/Documentos%20Compartilhados/Forms/AllItems.aspx?id=%2Fsites%2FREDE2%2FDocumentos%20Compartilhados%2FGeneral%2F01%5FGEST%C3%83O%2DPATRIM%C3%94NIOS%2F03%5FContratos%2DLoca%C3%A7%C3%B5es%2FTKJ%2FCELEBRE%20OBRAS%20E%20SERVI%C3%87OS%2FS%C3%A3o%20Carlos%2FContrato%2DCELEBRExTKJ%2DS%2EC%2E%5FCCU5G26%5FFFS0D23%5FDPB8E26%5FCCF9F13%5Fassinado%2Epdf&amp;parent=%2Fsites%2FREDE2%2FDocumentos%20Compartilhados%2FGeneral%2F01%5FGEST%C3%83O%2DPATRIM%C3%94NIOS%2F03%5FContratos%2DLoca%C3%A7%C3%B5es%2FTKJ%2FCELEBRE%20OBRAS%20E%20SERVI%C3%87OS%2FS%C3%A3o%20Carlos&amp;p=true&amp;ga=1</t>
  </si>
  <si>
    <t>Saída CCU5G26 em 27/06/24</t>
  </si>
  <si>
    <t>Raul Monegalia</t>
  </si>
  <si>
    <t>Devolução</t>
  </si>
  <si>
    <t>Locatária devolveu o veículo CCF9F13</t>
  </si>
  <si>
    <t>Heitor Defavari</t>
  </si>
  <si>
    <t>Osasco</t>
  </si>
  <si>
    <t>4;6</t>
  </si>
  <si>
    <t>https://tkjgerenciamento.sharepoint.com/:b:/s/REDE2/IQCtx1qMqr3YR6_z_jvpo6uSAaiwb1zWxqOhDgRhqojSONw?e=leJ8BQ</t>
  </si>
  <si>
    <t>Locadora retirou o veículo KJX8J96</t>
  </si>
  <si>
    <t>Andrews Pereira</t>
  </si>
  <si>
    <t>Locatária devolveu o veículo EVF8883</t>
  </si>
  <si>
    <t>Lincoln Rennó</t>
  </si>
  <si>
    <t>Presidente Prudente</t>
  </si>
  <si>
    <t>34;42;43</t>
  </si>
  <si>
    <t>https://tkjgerenciamento.sharepoint.com/:b:/s/REDE2/IQBbFmsH7Y-cSY9ZAs-tj0mqAfwynEe4Cu8D8oS1HxW_Q7Q?e=PXXqot</t>
  </si>
  <si>
    <t>Juscilana Carvalho</t>
  </si>
  <si>
    <t>Suzano</t>
  </si>
  <si>
    <t>9;10</t>
  </si>
  <si>
    <t>https://tkjgerenciamento.sharepoint.com/:b:/s/REDE2/IQAPOjMBC39OQLgkIfslRkboAe9Uu0KK1RX6S1R2vKrUsI8?e=opzCkH</t>
  </si>
  <si>
    <t>Locatária devolveu o veículo</t>
  </si>
  <si>
    <t>https://tkjgerenciamento.sharepoint.com/:b:/s/REDE2/IQDKeaNq1ZH8Q77jcA_hEVNnAQ-RTufc6ou9xHaSW3yAAW8?e=0nswPE</t>
  </si>
  <si>
    <t>Locatária devolveu a máquina</t>
  </si>
  <si>
    <t>Rodrigo Rodrigues</t>
  </si>
  <si>
    <t>https://tkjgerenciamento.sharepoint.com/:b:/s/REDE2/IQCI4mduATVxR5T4PXPy38SpAfspslgu4zRrBr4VZShvmks?e=dqj0gS</t>
  </si>
  <si>
    <t>Migração de locadora</t>
  </si>
  <si>
    <t>https://tkjgerenciamento.sharepoint.com/:b:/s/REDE2/IQAww3mRUnL5QJV2chuirBhpAcn_yjT9gdlaO0u4lS23krE?e=iTa8Ac</t>
  </si>
  <si>
    <t>Aditado via Landkraft</t>
  </si>
  <si>
    <t>Luis Lacerda</t>
  </si>
  <si>
    <t>Mogi das Cruzes</t>
  </si>
  <si>
    <t>39;41</t>
  </si>
  <si>
    <t>https://tkjgerenciamento.sharepoint.com/:b:/s/REDE2/IQCWY2mRzYvNRarhGyJqpHzuAZ-QvgBI_avNUjpsUGUp5oc?e=VYgomG</t>
  </si>
  <si>
    <t>Donizete Pereira</t>
  </si>
  <si>
    <t>https://tkjgerenciamento.sharepoint.com/:b:/s/REDE2/IQAayBdoruDnRJbTXZW2mqBbAUsP3vXUpZDitUPwaZYZSOw?e=TpyfK3</t>
  </si>
  <si>
    <t>https://tkjgerenciamento.sharepoint.com/:b:/s/REDE2/IQDpGXpjWA1BTrgnfwlXIFz_ARb8lqqf8OGmYgG-2vJjB8g?e=aqP7Iz</t>
  </si>
  <si>
    <t>Eduardo Marques</t>
  </si>
  <si>
    <t>Joinville</t>
  </si>
  <si>
    <t>Inadimplência</t>
  </si>
  <si>
    <t>https://tkjgerenciamento.sharepoint.com/:b:/s/REDE2/IQArCx9Je28HSYWk9TxbfxZBAUbPa9sKGKWCeOkouslX0pk?e=as68hL</t>
  </si>
  <si>
    <t>Locadora retirou a máquina</t>
  </si>
  <si>
    <t>Resende</t>
  </si>
  <si>
    <t>RJ</t>
  </si>
  <si>
    <t>https://tkjgerenciamento.sharepoint.com/:b:/s/REDE2/IQBBe_nRyKeJS6FQZvU1lWiAAQDZlK7P7Yku9Q-veN0WgtQ?e=wzKal8</t>
  </si>
  <si>
    <t>Locadora devolveu o veículo</t>
  </si>
  <si>
    <t>Luis Gustavo</t>
  </si>
  <si>
    <t>Franca</t>
  </si>
  <si>
    <t>Migração de empresas</t>
  </si>
  <si>
    <t>Contrato-C.G.FRANCAxTKJ_JCB3cx_assinado</t>
  </si>
  <si>
    <t>Transição de empresas</t>
  </si>
  <si>
    <t>Aditivo1-1224_Contrato-CELEBRExTKJ-DLG0G92_EJX0I24</t>
  </si>
  <si>
    <t>Aditivo_2-0325-CELEBRExTKJ_DLG0D92-EJX0I24</t>
  </si>
  <si>
    <t>40;44;45</t>
  </si>
  <si>
    <t>Aditivo_1-0325-CELEBRExTKJ_S.C.</t>
  </si>
  <si>
    <t>Aguardando assinatura de aditivo</t>
  </si>
  <si>
    <t>Aditivo2025-TKJxPolemica-CSU3F94_BSX5H07_EXW7D56_assinado.pdf</t>
  </si>
  <si>
    <t>Transferido para Landkraft</t>
  </si>
  <si>
    <t>Aditivo_1-0725-TKJxPOLÊMICA_CCU5G26</t>
  </si>
  <si>
    <t>14;17</t>
  </si>
  <si>
    <t>17;24</t>
  </si>
  <si>
    <t>LANDKRAFTxZIGURATE_08.2025-Assinado</t>
  </si>
  <si>
    <t>Em andamento com valor atualizado</t>
  </si>
  <si>
    <t>LANDKRAFTxFIBERTEC_08.25-Assinado</t>
  </si>
  <si>
    <t>LANDKRAFTxC.G.F.II_09.2025_assinado</t>
  </si>
  <si>
    <t>10;13</t>
  </si>
  <si>
    <t>34;42;43;46</t>
  </si>
  <si>
    <t>LANDKRAFTxPOLÊMICA_09.25</t>
  </si>
  <si>
    <t>Georlando Maciel</t>
  </si>
  <si>
    <t>Itapecirica da Serra</t>
  </si>
  <si>
    <t>TKJxC.M.G._11.2025v2</t>
  </si>
  <si>
    <t>Locadora retirou o veículo</t>
  </si>
  <si>
    <t>Aditivo3-0126_Contrato-CELEBRExTKJ-DLG0G92_EJX0I24-N.Assinado</t>
  </si>
  <si>
    <t>Valor praticado porém, aditivo sem assinatura</t>
  </si>
  <si>
    <t>Contrato_TKJxAngra-S.C._Assinado</t>
  </si>
  <si>
    <t>Pagamento atualizado para dia 30</t>
  </si>
  <si>
    <t>Aditivo-LANDKRAFTxFIBERTEC_03.2026</t>
  </si>
  <si>
    <t>Aguardando assinatura</t>
  </si>
  <si>
    <t>Contrato_LandkraftXPolêmica-02.2026</t>
  </si>
  <si>
    <t>Chegada em 05/03/2026</t>
  </si>
  <si>
    <t>Aditivo_2-0326-CELEBRExTKJ_S.C.</t>
  </si>
  <si>
    <t>Aditivo1_LandkraftXPolêmica-04.2026</t>
  </si>
  <si>
    <t>Aguardando encerramento contrato 26</t>
  </si>
  <si>
    <t>IDFatUnitario</t>
  </si>
  <si>
    <t>Mes</t>
  </si>
  <si>
    <t>Diaria</t>
  </si>
  <si>
    <t>Trabalhado</t>
  </si>
  <si>
    <t>Parado</t>
  </si>
  <si>
    <t>Medicao</t>
  </si>
  <si>
    <t>Contrato</t>
  </si>
  <si>
    <t>VW 14-190</t>
  </si>
  <si>
    <t>CAT 416f2</t>
  </si>
  <si>
    <t>JCB 3CX</t>
  </si>
  <si>
    <t>VW EXPRESS</t>
  </si>
  <si>
    <t>VW 9-170</t>
  </si>
  <si>
    <t>MB ATEGO</t>
  </si>
  <si>
    <t>Prancha Hidráulica</t>
  </si>
  <si>
    <t>FIAT FIORINO</t>
  </si>
  <si>
    <t>Furgão</t>
  </si>
  <si>
    <t>VW 13-180</t>
  </si>
  <si>
    <t>VW 9-150</t>
  </si>
  <si>
    <t>Chassi</t>
  </si>
  <si>
    <t>Santa Isabel</t>
  </si>
  <si>
    <t>IDFatura</t>
  </si>
  <si>
    <t>Fatura</t>
  </si>
  <si>
    <t>Emissão</t>
  </si>
  <si>
    <t>Vencimento</t>
  </si>
  <si>
    <t>Empresa</t>
  </si>
  <si>
    <t>ValorLocacoes</t>
  </si>
  <si>
    <t>DataEntrada</t>
  </si>
  <si>
    <t>ValorRecebido</t>
  </si>
  <si>
    <t>Encargos</t>
  </si>
  <si>
    <t>FormaRecebimento</t>
  </si>
  <si>
    <t>StatusRecebimento</t>
  </si>
  <si>
    <t>Boleto</t>
  </si>
  <si>
    <t>Recebido</t>
  </si>
  <si>
    <t>Pix</t>
  </si>
  <si>
    <t>Vencido</t>
  </si>
  <si>
    <t>13;24</t>
  </si>
  <si>
    <t>24;25</t>
  </si>
  <si>
    <t>Cancelado</t>
  </si>
  <si>
    <t>Pendente</t>
  </si>
  <si>
    <t>IDReembolso</t>
  </si>
  <si>
    <t>Tipo</t>
  </si>
  <si>
    <t>IDOrdServ</t>
  </si>
  <si>
    <t>IDMulta</t>
  </si>
  <si>
    <t>Recibo</t>
  </si>
  <si>
    <t>ValorReembolso</t>
  </si>
  <si>
    <t>Encargos de Faturamento</t>
  </si>
  <si>
    <t>Transporte</t>
  </si>
  <si>
    <t xml:space="preserve">Consorcio Global Franca </t>
  </si>
  <si>
    <t>Multa de Trânsito</t>
  </si>
  <si>
    <t>Manutenção</t>
  </si>
  <si>
    <t>Franquia de Seguro</t>
  </si>
  <si>
    <t>Indenização</t>
  </si>
  <si>
    <t>OS-2025-0023</t>
  </si>
  <si>
    <t>OS-2025-0045</t>
  </si>
  <si>
    <t>OS-2025-0004</t>
  </si>
  <si>
    <t>OS-2025-0068</t>
  </si>
  <si>
    <t>OS-2025-0064</t>
  </si>
  <si>
    <t>OS-2025-0076</t>
  </si>
  <si>
    <t>OS-2025-0145</t>
  </si>
  <si>
    <t>OS-2025-0108</t>
  </si>
  <si>
    <t>OS-2025-0129</t>
  </si>
  <si>
    <t>OS-2025-0142</t>
  </si>
  <si>
    <t>OS-2025-0123</t>
  </si>
  <si>
    <t>OS-2025-0133</t>
  </si>
  <si>
    <t>OS-2025-0132</t>
  </si>
  <si>
    <t>OS-2026-0172</t>
  </si>
  <si>
    <t>IDSeguro</t>
  </si>
  <si>
    <t>NumApolice</t>
  </si>
  <si>
    <t>Inicio</t>
  </si>
  <si>
    <t>Validade</t>
  </si>
  <si>
    <t>Itens</t>
  </si>
  <si>
    <t>Cobertura</t>
  </si>
  <si>
    <t>ValorParcela</t>
  </si>
  <si>
    <t>Parcelas</t>
  </si>
  <si>
    <t>DiaVencimento</t>
  </si>
  <si>
    <t>0531 49 7942680</t>
  </si>
  <si>
    <t>42;43</t>
  </si>
  <si>
    <t>BSX5H07; CSU3F94</t>
  </si>
  <si>
    <t>Veículo</t>
  </si>
  <si>
    <t>Completo</t>
  </si>
  <si>
    <t>052024 auto frota 2 itens BSX5H07 e CSU3F94 apl</t>
  </si>
  <si>
    <t xml:space="preserve">171 49 24005276 </t>
  </si>
  <si>
    <t>Equipamemento</t>
  </si>
  <si>
    <t>Apol_BQV5264-171 49 24005276</t>
  </si>
  <si>
    <t>06.24_0531 49 7942680</t>
  </si>
  <si>
    <t>0531 49 8045088</t>
  </si>
  <si>
    <t>24;39;47</t>
  </si>
  <si>
    <t>CUG4B86;DYG5G03;EJX0I24</t>
  </si>
  <si>
    <t>Terceiros e Assistência 24h</t>
  </si>
  <si>
    <t>082024 auto frota 3 itens CUG4B86-DYG5G03-EJX0I24 apl</t>
  </si>
  <si>
    <t>4;6;34;46</t>
  </si>
  <si>
    <t>CCU5G26;EVF8883;EXW7D65;KJX8J96</t>
  </si>
  <si>
    <t>08.24_0531 49 8045088</t>
  </si>
  <si>
    <t>171 49 24005792</t>
  </si>
  <si>
    <t>092024 equip retroescavadeira 2020 apl e boletos 1362</t>
  </si>
  <si>
    <t>171 49 24005910</t>
  </si>
  <si>
    <t>XCMG XZ200</t>
  </si>
  <si>
    <t>092024 equip perfuratriz apl 3951</t>
  </si>
  <si>
    <t>0531 49 8359988</t>
  </si>
  <si>
    <t>BSX5H07;CSU3F94</t>
  </si>
  <si>
    <t>052025_AutoFrota</t>
  </si>
  <si>
    <t>171 49 24007849</t>
  </si>
  <si>
    <t>06.25_BQV5264</t>
  </si>
  <si>
    <t>0531 49 8551463</t>
  </si>
  <si>
    <t>6;24;34;39;46;47</t>
  </si>
  <si>
    <t>CUG4B86;DYG5G03;EJX0I24;CCU5G26;EVF8883;EXW7D65</t>
  </si>
  <si>
    <t>082025_AutoFrota</t>
  </si>
  <si>
    <t>171 49 24008647</t>
  </si>
  <si>
    <t>09.25_Jcb3CX</t>
  </si>
  <si>
    <t>IDFinancaSeguro</t>
  </si>
  <si>
    <t>ApoliceSeguro</t>
  </si>
  <si>
    <t>Valor</t>
  </si>
  <si>
    <t>ParcelaAtual</t>
  </si>
  <si>
    <t>ParcelaTotal</t>
  </si>
  <si>
    <t>Pago</t>
  </si>
  <si>
    <t>IDManutencao</t>
  </si>
  <si>
    <t>ValidaNovaOS</t>
  </si>
  <si>
    <t>NFOrdem</t>
  </si>
  <si>
    <t>TotalOS</t>
  </si>
  <si>
    <t>Fornecedor</t>
  </si>
  <si>
    <t>Nota</t>
  </si>
  <si>
    <t>Data Venc.</t>
  </si>
  <si>
    <t>FormaPgto</t>
  </si>
  <si>
    <t>Categoria</t>
  </si>
  <si>
    <t>TipoManutencao</t>
  </si>
  <si>
    <t>Sistema</t>
  </si>
  <si>
    <t>Serviço</t>
  </si>
  <si>
    <t>Descricao</t>
  </si>
  <si>
    <t>QtdItens</t>
  </si>
  <si>
    <t>KM</t>
  </si>
  <si>
    <t>PosiçãoPneu</t>
  </si>
  <si>
    <t>QtdPneu</t>
  </si>
  <si>
    <t>EspecificaçãoPneu</t>
  </si>
  <si>
    <t>MarcaPneu</t>
  </si>
  <si>
    <t>ModeloPneu</t>
  </si>
  <si>
    <t>CondicaoPneu</t>
  </si>
  <si>
    <t>ManejoPneu</t>
  </si>
  <si>
    <t>DataExecução</t>
  </si>
  <si>
    <t>ResponsavelTec</t>
  </si>
  <si>
    <t>Indisponível</t>
  </si>
  <si>
    <t>ProxKM</t>
  </si>
  <si>
    <t>ProxData</t>
  </si>
  <si>
    <t>Obsercacoes</t>
  </si>
  <si>
    <t>OS-2024-0001</t>
  </si>
  <si>
    <t>FLORENZA TRUCK</t>
  </si>
  <si>
    <t>2036/2754</t>
  </si>
  <si>
    <t>Faturado</t>
  </si>
  <si>
    <t>Corretiva</t>
  </si>
  <si>
    <t>Freio</t>
  </si>
  <si>
    <t>SUBST. PASTILHAS E DISCOS</t>
  </si>
  <si>
    <t>SUBSTITUIÇÃO DE PASTILHAS (DIANT.+TRAS.) E DISCOS DIANTEIROS</t>
  </si>
  <si>
    <t>AROUDO</t>
  </si>
  <si>
    <t>Compra</t>
  </si>
  <si>
    <t>OS-2024-0002</t>
  </si>
  <si>
    <t>3078/2335</t>
  </si>
  <si>
    <t>SUBST. LONAS E TAMBOR</t>
  </si>
  <si>
    <t>SUBST. LONAS (DIANT.+TRAS.), TAMBOR TRASEIRO E RETÍFICA DE CAMPANAS DIANTEIRAS</t>
  </si>
  <si>
    <t>OS-2025-0003</t>
  </si>
  <si>
    <t>TKJ GERENCIAMENTO</t>
  </si>
  <si>
    <t>0</t>
  </si>
  <si>
    <t>Diversos</t>
  </si>
  <si>
    <t>LANÇAMENTO INTERNO</t>
  </si>
  <si>
    <t>LANÇAMENTO INTERNO / AUTORIZAÇÃO (SEM DESCRIÇÃO)</t>
  </si>
  <si>
    <t>CAIADO PNEUS</t>
  </si>
  <si>
    <t>67005</t>
  </si>
  <si>
    <t>Pneu</t>
  </si>
  <si>
    <t>FORNEC. PNEUS</t>
  </si>
  <si>
    <t>FORNECIMENTO: 02 PNEUS 225/75R16C XBRI FORZA DIANTEIROS</t>
  </si>
  <si>
    <t>02 PNEUS</t>
  </si>
  <si>
    <t>DIANTEIRO</t>
  </si>
  <si>
    <t>225/75R16C</t>
  </si>
  <si>
    <t>XBRI</t>
  </si>
  <si>
    <t>FORZA</t>
  </si>
  <si>
    <t>NOVO</t>
  </si>
  <si>
    <t>Loja</t>
  </si>
  <si>
    <t>THIAGO</t>
  </si>
  <si>
    <t>15502</t>
  </si>
  <si>
    <t>MONTAGEM E ALINHAMENTO PNEUS</t>
  </si>
  <si>
    <t>Serviço: MONTAGEM, ALINHAMENTO E BALANCEAMENTO DE PNEUS DIANTEIROS (REF. NF 67005)</t>
  </si>
  <si>
    <t>Borracharia</t>
  </si>
  <si>
    <t>OS-2025-0005</t>
  </si>
  <si>
    <t>2436/3192</t>
  </si>
  <si>
    <t>OS-2025-0006</t>
  </si>
  <si>
    <t>67052</t>
  </si>
  <si>
    <t>15506</t>
  </si>
  <si>
    <t>Serviço: MONTAGEM, ALINHAMENTO E BALANCEAMENTO DE PNEUS DIANTEIROS (REF. NF 67052)</t>
  </si>
  <si>
    <t>OS-2025-0007</t>
  </si>
  <si>
    <t>TIETE VEÍCULOS</t>
  </si>
  <si>
    <t>572703</t>
  </si>
  <si>
    <t>Preventiva</t>
  </si>
  <si>
    <t>Revisão</t>
  </si>
  <si>
    <t>FORNEC. KIT FILTROS + ÓLEO</t>
  </si>
  <si>
    <t>FORNECIMENTO: KIT FILTROS + BALDE ÓLEO 10W20 20L ALMAX</t>
  </si>
  <si>
    <t>01 KIT + 01 BALDE 20L</t>
  </si>
  <si>
    <t>GREGORY</t>
  </si>
  <si>
    <t>OS-2025-0008</t>
  </si>
  <si>
    <t>BONI PNEUS</t>
  </si>
  <si>
    <t>46236</t>
  </si>
  <si>
    <t>FORNECIMENTO: 02 PNEUS 225/75R16C APOLLO DIANTEIROS</t>
  </si>
  <si>
    <t>APOLLO</t>
  </si>
  <si>
    <t>ALTRUST</t>
  </si>
  <si>
    <t>RAFAEL</t>
  </si>
  <si>
    <t>OS-2025-0009</t>
  </si>
  <si>
    <t>66471</t>
  </si>
  <si>
    <t>FORNECIMENTO: 02 PNEUS 12.5/80-18 FORERUNNER DIANTEIROS</t>
  </si>
  <si>
    <t>12.5/80-18</t>
  </si>
  <si>
    <t>FORERUNNER</t>
  </si>
  <si>
    <t>QH603</t>
  </si>
  <si>
    <t>OS-2025-0010</t>
  </si>
  <si>
    <t>RS DIESEL</t>
  </si>
  <si>
    <t>51</t>
  </si>
  <si>
    <t>Motor</t>
  </si>
  <si>
    <t>FORNEC. SENSOR E ADITIVO</t>
  </si>
  <si>
    <t>FORNECIMENTO: SENSOR DE PRESSÃO DE AR + ADITIVO + PARAFUSOS DO COLETOR</t>
  </si>
  <si>
    <t>SANDOVAL</t>
  </si>
  <si>
    <t>PJ DIESEL</t>
  </si>
  <si>
    <t>2073</t>
  </si>
  <si>
    <t>RETÍFICA CABEÇOTE E BLOCO</t>
  </si>
  <si>
    <t>Serviço: RETÍFICA DE CABEÇOTE E BLOCO DO MOTOR</t>
  </si>
  <si>
    <t>MSAM PEÇAS</t>
  </si>
  <si>
    <t>651012</t>
  </si>
  <si>
    <t>FORNEC. KIT REPARO MOTOR</t>
  </si>
  <si>
    <t>FORNECIMENTO: KIT DE PEÇAS PARA REPARO DE MOTOR</t>
  </si>
  <si>
    <t>KAROLINE</t>
  </si>
  <si>
    <t>OS-2025-0011</t>
  </si>
  <si>
    <t>911/55</t>
  </si>
  <si>
    <t>Direção</t>
  </si>
  <si>
    <t>SUBST. TERMINAIS DIREÇÃO</t>
  </si>
  <si>
    <t>SUBSTITUIÇÃO: TERMINAIS DE DIREÇÃO + MÁQUINA DE VIDRO</t>
  </si>
  <si>
    <t>OS-2025-0012</t>
  </si>
  <si>
    <t>MONKEY MUNCK</t>
  </si>
  <si>
    <t>9</t>
  </si>
  <si>
    <t>Hidráulico</t>
  </si>
  <si>
    <t>SUBST. BOMBA HID. E TDF</t>
  </si>
  <si>
    <t>SUBSTITUIÇÃO: BOMBA HIDRÁULICA + TOMADA DE FORÇA + ÓLEO DE CÂMBIO</t>
  </si>
  <si>
    <t>OS-2025-0013</t>
  </si>
  <si>
    <t>863</t>
  </si>
  <si>
    <t>Injeção</t>
  </si>
  <si>
    <t>RECONDICIONAMENTO INJEÇÃO ELETRÔNICA</t>
  </si>
  <si>
    <t>Serviço: RECONDICIONAMENTO DO SISTEMA DE INJEÇÃO ELETRÔNICA</t>
  </si>
  <si>
    <t>OS-2025-0014</t>
  </si>
  <si>
    <t>MM LUIBRIFICANTES</t>
  </si>
  <si>
    <t>20060</t>
  </si>
  <si>
    <t>A Vista</t>
  </si>
  <si>
    <t>FORNEC. GRAXA</t>
  </si>
  <si>
    <t>FORNECIMENTO: GRAXA AZUL 18KG</t>
  </si>
  <si>
    <t>18 KG</t>
  </si>
  <si>
    <t>OS-2025-0015</t>
  </si>
  <si>
    <t>15556</t>
  </si>
  <si>
    <t>INSTALAÇÃO PNEUS</t>
  </si>
  <si>
    <t>Serviço: INSTALAÇÃO DE PNEUS (REF. NF 67279)</t>
  </si>
  <si>
    <t>TRASEIRO</t>
  </si>
  <si>
    <t>67279</t>
  </si>
  <si>
    <t>FORNECIMENTO: 02 PNEUS 225/75R16C XBRI FORZA TRASEIROS</t>
  </si>
  <si>
    <t>OS-2025-0016</t>
  </si>
  <si>
    <t>2770</t>
  </si>
  <si>
    <t>FORNEC. PINÇA, DISCO E PASTILHAS</t>
  </si>
  <si>
    <t>FORNECIMENTO: 01 PINÇA DIANTEIRA + 01 DISCO + KIT PASTILHAS DIANTEIRAS</t>
  </si>
  <si>
    <t>01 PINÇA + 01 DISCO + 01 KIT</t>
  </si>
  <si>
    <t>OS-2025-0018</t>
  </si>
  <si>
    <t>BATERIAS MOGI</t>
  </si>
  <si>
    <t>3400</t>
  </si>
  <si>
    <t>Elétrico</t>
  </si>
  <si>
    <t>FORNEC. BATERIA</t>
  </si>
  <si>
    <t>FORNECIMENTO: 01 BATERIA 100A CRAL</t>
  </si>
  <si>
    <t>01 BATERIA</t>
  </si>
  <si>
    <t>940/64</t>
  </si>
  <si>
    <t>SUBST. PINÇA, DISCOS E PASTILHAS</t>
  </si>
  <si>
    <t>SUBSTITUIÇÃO DE PINÇA, DISCOS E PASTILHAS DE FREIO</t>
  </si>
  <si>
    <t>OS-2025-0020</t>
  </si>
  <si>
    <t>5363</t>
  </si>
  <si>
    <t>KIT REVISAO — VW EXPRESS</t>
  </si>
  <si>
    <t>KIT REVISAO VW EXPRESS (OLEO + FILTROS)</t>
  </si>
  <si>
    <t>OS-2025-0017</t>
  </si>
  <si>
    <t xml:space="preserve">DIBRACAM </t>
  </si>
  <si>
    <t>812277</t>
  </si>
  <si>
    <t>FORNEC. BRAÇO AXIAL DIREÇÃO</t>
  </si>
  <si>
    <t>FORNECIMENTO: BRAÇO AXIAL DE DIREÇÃO L.M. (MOTORISTA)</t>
  </si>
  <si>
    <t>HENRIQUE</t>
  </si>
  <si>
    <t>OS-2025-0019</t>
  </si>
  <si>
    <t>2489/3248</t>
  </si>
  <si>
    <t>Câmbio</t>
  </si>
  <si>
    <t>SUBST. KIT EMBREAGEM</t>
  </si>
  <si>
    <t>SUBSTITUIÇÃO: KIT DE EMBREAGEM</t>
  </si>
  <si>
    <t>966</t>
  </si>
  <si>
    <t>TROCA ÓLEO E FILTROS</t>
  </si>
  <si>
    <t>Serviço: SUBSTITUIÇÃO DE FILTROS E TROCA DE ÓLEO</t>
  </si>
  <si>
    <t>OS-2025-0021</t>
  </si>
  <si>
    <t>OS-2025-0022</t>
  </si>
  <si>
    <t>CASALE OFICINA</t>
  </si>
  <si>
    <t>1813</t>
  </si>
  <si>
    <t>SUBST. PASTILHAS</t>
  </si>
  <si>
    <t>SUBSTITUIÇÃO DE PASTILHAS DE FREIO</t>
  </si>
  <si>
    <t>2539/3307</t>
  </si>
  <si>
    <t>OS-2025-0024</t>
  </si>
  <si>
    <t>DELLA VIA</t>
  </si>
  <si>
    <t>62758</t>
  </si>
  <si>
    <t>FORNECIMENTO: 01 BATERIA 100A RYTEC</t>
  </si>
  <si>
    <t>OS-2025-0025</t>
  </si>
  <si>
    <t>67857</t>
  </si>
  <si>
    <t>Serviço: MONTAGEM, ALINHAMENTO E BALANCEAMENTO DE 02 PNEUS 225/75R16C FIRESTONE</t>
  </si>
  <si>
    <t>FIRESTONE</t>
  </si>
  <si>
    <t>FORNEC. PNEUS E BATERIA</t>
  </si>
  <si>
    <t>FORNECIMENTO: 02 PNEUS 225/75R16C FIRESTONE DIANT. + 01 BATERIA 100A</t>
  </si>
  <si>
    <t>02 PNEUS + 01 BATERIA</t>
  </si>
  <si>
    <t>CV500</t>
  </si>
  <si>
    <t>OS-2025-0026</t>
  </si>
  <si>
    <t>MORECAP</t>
  </si>
  <si>
    <t>178904</t>
  </si>
  <si>
    <t>FORNECIMENTO: 02 PNEUS 17.5-25 16PR SUPERLAND TRASEIROS</t>
  </si>
  <si>
    <t>17.5-25</t>
  </si>
  <si>
    <t>SUPERLAND</t>
  </si>
  <si>
    <t>G2/L2 TL</t>
  </si>
  <si>
    <t>OS-2025-0027</t>
  </si>
  <si>
    <t>GLDS ECOMMERCE (ML)</t>
  </si>
  <si>
    <t>4441</t>
  </si>
  <si>
    <t>Crédito</t>
  </si>
  <si>
    <t>FORNEC. FECHADURAS</t>
  </si>
  <si>
    <t>FORNECIMENTO: 02 FECHADURAS DE CABINE AUXILIAR</t>
  </si>
  <si>
    <t>02 FECHADURAS</t>
  </si>
  <si>
    <t>OS-2025-0028</t>
  </si>
  <si>
    <t>AUTO ELETRICA ANA JACINTA</t>
  </si>
  <si>
    <t>23230/9756</t>
  </si>
  <si>
    <t>SUBST. LÂMPADA</t>
  </si>
  <si>
    <t>SUBSTITUIÇÃO: LÂMPADA</t>
  </si>
  <si>
    <t>OS-2025-0029</t>
  </si>
  <si>
    <t>QUATROCENTAO ACESSORIOS</t>
  </si>
  <si>
    <t>25374</t>
  </si>
  <si>
    <t>FORNEC. FAIXAS REFLETIVAS</t>
  </si>
  <si>
    <t>FORNECIMENTO: FAIXAS REFLETIVAS DE CARROCERIA E PARACHOQUE TRASEIRO</t>
  </si>
  <si>
    <t>MOLAS SANTA VITORIA</t>
  </si>
  <si>
    <t>2265</t>
  </si>
  <si>
    <t>PINTURA PARACHOQUE TRASEIRO</t>
  </si>
  <si>
    <t>Serviço: ALINHAMENTO E PINTURA DE PARACHOQUE TRASEIRO (BSX, CCU E CSU)</t>
  </si>
  <si>
    <t>OS-2025-0030</t>
  </si>
  <si>
    <t>OS-2025-0031</t>
  </si>
  <si>
    <t>OS-2025-0032</t>
  </si>
  <si>
    <t>MG VIDROS</t>
  </si>
  <si>
    <t>53858</t>
  </si>
  <si>
    <t>SUBST. PARABRISA</t>
  </si>
  <si>
    <t>SUBSTITUIÇÃO: PARABRISA (TRINCADO) - AUTOGLASS</t>
  </si>
  <si>
    <t>01 PARABRISA</t>
  </si>
  <si>
    <t>OS-2025-0033</t>
  </si>
  <si>
    <t>68237</t>
  </si>
  <si>
    <t>FORNECIMENTO: 02 PNEUS STEELMARK TRASEIROS + 02 PNEUS REGIONAL RHS DIANTEIROS</t>
  </si>
  <si>
    <t>04 PNEUS</t>
  </si>
  <si>
    <t>215/80R17.5</t>
  </si>
  <si>
    <t>GOODYEAR</t>
  </si>
  <si>
    <t>STEELMARK</t>
  </si>
  <si>
    <t>15783</t>
  </si>
  <si>
    <t>Serviço: MONTAGEM, ALINHAMENTO E BALANCEAMENTO DE PNEUS GOODYEAR</t>
  </si>
  <si>
    <t>DIANTEIRO + TRASEIRO</t>
  </si>
  <si>
    <t>FORTUNATO RECAPADORA</t>
  </si>
  <si>
    <t>8841</t>
  </si>
  <si>
    <t>FORNEC. PNEUS RECAP</t>
  </si>
  <si>
    <t>FORNECIMENTO: 03 PNEUS RECAP STEELMARK 215/80R17.5 (02 TRASEIROS + 01 ESTEPE)</t>
  </si>
  <si>
    <t>03 PNEUS</t>
  </si>
  <si>
    <t>Recapadora</t>
  </si>
  <si>
    <t>REGIONAL RHS</t>
  </si>
  <si>
    <t>OS-2025-0034</t>
  </si>
  <si>
    <t>AUTOMEC</t>
  </si>
  <si>
    <t>26095</t>
  </si>
  <si>
    <t>KIT REVISAO 500H — JCB 3CX</t>
  </si>
  <si>
    <t>KIT REVISAO JCB 3CX — 500H (MOTOR + FILTROS + OLEO)</t>
  </si>
  <si>
    <t>CARLOS</t>
  </si>
  <si>
    <t>YSTRELLA</t>
  </si>
  <si>
    <t>89</t>
  </si>
  <si>
    <t>FORNEC. FILTROS</t>
  </si>
  <si>
    <t>FORNECIMENTO: FILTROS DE COMBUSTÍVEL</t>
  </si>
  <si>
    <t>MÁRCIO</t>
  </si>
  <si>
    <t>73</t>
  </si>
  <si>
    <t>OS-2025-0035</t>
  </si>
  <si>
    <t>2600/3368</t>
  </si>
  <si>
    <t>SUBST. PASTILHAS + REVISÃO</t>
  </si>
  <si>
    <t>SUBSTITUIÇÃO DE PASTILHAS DE FREIO + REVISÃO GERAL</t>
  </si>
  <si>
    <t>OS-2025-0036</t>
  </si>
  <si>
    <t>2661/3438</t>
  </si>
  <si>
    <t>Arrefecimento</t>
  </si>
  <si>
    <t>LIMPEZA RADIADOR E INTERCOOLER</t>
  </si>
  <si>
    <t>Serviço: LIMPEZA DE RADIADOR E INTERCOOLER</t>
  </si>
  <si>
    <t>OS-2025-0037</t>
  </si>
  <si>
    <t>REPARO CUBO E EMBUCHAMENTO DIREÇÃO</t>
  </si>
  <si>
    <t>Serviço: REPARO CUBO DIANTEIRO + EMBUCHAMENTO COMPLETO DA DIREÇÃO</t>
  </si>
  <si>
    <t>OS-2025-0038</t>
  </si>
  <si>
    <t>KIT REVISAO — VW 9170</t>
  </si>
  <si>
    <t>KIT REVISAO VW 9170 (OLEO + FILTROS)</t>
  </si>
  <si>
    <t>OS-2025-0039</t>
  </si>
  <si>
    <t>BRASMIG TRATORES</t>
  </si>
  <si>
    <t>9106</t>
  </si>
  <si>
    <t>Adiantamento</t>
  </si>
  <si>
    <t>FORNEC. KIT PINOS E BUCHAS</t>
  </si>
  <si>
    <t>FORNECIMENTO: KIT PINOS E BUCHAS PARA EMBUCHAMENTO DE CONCHA TRASEIRA</t>
  </si>
  <si>
    <t>01 KIT</t>
  </si>
  <si>
    <t>OS-2025-0040</t>
  </si>
  <si>
    <t>7896</t>
  </si>
  <si>
    <t>KIT REVISAO — VW 9150</t>
  </si>
  <si>
    <t>KIT REVISAO VW 9150 + SENSOR DE</t>
  </si>
  <si>
    <t>OS-2025-0041</t>
  </si>
  <si>
    <t>2608/3378</t>
  </si>
  <si>
    <t>REPARO VAZAMENTO ÓLEO + REVISÃO</t>
  </si>
  <si>
    <t>Serviço: REPARO DE VAZAMENTO DE ÓLEO DE MOTOR + REVISÃO GERAL</t>
  </si>
  <si>
    <t>OS-2025-0042</t>
  </si>
  <si>
    <t>8003</t>
  </si>
  <si>
    <t>FORNEC. SENSOR RAIL</t>
  </si>
  <si>
    <t>FORNECIMENTO: SENSOR RAIL (INJEÇÃO ELETRÔNICA)</t>
  </si>
  <si>
    <t>OS-2025-0043</t>
  </si>
  <si>
    <t>11524</t>
  </si>
  <si>
    <t>Diferencial</t>
  </si>
  <si>
    <t>FORNEC. COROA E PINHÃO</t>
  </si>
  <si>
    <t>FORNECIMENTO: COROA E PINHÃO (DIFERENCIAL)</t>
  </si>
  <si>
    <t>2619/3388</t>
  </si>
  <si>
    <t>SUBST. COROA PINHÃO E CARDAN</t>
  </si>
  <si>
    <t>SUBSTITUIÇÃO: COROA E PINHÃO + REPARO EM CARDAN</t>
  </si>
  <si>
    <t>OS-2025-0044</t>
  </si>
  <si>
    <t>DR DAS MANGUEIRAS</t>
  </si>
  <si>
    <t>39741</t>
  </si>
  <si>
    <t>FORNEC. MANGUEIRA HIDRÁULICA</t>
  </si>
  <si>
    <t>FORNECIMENTO: MANGUEIRA HIDRÁULICA DE CONCHA</t>
  </si>
  <si>
    <t>LUBRAÇO</t>
  </si>
  <si>
    <t>686505</t>
  </si>
  <si>
    <t>FORNEC. TAMPA TANQUE E DENTES</t>
  </si>
  <si>
    <t>FORNECIMENTO: TAMPA DE TANQUE DE COMBUSTÍVEL + DENTES DE CONCHA</t>
  </si>
  <si>
    <t>WENDEL CHAVES  SOLDA</t>
  </si>
  <si>
    <t>25052025</t>
  </si>
  <si>
    <t>Serviço SOLDA DENTES</t>
  </si>
  <si>
    <t>Serviço: REMOÇÃO E INSTALAÇÃO DE DENTES DE CONCHA COM SOLDA</t>
  </si>
  <si>
    <t>OS-2025-0046</t>
  </si>
  <si>
    <t>2538/3306</t>
  </si>
  <si>
    <t>REVISÃO GERAL</t>
  </si>
  <si>
    <t>Serviço: REVISÃO GERAL</t>
  </si>
  <si>
    <t>OS-2025-0047</t>
  </si>
  <si>
    <t>2495/3258</t>
  </si>
  <si>
    <t>SUBSTITUIÇÃO DE PASTILHAS E DISCOS DE FREIO</t>
  </si>
  <si>
    <t>OS-2025-0048</t>
  </si>
  <si>
    <t>62704</t>
  </si>
  <si>
    <t>FORNECIMENTO: 02 PNEUS 225/75R16C FIRESTONE DIANTEIROS</t>
  </si>
  <si>
    <t>OS-2025-0049</t>
  </si>
  <si>
    <t>SPAR PECAS AUT (ML)</t>
  </si>
  <si>
    <t>5898</t>
  </si>
  <si>
    <t>FORNEC. ROTOR M. PARTIDA</t>
  </si>
  <si>
    <t>FORNECIMENTO: ROTOR DE MOTOR DE PARTIDA</t>
  </si>
  <si>
    <t>OS-2025-0050</t>
  </si>
  <si>
    <t>2563/3332</t>
  </si>
  <si>
    <t>SUBST. LONAS E CUÍCAS</t>
  </si>
  <si>
    <t>SUBSTITUIÇÃO DE LONAS E CUÍCAS DE FREIO</t>
  </si>
  <si>
    <t>OS-2025-0051</t>
  </si>
  <si>
    <t>11401</t>
  </si>
  <si>
    <t>FORNEC. PEÇAS DIREÇÃO E CABINE</t>
  </si>
  <si>
    <t>FORNECIMENTO: PIVÔS + TERMINAIS DIREÇÃO + COXINS CABINE + BOTÃO VIDRO L.P.</t>
  </si>
  <si>
    <t>OS-2025-0052</t>
  </si>
  <si>
    <t>11357</t>
  </si>
  <si>
    <t>KIT REVISAO — VW 13-180</t>
  </si>
  <si>
    <t>KIT REVISAO VW 13-180 (OLEO + FILTROS)</t>
  </si>
  <si>
    <t>OS-2025-0053</t>
  </si>
  <si>
    <t>1963/6256</t>
  </si>
  <si>
    <t>SUBSTITUIÇÃO DE PASTILHAS (DIANT.+TRAS.)</t>
  </si>
  <si>
    <t>OS-2025-0054</t>
  </si>
  <si>
    <t>6917</t>
  </si>
  <si>
    <t>FORNEC. MANGUEIRA FILTRO AR</t>
  </si>
  <si>
    <t>FORNECIMENTO: MANGUEIRA DE FILTRO DE AR EXTERNO</t>
  </si>
  <si>
    <t>OS-2025-0055</t>
  </si>
  <si>
    <t>1047/104</t>
  </si>
  <si>
    <t>MO SUBST. SUSPENSÃO E COXIM</t>
  </si>
  <si>
    <t>MÃO DE OBRA: SUBST. SUSPENSÃO + COXIM + REVISÃO GERAL</t>
  </si>
  <si>
    <t>OS-2025-0056</t>
  </si>
  <si>
    <t>REPARO CUBO DIANTEIRO</t>
  </si>
  <si>
    <t>Serviço: REPARO CUBO DIANTEIRO + REVISÃO GERAL</t>
  </si>
  <si>
    <t>OS-2025-0057</t>
  </si>
  <si>
    <t>ANTONIO ALVES TK DIESEL</t>
  </si>
  <si>
    <t>29</t>
  </si>
  <si>
    <t>RETÍFICA DE MOTOR COMPLETA (ADIANT.)</t>
  </si>
  <si>
    <t>Adiantamento: DESMONT./MONTAGEM MOTOR + REMANUF. BICOS + TURBINA + RETÍFICA CABEÇOTE</t>
  </si>
  <si>
    <t>TONINHO</t>
  </si>
  <si>
    <t>RICARDO YOSHIYUKI FUJITA</t>
  </si>
  <si>
    <t>868</t>
  </si>
  <si>
    <t>DIAGNÓSTICO SCANNER</t>
  </si>
  <si>
    <t>Serviço: DIAGNÓSTICO VIA SCANNER (BAIXA PRESSÃO DE ÓLEO)</t>
  </si>
  <si>
    <t>RETÍFICA DE MOTOR COMPLETA</t>
  </si>
  <si>
    <t>Serviço: DESMONTAGEM/MONTAGEM MOTOR + REMANUFATURA BICOS + TURBINA + RETÍFICA CABEÇOTE</t>
  </si>
  <si>
    <t>OS-2025-0058</t>
  </si>
  <si>
    <t>6292/2010</t>
  </si>
  <si>
    <t>EMBUCHAMENTO CABINE</t>
  </si>
  <si>
    <t>Serviço: EMBUCHAMENTO DE CABINE + TROCA DE BATENTES</t>
  </si>
  <si>
    <t>OS-2025-0059</t>
  </si>
  <si>
    <t>680316</t>
  </si>
  <si>
    <t>FORNEC. PEÇAS RETÍFICA CABEÇOTE</t>
  </si>
  <si>
    <t>FORNECIMENTO: PEÇAS PARA RETÍFICA DE CABEÇOTE (JUNTA + PARAFUSOS + CONEXÕES + ÓLEO + FILTRO)</t>
  </si>
  <si>
    <t>2146</t>
  </si>
  <si>
    <t>RETÍFICA CABEÇOTE + VÁLVULAS</t>
  </si>
  <si>
    <t>Serviço: RETÍFICA DE CABEÇOTE + TROCA DE VÁLVULAS</t>
  </si>
  <si>
    <t>TURBO MAIS</t>
  </si>
  <si>
    <t>729</t>
  </si>
  <si>
    <t>FORNEC. TURBINA</t>
  </si>
  <si>
    <t>FORNECIMENTO: TURBINA DE MOTOR</t>
  </si>
  <si>
    <t>01 TURBINA</t>
  </si>
  <si>
    <t>1052</t>
  </si>
  <si>
    <t>MO MONTAGEM CABEÇOTE</t>
  </si>
  <si>
    <t>MÃO DE OBRA: REMOÇÃO E MONTAGEM DE CABEÇOTE PÓS-RETÍFICA</t>
  </si>
  <si>
    <t>OS-2025-0060</t>
  </si>
  <si>
    <t>FORNECIMENTO: PEÇAS PARA RETÍFICA DE CABEÇOTE (JUNTA + CONEXÕES + ÓLEO + FILTRO)</t>
  </si>
  <si>
    <t>OS-2025-0061</t>
  </si>
  <si>
    <t>PARANÁ ELÉTRICA</t>
  </si>
  <si>
    <t>170625</t>
  </si>
  <si>
    <t>REPARO MOTOR DE PARTIDA</t>
  </si>
  <si>
    <t>Serviço: REPARO EM ITENS DO MOTOR DE PARTIDA</t>
  </si>
  <si>
    <t>OS-2025-0062</t>
  </si>
  <si>
    <t>INTERLUB</t>
  </si>
  <si>
    <t>30437</t>
  </si>
  <si>
    <t>TROCA DE ÓLEO E FILTROS</t>
  </si>
  <si>
    <t>OS-2025-0063</t>
  </si>
  <si>
    <t>23691/9913</t>
  </si>
  <si>
    <t>3037/880</t>
  </si>
  <si>
    <t>REPARO ELÉTRICO GERAL</t>
  </si>
  <si>
    <t>Serviço: CORREÇÃO DE LÂMPADAS, LANTERNAS E MOTOR DE PARTIDA</t>
  </si>
  <si>
    <t>OS-2025-0065</t>
  </si>
  <si>
    <t>1057/107</t>
  </si>
  <si>
    <t>SUBST. TERMINAL CÂMBIO</t>
  </si>
  <si>
    <t>SUBSTITUIÇÃO: TERMINAL DE REGULAGEM DE TRAMBOLADOR (CÂMBIO)</t>
  </si>
  <si>
    <t>OS-2025-0066</t>
  </si>
  <si>
    <t>79</t>
  </si>
  <si>
    <t>SUBST. CABO ACELERADOR</t>
  </si>
  <si>
    <t>SUBSTITUIÇÃO: CABO DE ACELERADOR + Serviço DE SOCORRO</t>
  </si>
  <si>
    <t>USINAGEM E EMBUCHAMENTO CAÇAMBA</t>
  </si>
  <si>
    <t>Serviço: USINAGEM DE OLHAL + EMBUCHAMENTO COMPLETO DE CAÇAMBA</t>
  </si>
  <si>
    <t>NOVA LÍNEA</t>
  </si>
  <si>
    <t>70725</t>
  </si>
  <si>
    <t>FRETE</t>
  </si>
  <si>
    <t>FRETE (REF. NF GEOMAQ)</t>
  </si>
  <si>
    <t>OS-2025-0067</t>
  </si>
  <si>
    <t>68863</t>
  </si>
  <si>
    <t>FORNECIMENTO: 04 PNEUS 225/75R16C CARGOPLUS 2 XBRI 121/120R</t>
  </si>
  <si>
    <t>15953</t>
  </si>
  <si>
    <t>Serviço: MONTAGEM, ALINHAMENTO E BALANCEAMENTO DE 04 PNEUS XBRI</t>
  </si>
  <si>
    <t>68864</t>
  </si>
  <si>
    <t>FORNEC. PNEU</t>
  </si>
  <si>
    <t>FORNECIMENTO: 01 PNEU 225/75R16C CARGOPLUS 2 XBRI 121/120R DIANTEIRO (REEMBOLSADO)</t>
  </si>
  <si>
    <t>01 PNEU</t>
  </si>
  <si>
    <t>CARGOPLUS</t>
  </si>
  <si>
    <t>OS-2025-0069</t>
  </si>
  <si>
    <t>847347</t>
  </si>
  <si>
    <t>FORNEC. ECM BOSCH</t>
  </si>
  <si>
    <t>FORNECIMENTO: MÓDULO DE CONTROLE DO MOTOR (ECM) BOSCH NOVO</t>
  </si>
  <si>
    <t>OS-2025-0071</t>
  </si>
  <si>
    <t>9971</t>
  </si>
  <si>
    <t>OS-2025-0072</t>
  </si>
  <si>
    <t>FORNEC. LONAS</t>
  </si>
  <si>
    <t>FORNECIMENTO: LONAS DE FREIO</t>
  </si>
  <si>
    <t>OS-2025-0073</t>
  </si>
  <si>
    <t>2800/3595</t>
  </si>
  <si>
    <t>SUBSTITUIÇÃO DE PASTILHAS DE FREIO DIANTEIRAS</t>
  </si>
  <si>
    <t>OS-2025-0074</t>
  </si>
  <si>
    <t>KIT REVISAO VW EXPRESS — 15W40 + FILTROS</t>
  </si>
  <si>
    <t>OS-2025-0075</t>
  </si>
  <si>
    <t>BORA PEÇAS</t>
  </si>
  <si>
    <t>48733</t>
  </si>
  <si>
    <t>FORNEC. PEÇAS (INDENIZAÇÃO)</t>
  </si>
  <si>
    <t>FORNECIMENTO: PEÇAS DYG5G03 (REF. INDENIZAÇÃO XCMG)</t>
  </si>
  <si>
    <t>687101</t>
  </si>
  <si>
    <t>FORNEC. PASTILHAS E DISCO</t>
  </si>
  <si>
    <t>FORNECIMENTO: PASTILHAS (DIANT.+TRAS.) E DISCO DIANTEIRO L.M.</t>
  </si>
  <si>
    <t>15857</t>
  </si>
  <si>
    <t>FORNEC. PINÇA DIANTEIRA</t>
  </si>
  <si>
    <t>FORNECIMENTO: 01 PINÇA DE FREIO DIANTEIRA L.E. (MOTORISTA)</t>
  </si>
  <si>
    <t>01 PINÇA</t>
  </si>
  <si>
    <t>OS-2025-0079</t>
  </si>
  <si>
    <t>30</t>
  </si>
  <si>
    <t>SUBSTITUIÇÃO DE KIT EMBREAGEM</t>
  </si>
  <si>
    <t>OS-2025-0083</t>
  </si>
  <si>
    <t>BLACK BIRD RESGATES 24 HORAS</t>
  </si>
  <si>
    <t>1167</t>
  </si>
  <si>
    <t>Guincho</t>
  </si>
  <si>
    <t>GUINCHO</t>
  </si>
  <si>
    <t>Serviço DE GUINCHO: BASE MOGI → OFICINA TONINHO</t>
  </si>
  <si>
    <t>ALLAN</t>
  </si>
  <si>
    <t>OS-2025-0082</t>
  </si>
  <si>
    <t>880</t>
  </si>
  <si>
    <t>OS-2025-0077</t>
  </si>
  <si>
    <t>686984</t>
  </si>
  <si>
    <t>FORNEC. PASTILHAS E DISCOS</t>
  </si>
  <si>
    <t>FORNECIMENTO: PASTILHAS E DISCOS DE FREIO (DIANT.+TRAS.)</t>
  </si>
  <si>
    <t>OS-2025-0078</t>
  </si>
  <si>
    <t>ARAGÃO</t>
  </si>
  <si>
    <t>209</t>
  </si>
  <si>
    <t>REPARO PISTÃO HIDRÁULICO</t>
  </si>
  <si>
    <t>Serviço: REPARO EM 01 PISTÃO HIDRÁULICO</t>
  </si>
  <si>
    <t>01 PISTÃO</t>
  </si>
  <si>
    <t>OS-2025-0091</t>
  </si>
  <si>
    <t>690966</t>
  </si>
  <si>
    <t>OS-2025-0080</t>
  </si>
  <si>
    <t>REPARO BOMBA HIDRÁULICA</t>
  </si>
  <si>
    <t>Serviço: REPARO EM BOMBA HIDRÁULICA + TROCA DE CORREIAS</t>
  </si>
  <si>
    <t>FORNEC. KIT CORREIA E FLUIDOS</t>
  </si>
  <si>
    <t>FORNECIMENTO: KIT CORREIA + RESERVATÓRIO ARREFECIMENTO + ADITIVO RADIADOR + ÓLEO HIDRÁULICO</t>
  </si>
  <si>
    <t>1925</t>
  </si>
  <si>
    <t>SUBST. MANGUEIRA TELESCÓPIO</t>
  </si>
  <si>
    <t>SUBSTITUIÇÃO: MANGUEIRA DO TELESCÓPIO + ALINHAMENTOS GERAIS</t>
  </si>
  <si>
    <t>OS-2025-0081</t>
  </si>
  <si>
    <t>GEOMAQ</t>
  </si>
  <si>
    <t>109437</t>
  </si>
  <si>
    <t>FORNEC. DENTES CONCHA</t>
  </si>
  <si>
    <t>FORNECIMENTO: 02 DENTES LATERAIS + 01 DENTE CENTRAL + PARAFUSOS + PORCAS</t>
  </si>
  <si>
    <t>03 DENTES</t>
  </si>
  <si>
    <t>9172</t>
  </si>
  <si>
    <t>FORNECIMENTO: 02 DENTES CENTRAIS + PARAFUSOS + PORCAS + GRAXEIROS</t>
  </si>
  <si>
    <t>02 DENTES</t>
  </si>
  <si>
    <t>OS-2025-0084</t>
  </si>
  <si>
    <t>687847</t>
  </si>
  <si>
    <t>FORNEC. SEMI-EIXO E CUBO</t>
  </si>
  <si>
    <t>FORNECIMENTO: SEMI-EIXO + 01 CUBO RODA TRASEIRO + DISCOS FREIO TRASEIROS</t>
  </si>
  <si>
    <t>688235</t>
  </si>
  <si>
    <t>FORNEC. ROLAMENTO CUBO</t>
  </si>
  <si>
    <t>FORNECIMENTO: 01 ROLAMENTO DE CUBO DE RODA TRASEIRO</t>
  </si>
  <si>
    <t>01 ROLAMENTO</t>
  </si>
  <si>
    <t>OS-2025-0085</t>
  </si>
  <si>
    <t>16528</t>
  </si>
  <si>
    <t>FORNEC. CONVERSOR</t>
  </si>
  <si>
    <t>FORNECIMENTO: CONVERSOR 24-12V ORIGINAL</t>
  </si>
  <si>
    <t>OS-2025-0086</t>
  </si>
  <si>
    <t>SOTREQ</t>
  </si>
  <si>
    <t>1078606</t>
  </si>
  <si>
    <t>KIT DE REVISÃO CAT 416F2</t>
  </si>
  <si>
    <t>696103</t>
  </si>
  <si>
    <t>FORNECIMENTO: 02 FILTROS DE COMBUSTÍVEL</t>
  </si>
  <si>
    <t>02 FILTROS</t>
  </si>
  <si>
    <t>OS-2025-0087</t>
  </si>
  <si>
    <t>FREIOS JJ</t>
  </si>
  <si>
    <t>1094</t>
  </si>
  <si>
    <t>SUBST. CANO COMPRESSOR AR</t>
  </si>
  <si>
    <t>SUBSTITUIÇÃO: CANO DO COMPRESSOR DE AR</t>
  </si>
  <si>
    <t>OS-2025-0088</t>
  </si>
  <si>
    <t>69152</t>
  </si>
  <si>
    <t>FORNECIMENTO: 02 PNEUS 225/75R16 LINGLONG DIANTEIROS</t>
  </si>
  <si>
    <t>LINGLONG</t>
  </si>
  <si>
    <t>RADIAL 666</t>
  </si>
  <si>
    <t>16069</t>
  </si>
  <si>
    <t>Serviço: MONTAGEM, ALINHAMENTO E BALANCEAMENTO DE 02 PNEUS 225/75R16C LINGLONG</t>
  </si>
  <si>
    <t>OS-2025-0089</t>
  </si>
  <si>
    <t>RADIADORES MASTER</t>
  </si>
  <si>
    <t>3118</t>
  </si>
  <si>
    <t>REPARO MANGUEIRA RADIADOR</t>
  </si>
  <si>
    <t>Serviço: CONEXÃO DE MANGUEIRA DE RADIADOR + LIMPEZA DO SISTEMA</t>
  </si>
  <si>
    <t>OS-2025-0090</t>
  </si>
  <si>
    <t>LUBRIFISC</t>
  </si>
  <si>
    <t>44281</t>
  </si>
  <si>
    <t>FORNEC. KIT CORREIA + KIT REVISÃO</t>
  </si>
  <si>
    <t>FORNECIMENTO: KIT CORREIA DYG5G03 + KIT REVISÃO DLG0D92</t>
  </si>
  <si>
    <t>OS-2025-0092</t>
  </si>
  <si>
    <t>PRUDENCROMO</t>
  </si>
  <si>
    <t>229</t>
  </si>
  <si>
    <t>SUBST. MANGUEIRA HIDRÁULICA</t>
  </si>
  <si>
    <t>SUBSTITUIÇÃO: MANGUEIRA DA TOMADA HIDRÁULICA</t>
  </si>
  <si>
    <t>OS-2025-0093</t>
  </si>
  <si>
    <t>2864/3663</t>
  </si>
  <si>
    <t>SUBST. RESFRIADOR ÓLEO E PASTILHAS</t>
  </si>
  <si>
    <t>SUBSTITUIÇÃO DE RESFRIADOR DE ÓLEO + PASTILHAS DE FREIO</t>
  </si>
  <si>
    <t>OS-2025-0094</t>
  </si>
  <si>
    <t>OS-2025-0095</t>
  </si>
  <si>
    <t>46676</t>
  </si>
  <si>
    <t>FORNEC. PALHETA PARABRISA</t>
  </si>
  <si>
    <t>FORNECIMENTO: PALHETA DE LIMPADOR DE PARABRISA</t>
  </si>
  <si>
    <t>OS-2025-0096</t>
  </si>
  <si>
    <t>44005</t>
  </si>
  <si>
    <t>Serviço: MONTAGEM, ALINHAMENTO E BALANCEAMENTO DE 02 PNEUS 275/80R22.5 DAYTON</t>
  </si>
  <si>
    <t>275/80R22.5</t>
  </si>
  <si>
    <t>DAYTON</t>
  </si>
  <si>
    <t>FORNEC. PNEUS + MONTAGEM</t>
  </si>
  <si>
    <t>FORNECIMENTO: 02 PNEUS 275/80R22.5 DAYTON DIANTEIROS + MONTAGEM, BALANCEAMENTO E TROCA DE PALHETA</t>
  </si>
  <si>
    <t>D300</t>
  </si>
  <si>
    <t>OS-2025-0097</t>
  </si>
  <si>
    <t>1097</t>
  </si>
  <si>
    <t>MO SUBST. LONAS E PATIM</t>
  </si>
  <si>
    <t>MÃO DE OBRA: SUBST. LONAS, ROLETES E PATIM DE FREIO TRASEIRO</t>
  </si>
  <si>
    <t>OS-2025-0098</t>
  </si>
  <si>
    <t>694430</t>
  </si>
  <si>
    <t>FORNEC. SENSOR MAP</t>
  </si>
  <si>
    <t>FORNECIMENTO: 01 SENSOR MAP PRESSÃO E TEMPERATURA DE ÓLEO</t>
  </si>
  <si>
    <t>01 SENSOR</t>
  </si>
  <si>
    <t>OS-2025-0099</t>
  </si>
  <si>
    <t>24288/10090</t>
  </si>
  <si>
    <t>OS-2025-0100</t>
  </si>
  <si>
    <t>8077</t>
  </si>
  <si>
    <t>MANGUEIRA DE ALTA PRESSÃO</t>
  </si>
  <si>
    <t>OS-2025-0101</t>
  </si>
  <si>
    <t>19219</t>
  </si>
  <si>
    <t>FORNEC. ÓLEO + FILTRO</t>
  </si>
  <si>
    <t>FORNECIMENTO: ÓLEO 10W40 20L LUBRAX + FILTRO RACCOR</t>
  </si>
  <si>
    <t>01 BALDE 20L + 01 FILTRO</t>
  </si>
  <si>
    <t>OS-2025-0102</t>
  </si>
  <si>
    <t>BATERIAS SAO CARLOS</t>
  </si>
  <si>
    <t>809</t>
  </si>
  <si>
    <t>01 BATERIA 100A</t>
  </si>
  <si>
    <t>OS-2025-0103</t>
  </si>
  <si>
    <t>37</t>
  </si>
  <si>
    <t>SUBST. ROLAMENTO E BARRAS</t>
  </si>
  <si>
    <t>SUBST. ROLAMENTO + BARRA CURTA + BARRA LONGA L.M. (SUSPENSÃO/DIREÇÃO)</t>
  </si>
  <si>
    <t>OS-2025-0104</t>
  </si>
  <si>
    <t>697668</t>
  </si>
  <si>
    <t>FORNEC. LONAS TRASEIRAS</t>
  </si>
  <si>
    <t>FORNECIMENTO: LONAS DE FREIO TRASEIRAS, CATRACA E REBITES</t>
  </si>
  <si>
    <t>OS-2025-0105</t>
  </si>
  <si>
    <t>44242</t>
  </si>
  <si>
    <t>MONTAGEM E BALANCEAMENTO PNEUS</t>
  </si>
  <si>
    <t>Serviço: MONTAGEM E BALANCEAMENTO DE 04 PNEUS DOUBLESTAR 225/75R16C</t>
  </si>
  <si>
    <t>DOUBLESTAR</t>
  </si>
  <si>
    <t>46929</t>
  </si>
  <si>
    <t>FORNECIMENTO: 04 PNEUS DOUBLESTAR 225/75R16C (DIANT.+TRAS.) + MONTAGEM E BALANCEAMENTO</t>
  </si>
  <si>
    <t xml:space="preserve">LTECH </t>
  </si>
  <si>
    <t>OS-2025-0106</t>
  </si>
  <si>
    <t>3225</t>
  </si>
  <si>
    <t>SUBST. NIPLE TELESCÓPIO</t>
  </si>
  <si>
    <t>SUBSTITUIÇÃO: NIPLE DA TUBULAÇÃO TELESCÓPICA</t>
  </si>
  <si>
    <t>OS-2025-0107</t>
  </si>
  <si>
    <t>43321</t>
  </si>
  <si>
    <t>ALINHAMENTO PNEUS</t>
  </si>
  <si>
    <t>Serviço: CONFERÊNCIA DE ALINHAMENTO DE PNEUS DIANTEIROS (DAYTON)</t>
  </si>
  <si>
    <t>42</t>
  </si>
  <si>
    <t>SUBST. CREMALHEIRA E COLUNA</t>
  </si>
  <si>
    <t>SUBSTITUIÇÃO: CREMALHEIRA DO GIRO + COLUNA DE DIREÇÃO + ALINHAMENTOS GERAIS</t>
  </si>
  <si>
    <t>OS-2025-0109</t>
  </si>
  <si>
    <t>44691</t>
  </si>
  <si>
    <t>OS-2025-0110</t>
  </si>
  <si>
    <t>MECÂNICA DUARTE</t>
  </si>
  <si>
    <t>70</t>
  </si>
  <si>
    <t>FORNECIMENTO: PASTILHAS E DISCOS DE FREIO DIANTEIROS</t>
  </si>
  <si>
    <t>OSMAR GUERREIRO</t>
  </si>
  <si>
    <t>OS-2025-0111</t>
  </si>
  <si>
    <t>3016/3838</t>
  </si>
  <si>
    <t>SUBST. PASTILHAS, DISCOS E REPARO PINÇA</t>
  </si>
  <si>
    <t>SUBST. PASTILHAS (DIANT.+TRAS.), DISCOS TRASEIROS E REPARO EM PINÇA TRASEIRA</t>
  </si>
  <si>
    <t>OS-2025-0112</t>
  </si>
  <si>
    <t>GP PNEUS</t>
  </si>
  <si>
    <t>59756</t>
  </si>
  <si>
    <t>FORNECIMENTO: 02 PNEUS 225/75R16 CONTINENTAL VANCONTACT DIANTEIROS</t>
  </si>
  <si>
    <t>CONTINENTAL</t>
  </si>
  <si>
    <t xml:space="preserve"> VANCONTACT</t>
  </si>
  <si>
    <t>OS-2025-0113</t>
  </si>
  <si>
    <t>876098</t>
  </si>
  <si>
    <t>FORNEC. MANGUEIRA E COXINS</t>
  </si>
  <si>
    <t>FORNECIMENTO: MANGUEIRA + CONEXÃO BOMBA ALTA X FILTRO COMBUSTÍVEL + 02 COXINS CABINE FRONTAL</t>
  </si>
  <si>
    <t>02 COXINS</t>
  </si>
  <si>
    <t>OS-2025-0114</t>
  </si>
  <si>
    <t>MARTINS LUBRIFICANTES</t>
  </si>
  <si>
    <t>281025</t>
  </si>
  <si>
    <t>FORNEC. ÓLEO</t>
  </si>
  <si>
    <t>FORNECIMENTO: ÓLEO 20L 15W40 TEXACO URSA</t>
  </si>
  <si>
    <t>01 BALDE 20L</t>
  </si>
  <si>
    <t>OS-2025-0115</t>
  </si>
  <si>
    <t>RECOLOCAÇÃO PASTILHAS</t>
  </si>
  <si>
    <t>RECOLOCAÇÃO DE 04 PASTILHAS DE FREIO MONTADAS INVERTIDAS</t>
  </si>
  <si>
    <t>04 PASTILHAS</t>
  </si>
  <si>
    <t>OS-2025-0116</t>
  </si>
  <si>
    <t>3030/3853</t>
  </si>
  <si>
    <t>REPARO CHICOTE ELÉTRICO</t>
  </si>
  <si>
    <t>Serviço: DIAGNÓSTICO E REPARO EM CHICOTE ELÉTRICO (FALHA DE IGNIÇÃO)</t>
  </si>
  <si>
    <t>OS-2025-0117</t>
  </si>
  <si>
    <t>SUBST. LONAS</t>
  </si>
  <si>
    <t>SUBSTITUIÇÃO DE LONAS DE FREIO DIANTEIRAS</t>
  </si>
  <si>
    <t>OS-2025-0118</t>
  </si>
  <si>
    <t>COOPERCITRUS</t>
  </si>
  <si>
    <t>14634</t>
  </si>
  <si>
    <t>FORNEC. ÓLEO TRANSMISSÃO</t>
  </si>
  <si>
    <t>FORNECIMENTO: ÓLEO TRANSMISSÃO 10W ORIGINAL JCB 20L</t>
  </si>
  <si>
    <t>01 GALÃO 20L</t>
  </si>
  <si>
    <t>OS-2025-0119</t>
  </si>
  <si>
    <t>REI DO ÓLEO ITAQUA</t>
  </si>
  <si>
    <t>58</t>
  </si>
  <si>
    <t>FORNEC. ÓLEO HIDRÁULICO</t>
  </si>
  <si>
    <t>FORNECIMENTO: ÓLEO HIDRÁULICO 20L</t>
  </si>
  <si>
    <t>OS-2025-0120</t>
  </si>
  <si>
    <t>214157</t>
  </si>
  <si>
    <t>FRETE + FILTROS</t>
  </si>
  <si>
    <t>FRETE (REF. NF GEOMAQ 114665) + FILTROS PARA REVISÃO</t>
  </si>
  <si>
    <t>OS-2025-0121</t>
  </si>
  <si>
    <t>NAVI TRUCK</t>
  </si>
  <si>
    <t>2156/585</t>
  </si>
  <si>
    <t>SUBST. JUNTAS MOTOR</t>
  </si>
  <si>
    <t>SUBSTITUIÇÃO: JOGO DE JUNTAS DE MOTOR COMPLETO</t>
  </si>
  <si>
    <t>OS-2025-0122</t>
  </si>
  <si>
    <t>3934</t>
  </si>
  <si>
    <t>ALINHAMENTO E CAMBAGEM</t>
  </si>
  <si>
    <t>Serviço: CONFERÊNCIA DO SISTEMA DE DIREÇÃO, ALINHAMENTO E CAMBAGEM</t>
  </si>
  <si>
    <t>ZN PLACAS</t>
  </si>
  <si>
    <t>361866</t>
  </si>
  <si>
    <t>REEMISÃO DE PLACAS MERCOSUL POR PERDA DA PLACA DIANTEIRA</t>
  </si>
  <si>
    <t>OS-2025-0124</t>
  </si>
  <si>
    <t>710092</t>
  </si>
  <si>
    <t>FORNEC. PEÇAS CÂMBIO</t>
  </si>
  <si>
    <t>FORNECIMENTO: SINCRONIZADOS + ROLAMENTOS + EIXO PILOTO + ENGRENAGENS (CÂMBIO)</t>
  </si>
  <si>
    <t>45</t>
  </si>
  <si>
    <t>MO SUBST. ENGRENAGENS CÂMBIO</t>
  </si>
  <si>
    <t>MÃO DE OBRA: SUBSTITUIÇÃO DE ENGRENAGENS DO CÂMBIO</t>
  </si>
  <si>
    <t>SUBST. PEÇAS CÂMBIO</t>
  </si>
  <si>
    <t>SUBSTITUIÇÃO: SINCRONIZADOS + ROLAMENTOS + EIXO PILOTO + ENGRENAGENS (CÂMBIO)</t>
  </si>
  <si>
    <t>OS-2025-0125</t>
  </si>
  <si>
    <t>24976/10300</t>
  </si>
  <si>
    <t>SUBST. LANTERNAS</t>
  </si>
  <si>
    <t>SUBSTITUIÇÃO: LANTERNAS DE ILUMINAÇÃO LATERAL DA CAÇAMBA</t>
  </si>
  <si>
    <t>OS-2025-0126</t>
  </si>
  <si>
    <t>AUTOGLASS</t>
  </si>
  <si>
    <t>221125</t>
  </si>
  <si>
    <t>SUBST. VIDRO PORTA</t>
  </si>
  <si>
    <t>FRANQUIA DE SEGURO: REPOSIÇÃO DE VIDRO DE PORTA DO PASSAGEIRO</t>
  </si>
  <si>
    <t>01 VIDRO</t>
  </si>
  <si>
    <t>OS-2025-0127</t>
  </si>
  <si>
    <t>CARLINHOZ SOLDAS</t>
  </si>
  <si>
    <t>281125</t>
  </si>
  <si>
    <t>M.O. SOLDA CARROCERIA</t>
  </si>
  <si>
    <t>SOLDA EM GANCHOS DE TAMPA TRASEIRA DA CARROCERIA</t>
  </si>
  <si>
    <t>886736</t>
  </si>
  <si>
    <t>FORNEC. ACABAMENTOS INTERNOS</t>
  </si>
  <si>
    <t>FORNECIMENTO: BOTÕES PILOTO AUTOMÁTICO + ADESIVO PORTA MOTORISTA VW 13-180</t>
  </si>
  <si>
    <t>OS-2025-0128</t>
  </si>
  <si>
    <t>46</t>
  </si>
  <si>
    <t>FORNEC. KIT EMBREAGEM</t>
  </si>
  <si>
    <t>FORNECIMENTO: KIT DE EMBREAGEM SACHS 395MM</t>
  </si>
  <si>
    <t>47</t>
  </si>
  <si>
    <t>MO SUBST. SINCRONIZADOS E EMBREAGEM</t>
  </si>
  <si>
    <t>MÃO DE OBRA: SUBST. SINCRONIZADOS 1°-2°, 3°-4° + EMBREAGEM</t>
  </si>
  <si>
    <t>SUBST. BUCHAS, PIVÔS E BANDEJA</t>
  </si>
  <si>
    <t>SUBST. KIT BUCHAS + BANDEJA + PIVÔS + REPARO BRAÇO DE DIREÇÃO</t>
  </si>
  <si>
    <t>OS-2025-0130</t>
  </si>
  <si>
    <t>114665</t>
  </si>
  <si>
    <t>FORNEC. KIT FILTROS</t>
  </si>
  <si>
    <t>FORNECIMENTO: KIT DE FILTROS COMPLETO</t>
  </si>
  <si>
    <t>OS-2025-0131</t>
  </si>
  <si>
    <t>202747</t>
  </si>
  <si>
    <t>FORNECIMENTO: KIT ÓLEO + FILTROS</t>
  </si>
  <si>
    <t>JTO TRANSPORTES</t>
  </si>
  <si>
    <t>1958387</t>
  </si>
  <si>
    <t>FRETE: BARUERI → FRANCA (REF. BANCO GIRATÓRIO JCB)</t>
  </si>
  <si>
    <t>27162</t>
  </si>
  <si>
    <t>FORNEC. BANCO GIRATÓRIO</t>
  </si>
  <si>
    <t>FORNECIMENTO: BANCO GIRATÓRIO ORIGINAL JCB (NOVO)</t>
  </si>
  <si>
    <t>01 BANCO</t>
  </si>
  <si>
    <t>TUDO LAR ONLINE MELI</t>
  </si>
  <si>
    <t>1048</t>
  </si>
  <si>
    <t>OS-2026-0145</t>
  </si>
  <si>
    <t>892999</t>
  </si>
  <si>
    <t>FORNECIMENTO: KIT EMBREAGEM 240MM EATON + ROLAMENTO</t>
  </si>
  <si>
    <t>OS-2026-0146</t>
  </si>
  <si>
    <t>3150/3999</t>
  </si>
  <si>
    <t>SUBSTITUIÇÃO DE PASTILHAS DE FREIO (DIANT.+TRAS.)</t>
  </si>
  <si>
    <t>OS-2025-0136</t>
  </si>
  <si>
    <t>RENATO TEIXEIRA</t>
  </si>
  <si>
    <t>161225</t>
  </si>
  <si>
    <t>REPARO CAIXA DIREÇÃO</t>
  </si>
  <si>
    <t>Serviço: REPARO COMPLETO EM CAIXA DE DIREÇÃO</t>
  </si>
  <si>
    <t>ALDO OLIVEIRA NASCIMENTO</t>
  </si>
  <si>
    <t>38</t>
  </si>
  <si>
    <t>Funilaria</t>
  </si>
  <si>
    <t>PINTURA PARACHOQUE E CARROCERIA</t>
  </si>
  <si>
    <t>Serviço: PINTURA DE PARACHOQUE DIANTEIRO E CARROCERIA</t>
  </si>
  <si>
    <t>ALDO</t>
  </si>
  <si>
    <t>OS-2026-0148</t>
  </si>
  <si>
    <t>3151/4000</t>
  </si>
  <si>
    <t>SUBST. COXINS</t>
  </si>
  <si>
    <t>SUBSTITUIÇÃO: COXINS DE CABINE E MOTOR</t>
  </si>
  <si>
    <t>OS-2025-0141</t>
  </si>
  <si>
    <t>VICTOR EDUARDO BORRACHARIA</t>
  </si>
  <si>
    <t>6664</t>
  </si>
  <si>
    <t>INSTALAÇÃO E BALANCEAMENTO PNEUS</t>
  </si>
  <si>
    <t>Serviço: INSTALAÇÃO E BALANCEAMENTO DE 05 PNEUS</t>
  </si>
  <si>
    <t>05 PNEUS</t>
  </si>
  <si>
    <t>225/75R16</t>
  </si>
  <si>
    <t>CONTINENTAL VANCONTACT</t>
  </si>
  <si>
    <t>OS-2026-0149</t>
  </si>
  <si>
    <t>REMOÇÃO</t>
  </si>
  <si>
    <t>Serviço DE REMOÇÃO: JUNDIAPEBA → OFICINA TONINHO</t>
  </si>
  <si>
    <t xml:space="preserve">AZZIOLY CAMINHOES E PECAS </t>
  </si>
  <si>
    <t>1355</t>
  </si>
  <si>
    <t>INSTALAÇÃO FAIXAS REFLETIVAS</t>
  </si>
  <si>
    <t>Serviço: INSTALAÇÃO DE FAIXAS REFLETIVAS NA CARROCERIA E PARACHOQUE</t>
  </si>
  <si>
    <t>OS-2026-0147</t>
  </si>
  <si>
    <t>NEGAO DAS BATERIAS</t>
  </si>
  <si>
    <t>132</t>
  </si>
  <si>
    <t>OS-2026-0153</t>
  </si>
  <si>
    <t>51445</t>
  </si>
  <si>
    <t>FORNECIMENTO: 02 PNEUS 225/75R16C APOLLO ALTRUST TRASEIROS (REMANEJADOS PARA DIANTEIRA EM 09/03/2026)</t>
  </si>
  <si>
    <t>OS-2026-0152</t>
  </si>
  <si>
    <t>OS-2026-0151</t>
  </si>
  <si>
    <t>FORNECIMENTO: 02 PNEUS 225/75R16C APOLLO ALTRUST TRASEIROS (REMANEJADOS PARA DIANTEIRA EM 10/03/2026)</t>
  </si>
  <si>
    <t>895037</t>
  </si>
  <si>
    <t>FUNILARIA GERAL</t>
  </si>
  <si>
    <t>Serviço/FORNEC.: FUNILARIA DIVERSA + PARACHOQUE DIANTEIRO NOVO + FAROL DE MILHA L.E.</t>
  </si>
  <si>
    <t>OS-2025-0134</t>
  </si>
  <si>
    <t>1134</t>
  </si>
  <si>
    <t>OS-2026-0155</t>
  </si>
  <si>
    <t>896238</t>
  </si>
  <si>
    <t>FORNEC. CILINDRO EMBREAGEM</t>
  </si>
  <si>
    <t>FORNECIMENTO: CILINDRO DE EMBREAGEM SUPERIOR + FLUIDO DOT4</t>
  </si>
  <si>
    <t>OS-2026-0156</t>
  </si>
  <si>
    <t>FORNEC. KIT COXINS</t>
  </si>
  <si>
    <t>FORNECIMENTO: KIT COXINS TRASEIROS E DIANTEIROS COMPLETO</t>
  </si>
  <si>
    <t>OS-2026-0150</t>
  </si>
  <si>
    <t>650312</t>
  </si>
  <si>
    <t>FORNECIMENTO: 04 PNEUS 225/75R16C FIRESTONE CV500</t>
  </si>
  <si>
    <t>OS-2025-0135</t>
  </si>
  <si>
    <t>DEXTER IMPORT AUTO PART (ML)</t>
  </si>
  <si>
    <t>8897</t>
  </si>
  <si>
    <t>FORNEC. RESERVATÓRIO DIREÇÃO</t>
  </si>
  <si>
    <t>FORNECIMENTO: RESERVATÓRIO DE ÓLEO DE DIREÇÃO HIDRÁULICA</t>
  </si>
  <si>
    <t>OS-2026-0154</t>
  </si>
  <si>
    <t>897077</t>
  </si>
  <si>
    <t>OS-2025-0137</t>
  </si>
  <si>
    <t>62</t>
  </si>
  <si>
    <t>FORNECIMENTO: ÓLEO TRANSMISSÃO SAE 10W30 20L (REPOSIÇÃO POR VAZAMENTO)</t>
  </si>
  <si>
    <t>OS-2025-0138</t>
  </si>
  <si>
    <t>70581</t>
  </si>
  <si>
    <t>529</t>
  </si>
  <si>
    <t>MÃO DE OBRA SUBSTITUIÇÃO DE  EMBREAGEM</t>
  </si>
  <si>
    <t>OS-2026-0157</t>
  </si>
  <si>
    <t>715294</t>
  </si>
  <si>
    <t>FORNEC. SOLENOIDE</t>
  </si>
  <si>
    <t>FORNECIMENTO: 01 SOLENOIDE 12V</t>
  </si>
  <si>
    <t>01 SOLENOIDE</t>
  </si>
  <si>
    <t>FORNEC. FILTROS AR</t>
  </si>
  <si>
    <t>FORNECIMENTO: CONJUNTO DE FILTROS DE AR</t>
  </si>
  <si>
    <t>OS-2026-0158</t>
  </si>
  <si>
    <t>28752</t>
  </si>
  <si>
    <t>FORNEC. BOMBA HIDRÁULICA</t>
  </si>
  <si>
    <t>FORNECIMENTO: 01 BOMBA HIDRÁULICA ORIGINAL</t>
  </si>
  <si>
    <t>01 BOMBA</t>
  </si>
  <si>
    <t>OS-2026-0159</t>
  </si>
  <si>
    <t>898734</t>
  </si>
  <si>
    <t>FORNEC. PINÇAS TRASEIRAS</t>
  </si>
  <si>
    <t>FORNECIMENTO: 02 PINÇAS DE FREIO TRASEIRAS</t>
  </si>
  <si>
    <t>02 PINÇAS</t>
  </si>
  <si>
    <t>OS-2026-0160</t>
  </si>
  <si>
    <t>899395</t>
  </si>
  <si>
    <t>FORNEC. CORREIA POLI-V</t>
  </si>
  <si>
    <t>FORNECIMENTO: CORREIA POLI-V COM AR VW EXPRESS</t>
  </si>
  <si>
    <t>OS-2025-0140</t>
  </si>
  <si>
    <t>AUTO ELETRICA MAC SOM</t>
  </si>
  <si>
    <t>9325/12756</t>
  </si>
  <si>
    <t>SUBST. AUTOMÁTICO M. PARTIDA</t>
  </si>
  <si>
    <t>SUBSTITUIÇÃO: AUTOMÁTICO DE MOTOR DE PARTIDA + REPARO GERAL</t>
  </si>
  <si>
    <t>OS-2026-0161</t>
  </si>
  <si>
    <t>900544</t>
  </si>
  <si>
    <t>FORNEC. PINÇA, DISCOS E PASTILHAS</t>
  </si>
  <si>
    <t>FORNECIMENTO: 01 PINÇA L.E. + DISCOS (DIANT.+TRAS.) + PASTILHAS (DIANT.+TRAS.)</t>
  </si>
  <si>
    <t>01 PINÇA + 01 JG DISCOS + 01 JG PASTILHAS</t>
  </si>
  <si>
    <t>OS-2026-0189</t>
  </si>
  <si>
    <t>MSP DIST E IMP MORECAP</t>
  </si>
  <si>
    <t>FORNECIMENTO: 02 PNEUS 12.5/80-18 12PR</t>
  </si>
  <si>
    <t>MAVERLOUS</t>
  </si>
  <si>
    <t>ATU410</t>
  </si>
  <si>
    <t>NEIVALDO</t>
  </si>
  <si>
    <t>OS-2026-0163</t>
  </si>
  <si>
    <t>57</t>
  </si>
  <si>
    <t>SUBST. TRANSISTOR MÓDULO</t>
  </si>
  <si>
    <t>Serviço ELÉTRICO (TERCEIRO): SUBSTITUIÇÃO DE TRANSISTOR DO MÓDULO</t>
  </si>
  <si>
    <t>OS-2026-0186</t>
  </si>
  <si>
    <t>MO REPARO DIREÇÃO</t>
  </si>
  <si>
    <t>MÃO DE OBRA: REPARO EM CAIXA DE DIREÇÃO + PIVÔS + BRAÇOS</t>
  </si>
  <si>
    <t>OS-2026-0162</t>
  </si>
  <si>
    <t>INOVA TRANSPORTES LTDA</t>
  </si>
  <si>
    <t>61</t>
  </si>
  <si>
    <t>MO ANÁLISE VAZAMENTO</t>
  </si>
  <si>
    <t>MÃO DE OBRA: ANÁLISE DE VAZAMENTO DE MOTOR</t>
  </si>
  <si>
    <t>INOVA TRUCK CENTER LTDA</t>
  </si>
  <si>
    <t>8812</t>
  </si>
  <si>
    <t>FORNEC. ÓLEO MOTOR</t>
  </si>
  <si>
    <t>FORNECIMENTO: ÓLEO DE MOTOR 10W40 (COMPLEMENTO)</t>
  </si>
  <si>
    <t>48</t>
  </si>
  <si>
    <t>SUBST. KIT EMBREAGEM COMPLETO</t>
  </si>
  <si>
    <t>SUBST. KIT EMBREAGEM SACHS 220MM + VOLANTE + SERVO + MO REVISÃO</t>
  </si>
  <si>
    <t>OS-2025-0143</t>
  </si>
  <si>
    <t>RENOVE COMÉRCIO DE PEÇAS</t>
  </si>
  <si>
    <t>9916</t>
  </si>
  <si>
    <t>SUBST. BOMBA HIDRÁULICA</t>
  </si>
  <si>
    <t>SUBSTITUIÇÃO: BOMBA HIDRÁULICA</t>
  </si>
  <si>
    <t>OS-2025-0144</t>
  </si>
  <si>
    <t>SUBST. PINÇAS TRASEIRAS</t>
  </si>
  <si>
    <t>SUBSTITUIÇÃO DE PINÇAS DE FREIO TRASEIRAS</t>
  </si>
  <si>
    <t>OS-2026-0164</t>
  </si>
  <si>
    <t>908302</t>
  </si>
  <si>
    <t>FORNEC. CABOS CÂMBIO</t>
  </si>
  <si>
    <t>FORNECIMENTO: CABOS DE SELEÇÃO E ENGATE DE CÂMBIO</t>
  </si>
  <si>
    <t>OS-2026-0165</t>
  </si>
  <si>
    <t>MERCEDAO AUTO PECAS</t>
  </si>
  <si>
    <t>FORNEC. ROLAMENTO EMBREAGEM</t>
  </si>
  <si>
    <t>FORNECIMENTO: ROLAMENTO DE EMBREAGEM + MURINGA DE CÂMBIO</t>
  </si>
  <si>
    <t>OS-2026-0167</t>
  </si>
  <si>
    <t>1660</t>
  </si>
  <si>
    <t>REMOÇÃO VIA GUINCHO</t>
  </si>
  <si>
    <t>Serviço DE REMOÇÃO/GUINCHO: MOGI → OFICINA TONINHO</t>
  </si>
  <si>
    <t>OS-2026-0168</t>
  </si>
  <si>
    <t>Serviço DE REMOÇÃO/GUINCHO: SUZANO → OFICINA TONINHO</t>
  </si>
  <si>
    <t>OS-2026-0166</t>
  </si>
  <si>
    <t>54</t>
  </si>
  <si>
    <t>REPARO CHICOTE E VÁLVULA</t>
  </si>
  <si>
    <t>Serviço: REPARO EM CHICOTE + SUBST. VÁLVULA REGULADORA MPRO</t>
  </si>
  <si>
    <t>SUBST. KIT EMBREAGEM + RETÍFICA VOLANTE</t>
  </si>
  <si>
    <t>SUBSTITUIÇÃO: KIT EMBREAGEM 395MM + RETÍFICA DE VOLANTE</t>
  </si>
  <si>
    <t>SUBST. PASTILHAS DISCOS E CUBO TRASEIRO</t>
  </si>
  <si>
    <t>SUBSTITUIÇÃO PASTILHAS DISCOS E CUBO TRASEIRO</t>
  </si>
  <si>
    <t>FORNEC. ROLAMENTO DUPLO CUBO DE RODA DIANTEIRA</t>
  </si>
  <si>
    <t>COMPRA DE 01 ROLAMENTO DUPLO CUBO DE RODA DIANTEIRA</t>
  </si>
  <si>
    <t>FORNEC. DISCOS DE FREIO DIANTEIRO E TRASEIRO</t>
  </si>
  <si>
    <t>COMPRA DE DISCOS DE FREIO DIANTEIRO E TRASEIRO</t>
  </si>
  <si>
    <t>OS-2025-0146</t>
  </si>
  <si>
    <t>M.O. SUBSTITUIÇÃO CONVERSOR 12V E CONFERÊNCIA DE POSITIVO</t>
  </si>
  <si>
    <t>OS-2026-0170</t>
  </si>
  <si>
    <t>3263/4147</t>
  </si>
  <si>
    <t>Suspensão</t>
  </si>
  <si>
    <t>SUBST. AMORTECEDORES</t>
  </si>
  <si>
    <t>SUBSTITUIÇÃO: 02 AMORTECEDORES DIANTEIROS</t>
  </si>
  <si>
    <t>02 AMORTECEDORES</t>
  </si>
  <si>
    <t>OS-2026-0169</t>
  </si>
  <si>
    <t>SUBST. PASTILHAS E PASSE DISCOS</t>
  </si>
  <si>
    <t>SUBSTITUIÇÃO DE PASTILHAS (DIANT.+TRAS.) E PASSE EM DISCOS</t>
  </si>
  <si>
    <t>OS-2026-0171</t>
  </si>
  <si>
    <t>3242/4117</t>
  </si>
  <si>
    <t>OS-2026-0174</t>
  </si>
  <si>
    <t>909979</t>
  </si>
  <si>
    <t>FORNECIMENTO: BOTÕES DE A/C + MANIVELA DE VIDRO + CINZEIRO</t>
  </si>
  <si>
    <t>KIT REVISAO — VW 14-190</t>
  </si>
  <si>
    <t>KIT REVISAO VW 14-190 — 10W40 + FILTROS</t>
  </si>
  <si>
    <t>OS-2026-0173</t>
  </si>
  <si>
    <t>71342</t>
  </si>
  <si>
    <t>FORNECIMENTO: 02 PNEUS 225/75R16 CONTINENTAL CARGO MARATHON 2 118/116R TRASEIROS</t>
  </si>
  <si>
    <t>CARGO MARATHON</t>
  </si>
  <si>
    <t>OS-2026-0181</t>
  </si>
  <si>
    <t>THIAGO ELETRICISTA</t>
  </si>
  <si>
    <t>1872</t>
  </si>
  <si>
    <t>FORNECIMENTO: ACABAMENTOS INTERNOS (REPOSIÇÃO)</t>
  </si>
  <si>
    <t>THIAGO BARBOSA</t>
  </si>
  <si>
    <t>OS-2026-0179</t>
  </si>
  <si>
    <t>1871</t>
  </si>
  <si>
    <t>DIAGNÓSTICO ELÉTRICO</t>
  </si>
  <si>
    <t>Serviço: DIAGNÓSTICO ELÉTRICO</t>
  </si>
  <si>
    <t>OS-2026-0175</t>
  </si>
  <si>
    <t>2531</t>
  </si>
  <si>
    <t>BALDE 20L ÓLEO HIDRÁULICO 68 AGRÍCOLA</t>
  </si>
  <si>
    <t>OS-2026-0176</t>
  </si>
  <si>
    <t>CPX DISTRIBUIDORA S.A.</t>
  </si>
  <si>
    <t>17358</t>
  </si>
  <si>
    <t>FORNECIMENTO: 02 PNEUS 19.5L-24 12L R4 EARTHMAX TRASEIROS</t>
  </si>
  <si>
    <t>19.5L-24</t>
  </si>
  <si>
    <t>EARTHMAX</t>
  </si>
  <si>
    <t xml:space="preserve">HGA01 </t>
  </si>
  <si>
    <t>FORNEC. PEÇAS CÂMBIO + ÓLEO</t>
  </si>
  <si>
    <t>FORNECIMENTO: CUBO ENGATE 4ª/5ª MARCHA + ÓLEO CÂMBIO EATON 6L</t>
  </si>
  <si>
    <t>735118</t>
  </si>
  <si>
    <t>FORNECIMENTO: ROLAMENTOS + ANÉIS + ROLETES + TRAVAS + ENTALHADO (CÂMBIO)</t>
  </si>
  <si>
    <t>OS-2026-0177</t>
  </si>
  <si>
    <t>FORNEC. KIT MOTOR BAIXO</t>
  </si>
  <si>
    <t>FORNECIMENTO: KIT PISTAO ANEL CAMISA PINOS TRAVA FILTROS BOMBA DE ÓLEO E JUNTAS</t>
  </si>
  <si>
    <t>738440</t>
  </si>
  <si>
    <t>FORNEC. PEÇAS MOTOR BAIXO</t>
  </si>
  <si>
    <t>FORNECIMENTO: ANEL DE VEDAÇÃO DE CAMISA + CALÇOS DE CAMISA (MOTOR)</t>
  </si>
  <si>
    <t>916739</t>
  </si>
  <si>
    <t>FORNECIMENTO: ÓLEO DE MOTOR 15W40 20L</t>
  </si>
  <si>
    <t>OS-2026-0191</t>
  </si>
  <si>
    <t xml:space="preserve">BALDE 20L ÓLEO HIDRÁULICO 68 DEITON </t>
  </si>
  <si>
    <t>FORNEC. ÓLEO DE MOTOR</t>
  </si>
  <si>
    <t xml:space="preserve">BALDE 20L LUBRAX TOP TURBO 15W40 </t>
  </si>
  <si>
    <t>OS-2026-0192</t>
  </si>
  <si>
    <t>FORNECIMENTO: 04 PNEUS 225/75R16c EUROVAN</t>
  </si>
  <si>
    <t>GENERAL EUROVAN</t>
  </si>
  <si>
    <t>910633</t>
  </si>
  <si>
    <t>OS-2026-0178</t>
  </si>
  <si>
    <t>45866</t>
  </si>
  <si>
    <t>OS-2026-0183</t>
  </si>
  <si>
    <t>FORNECIMENTO: 02 PNEUS 225/75R16C APOLLO ALTRUST TRASEIROS</t>
  </si>
  <si>
    <t>OS-2026-0182</t>
  </si>
  <si>
    <t>52818</t>
  </si>
  <si>
    <t>OS-2026-0180</t>
  </si>
  <si>
    <t>OS-2026-0185</t>
  </si>
  <si>
    <t>3327/4232</t>
  </si>
  <si>
    <t>SUBST. PASTILHAS E REPARO CILINDRO</t>
  </si>
  <si>
    <t>SUBST. PASTILHAS DIANTEIRAS E REPARO EM CILINDRO DE FREIO TRASEIRO</t>
  </si>
  <si>
    <t>OS-2026-0184</t>
  </si>
  <si>
    <t>3314/4221</t>
  </si>
  <si>
    <t>SUBSTITUIÇÃO: KIT EMBREAGEM EATON + RETÍFICA DE VOLANTE</t>
  </si>
  <si>
    <t>OSMAR LUIS FRANCA</t>
  </si>
  <si>
    <t>FORNEC. FLUÍDO DE FREIO E CILINDRO MESTRE EMBREAGEM</t>
  </si>
  <si>
    <t>FLUÍDO DE FREIO E CILINDRO MESTRE EMBREAGEM</t>
  </si>
  <si>
    <t>M.O. KIT EMBREAGEM</t>
  </si>
  <si>
    <t>OS-2026-0187</t>
  </si>
  <si>
    <t>FORNEC. CILINDRO MESTRE DE FREIO</t>
  </si>
  <si>
    <t>FORNECIMENTO: CILINDRO MESTRE DE FREIO</t>
  </si>
  <si>
    <t>OS-2026-0188</t>
  </si>
  <si>
    <t>RENOV. DE PNEUS PRESIDENTE GRU.</t>
  </si>
  <si>
    <t>FORNECIMENTO: 02 PNEUS 11L-16 MALHOTRA DIANTEIROS</t>
  </si>
  <si>
    <t>11L-16</t>
  </si>
  <si>
    <t>MALHOTRA</t>
  </si>
  <si>
    <t xml:space="preserve">MIT295 </t>
  </si>
  <si>
    <t>x</t>
  </si>
  <si>
    <t>OS-2026-0193</t>
  </si>
  <si>
    <t>FORNEC. EMBREAGEM VISCOSA E MANGUEIRA INTERCOOLER</t>
  </si>
  <si>
    <t>EMBREAGEM VISCOSA E 01 MANGUEIRA INTERCOOLER</t>
  </si>
  <si>
    <t>MBREAGEM VISCOSA E 01 MANGUEIRA INTERCOOLER</t>
  </si>
  <si>
    <t>OS-2026-0194</t>
  </si>
  <si>
    <t>FORNEC. CABO DE EMBREAGEM</t>
  </si>
  <si>
    <t>CABO DE EMBREAGEM</t>
  </si>
  <si>
    <t>OS-2026-0195</t>
  </si>
  <si>
    <t>SUZANO REPARACAO MECANICA</t>
  </si>
  <si>
    <t>FORNEC. ITENS COMPLEMENTARES</t>
  </si>
  <si>
    <t>PORCAS, PARAFUSOS, ABRAÇADEIRAS E FAIXAS REFLETIVAS</t>
  </si>
  <si>
    <t>M.O. SERVIÇO DE SOLDA</t>
  </si>
  <si>
    <t>SERVIÇO DE SOLDA EM VÁRIOS PONTOS DE FIXAÇÃO DE TAMPAS DA CARROCERIA</t>
  </si>
  <si>
    <t>OS-2026-0196</t>
  </si>
  <si>
    <t>TRUCKAR AUTOMOLAS</t>
  </si>
  <si>
    <t>M.O. EMBUCHAMENTO DE MOLEJOS TRASEIROS</t>
  </si>
  <si>
    <t>EMBUCHAMENTO DE MOLEJOS TRASEIROS</t>
  </si>
  <si>
    <t>OS-2026-0197</t>
  </si>
  <si>
    <t>55</t>
  </si>
  <si>
    <t>MO SUBST. PEÇAS CÂMBIO</t>
  </si>
  <si>
    <t>MÃO DE OBRA: SUBST. PILOTO + ROLAMENTOS + ANÉIS + ROLETES + TRAVAS + ENTALHADO (CÂMBIO)</t>
  </si>
  <si>
    <t>RENOV. PNEUS PRESIDENTE GRU.</t>
  </si>
  <si>
    <t xml:space="preserve">M.O. RECUPERAÇÃO MÁQUINA DE VIDRO L. MOTORISTA </t>
  </si>
  <si>
    <t xml:space="preserve">RECUPERAÇÃO MÁQUINA DE VIDRO L. MOTORISTA </t>
  </si>
  <si>
    <t>BORRACHARIA E C. DE PN. DO SILVAO</t>
  </si>
  <si>
    <t>M.O. PNEUS</t>
  </si>
  <si>
    <t>MONTAGEM: 02 PNEUS 11L-16 MALHOTRA DIANTEIROS</t>
  </si>
  <si>
    <t>RENOVE COMERCIO DE PECAS LTDA</t>
  </si>
  <si>
    <t>M.O. SUBSTITUIÇÃO DE EMBREAGEM VISCOSA E MANGUEIRA INTERCOOLER</t>
  </si>
  <si>
    <t>OS-2026-0201</t>
  </si>
  <si>
    <t>RD DIRECOES HIDRAULICAS</t>
  </si>
  <si>
    <t>M.O. REPARO EM CAIXA DE DIREÇÃO, SOLDA E TROCA DE KIT</t>
  </si>
  <si>
    <t>KIT DE CAIXA DE DIREÇÃO</t>
  </si>
  <si>
    <t>OS-2026-0202</t>
  </si>
  <si>
    <t>BORRACHARIA SÃO CARLOS</t>
  </si>
  <si>
    <t>FORNECIMENTO: 02 PNEUS 225/75R16C CONTINENTAL USADOS</t>
  </si>
  <si>
    <t>USADO</t>
  </si>
  <si>
    <t>MARCELO</t>
  </si>
  <si>
    <t>IDImposto</t>
  </si>
  <si>
    <t>AnoImposto</t>
  </si>
  <si>
    <t>VencimentoLicenc.</t>
  </si>
  <si>
    <t>ValorLicenc.</t>
  </si>
  <si>
    <t>JurosLicenc.</t>
  </si>
  <si>
    <t>VencimentoIpva</t>
  </si>
  <si>
    <t>ValorIpva</t>
  </si>
  <si>
    <t>JurosIpva</t>
  </si>
  <si>
    <t>QtdeMultas</t>
  </si>
  <si>
    <t>ValorMultas</t>
  </si>
  <si>
    <t>JurosMulta</t>
  </si>
  <si>
    <t>ValorTotalOriginal</t>
  </si>
  <si>
    <t>JurosTotal</t>
  </si>
  <si>
    <t>ValorTotalFinal</t>
  </si>
  <si>
    <t>TotalPago</t>
  </si>
  <si>
    <t>SaldoTotal</t>
  </si>
  <si>
    <t>Quitado</t>
  </si>
  <si>
    <t>À Vencer</t>
  </si>
  <si>
    <t>IPVA Vencido</t>
  </si>
  <si>
    <t>IPVA Parcelado</t>
  </si>
  <si>
    <t>IDRastreamento</t>
  </si>
  <si>
    <t>World Sat Monitoramento</t>
  </si>
  <si>
    <t>IDContratoVeiculo</t>
  </si>
  <si>
    <t>Sequencia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</si>
</sst>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E8449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1E8449"/>
      <name val="Arial"/>
      <family val="2"/>
    </font>
    <font>
      <sz val="10"/>
      <color theme="5" tint="-0.499984740745262"/>
      <name val="Arial"/>
      <family val="2"/>
    </font>
    <font>
      <sz val="10"/>
      <name val="Arial"/>
      <family val="2"/>
    </font>
    <font>
      <sz val="10"/>
      <color rgb="FF9C570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0"/>
      <color theme="1"/>
      <name val="Arial"/>
      <family val="2"/>
    </font>
    <font>
      <u/>
      <sz val="10"/>
      <color theme="3" tint="0.499984740745262"/>
      <name val="Arial"/>
      <family val="2"/>
    </font>
    <font>
      <sz val="10"/>
      <color theme="3" tint="0.499984740745262"/>
      <name val="Arial"/>
      <family val="2"/>
    </font>
    <font>
      <sz val="11"/>
      <color theme="1"/>
      <name val="Calibri"/>
      <family val="2"/>
      <charset val="1"/>
    </font>
    <font>
      <u/>
      <sz val="10"/>
      <color theme="1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b/>
      <sz val="10"/>
      <color rgb="FF0369A1"/>
      <name val="Aptos"/>
      <family val="2"/>
    </font>
    <font>
      <sz val="10"/>
      <color rgb="FF006100"/>
      <name val="Aptos"/>
      <family val="2"/>
    </font>
    <font>
      <sz val="10"/>
      <color rgb="FF9C0006"/>
      <name val="Aptos"/>
      <family val="2"/>
    </font>
    <font>
      <sz val="10"/>
      <color rgb="FF64748B"/>
      <name val="Aptos"/>
      <family val="2"/>
    </font>
    <font>
      <sz val="10"/>
      <color rgb="FF0369A1"/>
      <name val="Aptos"/>
      <family val="2"/>
    </font>
    <font>
      <b/>
      <sz val="10"/>
      <color rgb="FF1A7A45"/>
      <name val="Aptos"/>
      <family val="2"/>
    </font>
    <font>
      <b/>
      <sz val="10"/>
      <color rgb="FF5B21B6"/>
      <name val="Aptos"/>
      <family val="2"/>
    </font>
    <font>
      <b/>
      <sz val="10"/>
      <color rgb="FFB45309"/>
      <name val="Aptos"/>
      <family val="2"/>
    </font>
    <font>
      <sz val="10"/>
      <color theme="0"/>
      <name val="Aptos"/>
      <family val="2"/>
    </font>
    <font>
      <b/>
      <sz val="10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117A65"/>
        <bgColor rgb="FF008080"/>
      </patternFill>
    </fill>
    <fill>
      <patternFill patternType="solid">
        <fgColor rgb="FFEBF5FB"/>
        <bgColor rgb="FFF2F3F4"/>
      </patternFill>
    </fill>
    <fill>
      <patternFill patternType="solid">
        <fgColor rgb="FFEAFAF1"/>
        <bgColor rgb="FFEBF5FB"/>
      </patternFill>
    </fill>
    <fill>
      <patternFill patternType="solid">
        <fgColor rgb="FFFDFEFE"/>
        <bgColor rgb="FFFFFFFF"/>
      </patternFill>
    </fill>
    <fill>
      <patternFill patternType="solid">
        <fgColor theme="0"/>
        <bgColor rgb="FFF2F3F4"/>
      </patternFill>
    </fill>
    <fill>
      <patternFill patternType="solid">
        <fgColor theme="0"/>
        <bgColor rgb="FFFFFFFF"/>
      </patternFill>
    </fill>
    <fill>
      <patternFill patternType="solid">
        <fgColor rgb="FFEEF7FC"/>
        <bgColor rgb="FFF2F3F4"/>
      </patternFill>
    </fill>
    <fill>
      <patternFill patternType="solid">
        <fgColor rgb="FFEEF7FC"/>
        <bgColor indexed="64"/>
      </patternFill>
    </fill>
    <fill>
      <patternFill patternType="solid">
        <fgColor rgb="FFEEF7FC"/>
        <bgColor rgb="FFFFFFFF"/>
      </patternFill>
    </fill>
    <fill>
      <patternFill patternType="solid">
        <fgColor theme="0"/>
        <bgColor rgb="FF008080"/>
      </patternFill>
    </fill>
    <fill>
      <patternFill patternType="solid">
        <fgColor rgb="FFEEF7FC"/>
        <bgColor rgb="FF008080"/>
      </patternFill>
    </fill>
    <fill>
      <patternFill patternType="solid">
        <fgColor theme="0"/>
        <bgColor rgb="FFDDE3EA"/>
      </patternFill>
    </fill>
    <fill>
      <patternFill patternType="solid">
        <fgColor theme="0"/>
        <bgColor rgb="FFF8FAFC"/>
      </patternFill>
    </fill>
    <fill>
      <patternFill patternType="solid">
        <fgColor theme="0"/>
        <bgColor rgb="FFD6E8F7"/>
      </patternFill>
    </fill>
    <fill>
      <patternFill patternType="solid">
        <fgColor theme="0"/>
        <bgColor rgb="FFF0F4F8"/>
      </patternFill>
    </fill>
    <fill>
      <patternFill patternType="solid">
        <fgColor theme="0"/>
        <bgColor rgb="FFFEF3C7"/>
      </patternFill>
    </fill>
    <fill>
      <patternFill patternType="solid">
        <fgColor theme="0"/>
        <bgColor rgb="FFF5F8FB"/>
      </patternFill>
    </fill>
    <fill>
      <patternFill patternType="solid">
        <fgColor theme="0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</borders>
  <cellStyleXfs count="9">
    <xf numFmtId="0" fontId="0" fillId="0" borderId="0"/>
    <xf numFmtId="44" fontId="1" fillId="0" borderId="0"/>
    <xf numFmtId="0" fontId="2" fillId="3" borderId="0"/>
    <xf numFmtId="0" fontId="3" fillId="4" borderId="0"/>
    <xf numFmtId="0" fontId="4" fillId="5" borderId="0"/>
    <xf numFmtId="0" fontId="1" fillId="6" borderId="1"/>
    <xf numFmtId="0" fontId="5" fillId="0" borderId="0"/>
    <xf numFmtId="43" fontId="1" fillId="0" borderId="0"/>
    <xf numFmtId="0" fontId="20" fillId="0" borderId="0"/>
  </cellStyleXfs>
  <cellXfs count="177">
    <xf numFmtId="0" fontId="0" fillId="0" borderId="0" xfId="0"/>
    <xf numFmtId="0" fontId="7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14" fontId="7" fillId="12" borderId="2" xfId="0" applyNumberFormat="1" applyFont="1" applyFill="1" applyBorder="1" applyAlignment="1">
      <alignment horizontal="left" vertical="center"/>
    </xf>
    <xf numFmtId="2" fontId="7" fillId="12" borderId="2" xfId="0" applyNumberFormat="1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14" fontId="7" fillId="13" borderId="2" xfId="0" applyNumberFormat="1" applyFont="1" applyFill="1" applyBorder="1" applyAlignment="1">
      <alignment horizontal="left" vertical="center"/>
    </xf>
    <xf numFmtId="2" fontId="7" fillId="13" borderId="2" xfId="0" applyNumberFormat="1" applyFont="1" applyFill="1" applyBorder="1" applyAlignment="1">
      <alignment horizontal="left" vertical="center"/>
    </xf>
    <xf numFmtId="0" fontId="7" fillId="6" borderId="1" xfId="5" applyFont="1" applyAlignment="1">
      <alignment horizontal="left" vertical="center"/>
    </xf>
    <xf numFmtId="0" fontId="9" fillId="6" borderId="1" xfId="5" applyFont="1" applyAlignment="1">
      <alignment horizontal="left" vertical="center"/>
    </xf>
    <xf numFmtId="0" fontId="7" fillId="13" borderId="2" xfId="0" quotePrefix="1" applyFont="1" applyFill="1" applyBorder="1" applyAlignment="1">
      <alignment horizontal="left" vertical="center"/>
    </xf>
    <xf numFmtId="0" fontId="7" fillId="11" borderId="2" xfId="0" quotePrefix="1" applyFont="1" applyFill="1" applyBorder="1" applyAlignment="1">
      <alignment horizontal="left" vertical="center"/>
    </xf>
    <xf numFmtId="3" fontId="7" fillId="11" borderId="2" xfId="0" applyNumberFormat="1" applyFont="1" applyFill="1" applyBorder="1" applyAlignment="1">
      <alignment horizontal="left" vertical="center"/>
    </xf>
    <xf numFmtId="49" fontId="7" fillId="13" borderId="2" xfId="0" applyNumberFormat="1" applyFont="1" applyFill="1" applyBorder="1" applyAlignment="1">
      <alignment horizontal="left" vertical="center"/>
    </xf>
    <xf numFmtId="49" fontId="7" fillId="11" borderId="2" xfId="0" applyNumberFormat="1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2" fillId="6" borderId="1" xfId="5" applyFont="1" applyAlignment="1">
      <alignment horizontal="left" vertical="center"/>
    </xf>
    <xf numFmtId="1" fontId="7" fillId="12" borderId="2" xfId="7" applyNumberFormat="1" applyFont="1" applyFill="1" applyBorder="1" applyAlignment="1">
      <alignment horizontal="left" vertical="center"/>
    </xf>
    <xf numFmtId="1" fontId="7" fillId="13" borderId="2" xfId="7" applyNumberFormat="1" applyFont="1" applyFill="1" applyBorder="1" applyAlignment="1">
      <alignment horizontal="left" vertical="center"/>
    </xf>
    <xf numFmtId="1" fontId="7" fillId="13" borderId="2" xfId="0" applyNumberFormat="1" applyFont="1" applyFill="1" applyBorder="1" applyAlignment="1">
      <alignment horizontal="left" vertical="center"/>
    </xf>
    <xf numFmtId="1" fontId="7" fillId="1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14" fontId="7" fillId="2" borderId="2" xfId="0" applyNumberFormat="1" applyFont="1" applyFill="1" applyBorder="1" applyAlignment="1">
      <alignment horizontal="left" vertical="center"/>
    </xf>
    <xf numFmtId="1" fontId="7" fillId="2" borderId="2" xfId="7" applyNumberFormat="1" applyFont="1" applyFill="1" applyBorder="1" applyAlignment="1">
      <alignment horizontal="left" vertical="center"/>
    </xf>
    <xf numFmtId="2" fontId="7" fillId="2" borderId="2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left" vertical="center"/>
    </xf>
    <xf numFmtId="49" fontId="7" fillId="14" borderId="2" xfId="0" applyNumberFormat="1" applyFont="1" applyFill="1" applyBorder="1" applyAlignment="1">
      <alignment horizontal="left" vertical="center"/>
    </xf>
    <xf numFmtId="2" fontId="7" fillId="14" borderId="2" xfId="0" applyNumberFormat="1" applyFont="1" applyFill="1" applyBorder="1" applyAlignment="1">
      <alignment horizontal="left" vertical="center"/>
    </xf>
    <xf numFmtId="1" fontId="7" fillId="14" borderId="2" xfId="0" applyNumberFormat="1" applyFont="1" applyFill="1" applyBorder="1" applyAlignment="1">
      <alignment horizontal="left" vertical="center"/>
    </xf>
    <xf numFmtId="14" fontId="7" fillId="14" borderId="2" xfId="0" applyNumberFormat="1" applyFont="1" applyFill="1" applyBorder="1" applyAlignment="1">
      <alignment horizontal="left" vertical="center"/>
    </xf>
    <xf numFmtId="1" fontId="7" fillId="2" borderId="2" xfId="0" applyNumberFormat="1" applyFont="1" applyFill="1" applyBorder="1" applyAlignment="1">
      <alignment horizontal="left" vertical="center"/>
    </xf>
    <xf numFmtId="1" fontId="7" fillId="14" borderId="2" xfId="7" applyNumberFormat="1" applyFont="1" applyFill="1" applyBorder="1" applyAlignment="1">
      <alignment horizontal="left" vertical="center"/>
    </xf>
    <xf numFmtId="3" fontId="7" fillId="8" borderId="2" xfId="0" applyNumberFormat="1" applyFont="1" applyFill="1" applyBorder="1" applyAlignment="1">
      <alignment horizontal="left" vertical="center"/>
    </xf>
    <xf numFmtId="14" fontId="7" fillId="8" borderId="2" xfId="0" applyNumberFormat="1" applyFont="1" applyFill="1" applyBorder="1" applyAlignment="1">
      <alignment horizontal="left" vertical="center"/>
    </xf>
    <xf numFmtId="14" fontId="7" fillId="10" borderId="2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4" fillId="6" borderId="1" xfId="5" applyFont="1" applyAlignment="1">
      <alignment horizontal="left" vertical="center"/>
    </xf>
    <xf numFmtId="0" fontId="15" fillId="3" borderId="2" xfId="2" applyFont="1" applyBorder="1" applyAlignment="1">
      <alignment horizontal="left" vertical="center"/>
    </xf>
    <xf numFmtId="0" fontId="16" fillId="4" borderId="2" xfId="3" applyFont="1" applyBorder="1" applyAlignment="1">
      <alignment horizontal="left" vertical="center"/>
    </xf>
    <xf numFmtId="0" fontId="14" fillId="5" borderId="1" xfId="4" applyFont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7" fillId="8" borderId="2" xfId="6" applyFont="1" applyFill="1" applyBorder="1" applyAlignment="1">
      <alignment horizontal="left" vertical="center"/>
    </xf>
    <xf numFmtId="0" fontId="7" fillId="10" borderId="2" xfId="6" applyFont="1" applyFill="1" applyBorder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18" fillId="13" borderId="2" xfId="6" applyFont="1" applyFill="1" applyBorder="1" applyAlignment="1">
      <alignment horizontal="left" vertical="center"/>
    </xf>
    <xf numFmtId="0" fontId="18" fillId="12" borderId="2" xfId="6" applyFont="1" applyFill="1" applyBorder="1" applyAlignment="1">
      <alignment horizontal="left" vertical="center"/>
    </xf>
    <xf numFmtId="0" fontId="18" fillId="15" borderId="2" xfId="6" applyFont="1" applyFill="1" applyBorder="1" applyAlignment="1">
      <alignment horizontal="left" vertical="center"/>
    </xf>
    <xf numFmtId="0" fontId="18" fillId="14" borderId="2" xfId="6" applyFont="1" applyFill="1" applyBorder="1" applyAlignment="1">
      <alignment horizontal="left" vertical="center"/>
    </xf>
    <xf numFmtId="0" fontId="18" fillId="2" borderId="2" xfId="6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9" fillId="2" borderId="0" xfId="7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17" fontId="9" fillId="14" borderId="4" xfId="0" applyNumberFormat="1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left" vertical="center"/>
    </xf>
    <xf numFmtId="14" fontId="9" fillId="14" borderId="4" xfId="0" applyNumberFormat="1" applyFont="1" applyFill="1" applyBorder="1" applyAlignment="1">
      <alignment horizontal="left" vertical="center"/>
    </xf>
    <xf numFmtId="17" fontId="9" fillId="2" borderId="4" xfId="0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14" fontId="9" fillId="2" borderId="4" xfId="0" applyNumberFormat="1" applyFont="1" applyFill="1" applyBorder="1" applyAlignment="1">
      <alignment horizontal="left" vertical="center"/>
    </xf>
    <xf numFmtId="0" fontId="16" fillId="4" borderId="4" xfId="3" applyFont="1" applyBorder="1" applyAlignment="1">
      <alignment horizontal="left" vertical="center"/>
    </xf>
    <xf numFmtId="0" fontId="13" fillId="14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17" fontId="13" fillId="14" borderId="4" xfId="0" applyNumberFormat="1" applyFont="1" applyFill="1" applyBorder="1" applyAlignment="1">
      <alignment horizontal="left" vertical="center"/>
    </xf>
    <xf numFmtId="17" fontId="13" fillId="2" borderId="4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14" fontId="7" fillId="11" borderId="4" xfId="0" applyNumberFormat="1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14" fontId="7" fillId="15" borderId="4" xfId="0" applyNumberFormat="1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15" fillId="3" borderId="4" xfId="2" applyFont="1" applyBorder="1" applyAlignment="1">
      <alignment horizontal="left" vertical="center"/>
    </xf>
    <xf numFmtId="0" fontId="5" fillId="0" borderId="0" xfId="6"/>
    <xf numFmtId="0" fontId="5" fillId="14" borderId="0" xfId="6" applyFill="1"/>
    <xf numFmtId="1" fontId="7" fillId="13" borderId="4" xfId="0" applyNumberFormat="1" applyFont="1" applyFill="1" applyBorder="1" applyAlignment="1">
      <alignment horizontal="left" vertical="center"/>
    </xf>
    <xf numFmtId="1" fontId="7" fillId="11" borderId="4" xfId="0" applyNumberFormat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14" fontId="9" fillId="2" borderId="6" xfId="0" applyNumberFormat="1" applyFont="1" applyFill="1" applyBorder="1" applyAlignment="1">
      <alignment horizontal="left" vertical="center"/>
    </xf>
    <xf numFmtId="0" fontId="13" fillId="16" borderId="5" xfId="0" applyFont="1" applyFill="1" applyBorder="1" applyAlignment="1">
      <alignment horizontal="left" vertical="center"/>
    </xf>
    <xf numFmtId="0" fontId="13" fillId="17" borderId="5" xfId="0" applyFont="1" applyFill="1" applyBorder="1" applyAlignment="1">
      <alignment horizontal="left" vertical="center"/>
    </xf>
    <xf numFmtId="0" fontId="9" fillId="14" borderId="6" xfId="0" applyFont="1" applyFill="1" applyBorder="1" applyAlignment="1">
      <alignment horizontal="left" vertical="center"/>
    </xf>
    <xf numFmtId="14" fontId="9" fillId="14" borderId="6" xfId="0" applyNumberFormat="1" applyFont="1" applyFill="1" applyBorder="1" applyAlignment="1">
      <alignment horizontal="left" vertical="center"/>
    </xf>
    <xf numFmtId="0" fontId="14" fillId="5" borderId="4" xfId="4" applyFont="1" applyBorder="1" applyAlignment="1">
      <alignment horizontal="left" vertical="center"/>
    </xf>
    <xf numFmtId="0" fontId="9" fillId="2" borderId="0" xfId="0" applyFont="1" applyFill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/>
    </xf>
    <xf numFmtId="0" fontId="13" fillId="14" borderId="2" xfId="0" applyFont="1" applyFill="1" applyBorder="1" applyAlignment="1">
      <alignment horizontal="left" vertical="center"/>
    </xf>
    <xf numFmtId="0" fontId="13" fillId="14" borderId="2" xfId="0" quotePrefix="1" applyFont="1" applyFill="1" applyBorder="1" applyAlignment="1">
      <alignment horizontal="left" vertical="center"/>
    </xf>
    <xf numFmtId="14" fontId="13" fillId="14" borderId="2" xfId="0" quotePrefix="1" applyNumberFormat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 vertical="center"/>
    </xf>
    <xf numFmtId="0" fontId="13" fillId="2" borderId="2" xfId="0" quotePrefix="1" applyFont="1" applyFill="1" applyBorder="1" applyAlignment="1">
      <alignment horizontal="left" vertical="center"/>
    </xf>
    <xf numFmtId="14" fontId="13" fillId="2" borderId="2" xfId="0" applyNumberFormat="1" applyFont="1" applyFill="1" applyBorder="1" applyAlignment="1">
      <alignment horizontal="left" vertical="center"/>
    </xf>
    <xf numFmtId="14" fontId="13" fillId="14" borderId="2" xfId="0" applyNumberFormat="1" applyFont="1" applyFill="1" applyBorder="1" applyAlignment="1">
      <alignment horizontal="left" vertical="center"/>
    </xf>
    <xf numFmtId="14" fontId="13" fillId="2" borderId="2" xfId="0" quotePrefix="1" applyNumberFormat="1" applyFont="1" applyFill="1" applyBorder="1" applyAlignment="1">
      <alignment horizontal="left" vertical="center"/>
    </xf>
    <xf numFmtId="14" fontId="13" fillId="2" borderId="2" xfId="1" applyNumberFormat="1" applyFont="1" applyFill="1" applyBorder="1" applyAlignment="1">
      <alignment horizontal="left" vertical="center"/>
    </xf>
    <xf numFmtId="14" fontId="13" fillId="14" borderId="2" xfId="1" applyNumberFormat="1" applyFont="1" applyFill="1" applyBorder="1" applyAlignment="1">
      <alignment horizontal="left" vertical="center"/>
    </xf>
    <xf numFmtId="2" fontId="13" fillId="14" borderId="2" xfId="1" applyNumberFormat="1" applyFont="1" applyFill="1" applyBorder="1" applyAlignment="1">
      <alignment horizontal="left" vertical="center"/>
    </xf>
    <xf numFmtId="2" fontId="13" fillId="2" borderId="2" xfId="1" applyNumberFormat="1" applyFont="1" applyFill="1" applyBorder="1" applyAlignment="1">
      <alignment horizontal="left" vertical="center"/>
    </xf>
    <xf numFmtId="2" fontId="9" fillId="2" borderId="0" xfId="0" applyNumberFormat="1" applyFont="1" applyFill="1" applyAlignment="1">
      <alignment horizontal="left"/>
    </xf>
    <xf numFmtId="0" fontId="21" fillId="14" borderId="2" xfId="6" applyFont="1" applyFill="1" applyBorder="1" applyAlignment="1">
      <alignment horizontal="left"/>
    </xf>
    <xf numFmtId="0" fontId="21" fillId="0" borderId="2" xfId="6" applyFont="1" applyBorder="1" applyAlignment="1">
      <alignment horizontal="left"/>
    </xf>
    <xf numFmtId="0" fontId="21" fillId="2" borderId="2" xfId="6" applyFont="1" applyFill="1" applyBorder="1" applyAlignment="1">
      <alignment horizontal="left"/>
    </xf>
    <xf numFmtId="0" fontId="13" fillId="14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22" fillId="2" borderId="0" xfId="0" applyFont="1" applyFill="1" applyAlignment="1">
      <alignment horizontal="left" vertical="center"/>
    </xf>
    <xf numFmtId="0" fontId="11" fillId="9" borderId="4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4" xfId="0" applyFont="1" applyFill="1" applyBorder="1" applyAlignment="1">
      <alignment horizontal="left" vertical="center"/>
    </xf>
    <xf numFmtId="0" fontId="25" fillId="18" borderId="4" xfId="0" applyFont="1" applyFill="1" applyBorder="1" applyAlignment="1">
      <alignment horizontal="left" vertical="center"/>
    </xf>
    <xf numFmtId="0" fontId="25" fillId="19" borderId="4" xfId="0" applyFont="1" applyFill="1" applyBorder="1" applyAlignment="1">
      <alignment horizontal="left" vertical="center"/>
    </xf>
    <xf numFmtId="0" fontId="27" fillId="3" borderId="4" xfId="2" applyFont="1" applyBorder="1" applyAlignment="1">
      <alignment horizontal="left" vertical="center"/>
    </xf>
    <xf numFmtId="0" fontId="28" fillId="4" borderId="4" xfId="3" applyFont="1" applyBorder="1" applyAlignment="1">
      <alignment horizontal="left" vertical="center"/>
    </xf>
    <xf numFmtId="0" fontId="26" fillId="21" borderId="4" xfId="0" applyFont="1" applyFill="1" applyBorder="1" applyAlignment="1">
      <alignment horizontal="left" vertical="center"/>
    </xf>
    <xf numFmtId="0" fontId="25" fillId="19" borderId="4" xfId="0" applyFont="1" applyFill="1" applyBorder="1" applyAlignment="1">
      <alignment horizontal="left" vertical="center" wrapText="1"/>
    </xf>
    <xf numFmtId="3" fontId="25" fillId="19" borderId="4" xfId="0" applyNumberFormat="1" applyFont="1" applyFill="1" applyBorder="1" applyAlignment="1">
      <alignment horizontal="left" vertical="center"/>
    </xf>
    <xf numFmtId="0" fontId="29" fillId="23" borderId="4" xfId="0" applyFont="1" applyFill="1" applyBorder="1" applyAlignment="1">
      <alignment horizontal="left" vertical="center"/>
    </xf>
    <xf numFmtId="0" fontId="26" fillId="23" borderId="4" xfId="0" applyFont="1" applyFill="1" applyBorder="1" applyAlignment="1">
      <alignment horizontal="left" vertical="center"/>
    </xf>
    <xf numFmtId="0" fontId="30" fillId="23" borderId="4" xfId="0" applyFont="1" applyFill="1" applyBorder="1" applyAlignment="1">
      <alignment horizontal="left" vertical="center"/>
    </xf>
    <xf numFmtId="14" fontId="29" fillId="20" borderId="4" xfId="0" applyNumberFormat="1" applyFont="1" applyFill="1" applyBorder="1" applyAlignment="1">
      <alignment horizontal="left" vertical="center"/>
    </xf>
    <xf numFmtId="0" fontId="24" fillId="23" borderId="4" xfId="0" applyFont="1" applyFill="1" applyBorder="1" applyAlignment="1">
      <alignment horizontal="left" vertical="center"/>
    </xf>
    <xf numFmtId="0" fontId="25" fillId="22" borderId="4" xfId="0" applyFont="1" applyFill="1" applyBorder="1" applyAlignment="1">
      <alignment horizontal="left" vertical="center"/>
    </xf>
    <xf numFmtId="0" fontId="30" fillId="21" borderId="4" xfId="0" applyFont="1" applyFill="1" applyBorder="1" applyAlignment="1">
      <alignment horizontal="left" vertical="center"/>
    </xf>
    <xf numFmtId="3" fontId="31" fillId="20" borderId="4" xfId="0" applyNumberFormat="1" applyFont="1" applyFill="1" applyBorder="1" applyAlignment="1">
      <alignment horizontal="left" vertical="center"/>
    </xf>
    <xf numFmtId="0" fontId="32" fillId="21" borderId="4" xfId="0" applyFont="1" applyFill="1" applyBorder="1" applyAlignment="1">
      <alignment horizontal="left" vertical="center"/>
    </xf>
    <xf numFmtId="0" fontId="33" fillId="21" borderId="4" xfId="0" applyFont="1" applyFill="1" applyBorder="1" applyAlignment="1">
      <alignment horizontal="left" vertical="center"/>
    </xf>
    <xf numFmtId="3" fontId="25" fillId="22" borderId="4" xfId="0" applyNumberFormat="1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left" vertical="center"/>
    </xf>
    <xf numFmtId="3" fontId="24" fillId="2" borderId="4" xfId="0" applyNumberFormat="1" applyFont="1" applyFill="1" applyBorder="1" applyAlignment="1">
      <alignment horizontal="left" vertical="center"/>
    </xf>
    <xf numFmtId="0" fontId="25" fillId="24" borderId="4" xfId="5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4" fillId="7" borderId="4" xfId="0" applyFont="1" applyFill="1" applyBorder="1" applyAlignment="1">
      <alignment horizontal="left" vertical="center"/>
    </xf>
    <xf numFmtId="0" fontId="27" fillId="2" borderId="4" xfId="2" applyFont="1" applyFill="1" applyBorder="1" applyAlignment="1">
      <alignment horizontal="left" vertical="center"/>
    </xf>
    <xf numFmtId="0" fontId="28" fillId="2" borderId="4" xfId="3" applyFont="1" applyFill="1" applyBorder="1" applyAlignment="1">
      <alignment horizontal="left" vertical="center"/>
    </xf>
    <xf numFmtId="0" fontId="25" fillId="6" borderId="1" xfId="5" applyFont="1" applyAlignment="1">
      <alignment horizontal="left" vertical="center"/>
    </xf>
    <xf numFmtId="0" fontId="24" fillId="6" borderId="1" xfId="5" applyFont="1" applyAlignment="1">
      <alignment horizontal="left" vertical="center"/>
    </xf>
    <xf numFmtId="14" fontId="25" fillId="6" borderId="1" xfId="5" applyNumberFormat="1" applyFont="1" applyAlignment="1">
      <alignment horizontal="left" vertical="center"/>
    </xf>
    <xf numFmtId="0" fontId="35" fillId="19" borderId="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14" fontId="24" fillId="2" borderId="4" xfId="0" applyNumberFormat="1" applyFont="1" applyFill="1" applyBorder="1" applyAlignment="1">
      <alignment horizontal="left" vertical="center"/>
    </xf>
    <xf numFmtId="44" fontId="9" fillId="2" borderId="0" xfId="1" applyFont="1" applyFill="1" applyAlignment="1">
      <alignment horizontal="left" vertical="center"/>
    </xf>
    <xf numFmtId="44" fontId="7" fillId="13" borderId="2" xfId="0" applyNumberFormat="1" applyFont="1" applyFill="1" applyBorder="1" applyAlignment="1">
      <alignment horizontal="left" vertical="center"/>
    </xf>
    <xf numFmtId="44" fontId="7" fillId="11" borderId="2" xfId="0" applyNumberFormat="1" applyFont="1" applyFill="1" applyBorder="1" applyAlignment="1">
      <alignment horizontal="left" vertical="center"/>
    </xf>
    <xf numFmtId="44" fontId="7" fillId="13" borderId="2" xfId="1" applyFont="1" applyFill="1" applyBorder="1" applyAlignment="1">
      <alignment horizontal="left" vertical="center"/>
    </xf>
    <xf numFmtId="44" fontId="7" fillId="12" borderId="2" xfId="1" applyFont="1" applyFill="1" applyBorder="1" applyAlignment="1">
      <alignment horizontal="left" vertical="center"/>
    </xf>
    <xf numFmtId="44" fontId="7" fillId="14" borderId="2" xfId="1" applyFont="1" applyFill="1" applyBorder="1" applyAlignment="1">
      <alignment horizontal="left" vertical="center"/>
    </xf>
    <xf numFmtId="44" fontId="7" fillId="2" borderId="2" xfId="1" applyFont="1" applyFill="1" applyBorder="1" applyAlignment="1">
      <alignment horizontal="left" vertical="center"/>
    </xf>
    <xf numFmtId="44" fontId="9" fillId="14" borderId="4" xfId="1" applyFont="1" applyFill="1" applyBorder="1" applyAlignment="1">
      <alignment horizontal="left" vertical="center"/>
    </xf>
    <xf numFmtId="44" fontId="9" fillId="2" borderId="4" xfId="1" applyFont="1" applyFill="1" applyBorder="1" applyAlignment="1">
      <alignment horizontal="left" vertical="center"/>
    </xf>
    <xf numFmtId="44" fontId="13" fillId="2" borderId="4" xfId="1" applyFont="1" applyFill="1" applyBorder="1" applyAlignment="1">
      <alignment horizontal="left" vertical="center"/>
    </xf>
    <xf numFmtId="44" fontId="13" fillId="14" borderId="4" xfId="1" applyFont="1" applyFill="1" applyBorder="1" applyAlignment="1">
      <alignment horizontal="left" vertical="center"/>
    </xf>
    <xf numFmtId="164" fontId="7" fillId="15" borderId="4" xfId="0" applyNumberFormat="1" applyFont="1" applyFill="1" applyBorder="1" applyAlignment="1">
      <alignment horizontal="left" vertical="center"/>
    </xf>
    <xf numFmtId="164" fontId="7" fillId="11" borderId="4" xfId="0" applyNumberFormat="1" applyFont="1" applyFill="1" applyBorder="1" applyAlignment="1">
      <alignment horizontal="left" vertical="center"/>
    </xf>
    <xf numFmtId="44" fontId="9" fillId="14" borderId="6" xfId="1" applyFont="1" applyFill="1" applyBorder="1" applyAlignment="1">
      <alignment horizontal="left" vertical="center"/>
    </xf>
    <xf numFmtId="44" fontId="9" fillId="2" borderId="6" xfId="1" applyFont="1" applyFill="1" applyBorder="1" applyAlignment="1">
      <alignment horizontal="left" vertical="center"/>
    </xf>
    <xf numFmtId="44" fontId="9" fillId="14" borderId="0" xfId="1" applyFont="1" applyFill="1" applyAlignment="1">
      <alignment horizontal="left" vertical="center"/>
    </xf>
    <xf numFmtId="44" fontId="24" fillId="6" borderId="1" xfId="5" applyNumberFormat="1" applyFont="1" applyAlignment="1">
      <alignment horizontal="left" vertical="center"/>
    </xf>
    <xf numFmtId="164" fontId="25" fillId="18" borderId="4" xfId="0" applyNumberFormat="1" applyFont="1" applyFill="1" applyBorder="1" applyAlignment="1">
      <alignment horizontal="left" vertical="center"/>
    </xf>
    <xf numFmtId="44" fontId="25" fillId="6" borderId="1" xfId="5" applyNumberFormat="1" applyFont="1" applyAlignment="1">
      <alignment horizontal="left" vertical="center"/>
    </xf>
    <xf numFmtId="44" fontId="13" fillId="14" borderId="2" xfId="1" applyFont="1" applyFill="1" applyBorder="1" applyAlignment="1">
      <alignment horizontal="left" vertical="center"/>
    </xf>
    <xf numFmtId="44" fontId="9" fillId="6" borderId="1" xfId="5" applyNumberFormat="1" applyFont="1" applyAlignment="1">
      <alignment horizontal="left" vertical="center"/>
    </xf>
    <xf numFmtId="44" fontId="15" fillId="3" borderId="2" xfId="2" applyNumberFormat="1" applyFont="1" applyBorder="1" applyAlignment="1">
      <alignment horizontal="left" vertical="center"/>
    </xf>
    <xf numFmtId="44" fontId="13" fillId="2" borderId="2" xfId="1" applyFont="1" applyFill="1" applyBorder="1" applyAlignment="1">
      <alignment horizontal="left" vertical="center"/>
    </xf>
    <xf numFmtId="44" fontId="13" fillId="6" borderId="1" xfId="5" applyNumberFormat="1" applyFont="1" applyAlignment="1">
      <alignment horizontal="left" vertical="center"/>
    </xf>
    <xf numFmtId="44" fontId="16" fillId="6" borderId="2" xfId="5" applyNumberFormat="1" applyFont="1" applyBorder="1" applyAlignment="1">
      <alignment horizontal="left" vertical="center"/>
    </xf>
    <xf numFmtId="44" fontId="16" fillId="4" borderId="2" xfId="3" applyNumberFormat="1" applyFont="1" applyBorder="1" applyAlignment="1">
      <alignment horizontal="left" vertical="center"/>
    </xf>
    <xf numFmtId="44" fontId="14" fillId="6" borderId="2" xfId="5" applyNumberFormat="1" applyFont="1" applyBorder="1" applyAlignment="1">
      <alignment horizontal="left" vertical="center"/>
    </xf>
    <xf numFmtId="44" fontId="9" fillId="2" borderId="0" xfId="0" applyNumberFormat="1" applyFont="1" applyFill="1" applyAlignment="1">
      <alignment horizontal="left"/>
    </xf>
  </cellXfs>
  <cellStyles count="9">
    <cellStyle name="Bom" xfId="2" builtinId="26"/>
    <cellStyle name="Hiperlink" xfId="6" builtinId="8"/>
    <cellStyle name="Moeda" xfId="1" builtinId="4"/>
    <cellStyle name="Neutro" xfId="4" builtinId="28"/>
    <cellStyle name="Normal" xfId="0" builtinId="0"/>
    <cellStyle name="Normal 2" xfId="8" xr:uid="{00000000-0005-0000-0000-000008000000}"/>
    <cellStyle name="Nota" xfId="5" builtinId="10"/>
    <cellStyle name="Ruim" xfId="3" builtinId="27"/>
    <cellStyle name="Vírgula" xfId="7" builtinId="3"/>
  </cellStyles>
  <dxfs count="12">
    <dxf>
      <font>
        <b/>
        <color theme="8" tint="-0.24994659260841701"/>
      </font>
    </dxf>
    <dxf>
      <font>
        <b/>
        <color theme="7" tint="-0.499984740745262"/>
      </font>
    </dxf>
    <dxf>
      <font>
        <b/>
        <color theme="5" tint="-0.24994659260841701"/>
      </font>
    </dxf>
    <dxf>
      <font>
        <color theme="4"/>
      </font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6"/>
      </font>
      <fill>
        <patternFill>
          <bgColor theme="6" tint="0.79998168889431442"/>
        </patternFill>
      </fill>
    </dxf>
    <dxf>
      <font>
        <color theme="5" tint="-0.24994659260841701"/>
      </font>
      <fill>
        <patternFill>
          <bgColor rgb="FFF7F78D"/>
        </patternFill>
      </fill>
    </dxf>
    <dxf>
      <font>
        <color rgb="FFC00000"/>
      </font>
      <fill>
        <patternFill>
          <bgColor rgb="FFFF9999"/>
        </patternFill>
      </fill>
    </dxf>
    <dxf>
      <font>
        <b/>
        <color theme="4"/>
      </font>
    </dxf>
    <dxf>
      <font>
        <b/>
        <color rgb="FF2B9D7F"/>
      </font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istrativo@landkraft.com.br" TargetMode="External"/><Relationship Id="rId2" Type="http://schemas.openxmlformats.org/officeDocument/2006/relationships/hyperlink" Target="mailto:finitaempreendimentos@gmail.com" TargetMode="External"/><Relationship Id="rId1" Type="http://schemas.openxmlformats.org/officeDocument/2006/relationships/hyperlink" Target="mailto:administrativo@tkjgerenciamento.com.br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b:/s/REDE2/IQAayBdoruDnRJbTXZW2mqBbAUsP3vXUpZDitUPwaZYZSOw?e=TpyfK3" TargetMode="External"/><Relationship Id="rId18" Type="http://schemas.openxmlformats.org/officeDocument/2006/relationships/hyperlink" Target="../../../../../../:b:/s/REDE2/IQD2DqYB6pgWT730pNShDbiOAQXYzR74MQLSps7yZwnvdrA?e=lqvLoL" TargetMode="External"/><Relationship Id="rId26" Type="http://schemas.openxmlformats.org/officeDocument/2006/relationships/hyperlink" Target="../../../../../../:b:/s/REDE2/IQA1s36eLaGbQJ8AMo3DJ6KOAZ8aHMNeyjKltRZx1lPBnMY?e=XK1nhd" TargetMode="External"/><Relationship Id="rId3" Type="http://schemas.openxmlformats.org/officeDocument/2006/relationships/hyperlink" Target="../../../../../../:b:/s/REDE2/IQBW2AHAK9DQQIjwr_-GuguKAT1hcvLMcwVsM6-6oJHbsE0?e=ZNoAPs" TargetMode="External"/><Relationship Id="rId21" Type="http://schemas.openxmlformats.org/officeDocument/2006/relationships/hyperlink" Target="../../../../../../:b:/s/REDE2/IQCvLS9eMW8dS7TbX-QcJgK2AZS-xlLONJ1OzYztOf21hKs?e=qDPagJ" TargetMode="External"/><Relationship Id="rId7" Type="http://schemas.openxmlformats.org/officeDocument/2006/relationships/hyperlink" Target="../../../../../../:b:/s/REDE2/IQBbFmsH7Y-cSY9ZAs-tj0mqAfwynEe4Cu8D8oS1HxW_Q7Q?e=PXXqot" TargetMode="External"/><Relationship Id="rId12" Type="http://schemas.openxmlformats.org/officeDocument/2006/relationships/hyperlink" Target="../../../../../../:b:/s/REDE2/IQCWY2mRzYvNRarhGyJqpHzuAZ-QvgBI_avNUjpsUGUp5oc?e=VYgomG" TargetMode="External"/><Relationship Id="rId17" Type="http://schemas.openxmlformats.org/officeDocument/2006/relationships/hyperlink" Target="../../../../../../:b:/s/REDE2/IQAr33YYbT6_Sa8q7wOdLs1YASgHPWykPAj1BmZ0BKXS-1k?e=b5NTFB" TargetMode="External"/><Relationship Id="rId25" Type="http://schemas.openxmlformats.org/officeDocument/2006/relationships/hyperlink" Target="../../../../../../:b:/s/REDE2/IQD5kBKcXmMLTZ-S3VZ7eAyRAaJ47EE2Wfp4Yk5axEgdmbw?e=gWUM8j" TargetMode="External"/><Relationship Id="rId33" Type="http://schemas.openxmlformats.org/officeDocument/2006/relationships/hyperlink" Target="../../../../../../:b:/s/REDE2/IQBYRC__US3nTpUymE3P9CWhAd1mSqpBgEO8PT1OEiaGZvg?e=6p9tXg" TargetMode="External"/><Relationship Id="rId2" Type="http://schemas.openxmlformats.org/officeDocument/2006/relationships/hyperlink" Target="../../../../../../:b:/s/REDE2/IQBV1Tgoq-i6TbFOUgX2pW09AeGNIectu8XKr-C4U8ypzqI?e=NigWUD" TargetMode="External"/><Relationship Id="rId16" Type="http://schemas.openxmlformats.org/officeDocument/2006/relationships/hyperlink" Target="../../../../../../:b:/s/REDE2/IQBBe_nRyKeJS6FQZvU1lWiAAQDZlK7P7Yku9Q-veN0WgtQ?e=wzKal8" TargetMode="External"/><Relationship Id="rId20" Type="http://schemas.openxmlformats.org/officeDocument/2006/relationships/hyperlink" Target="../../../../../../:b:/s/REDE2/IQCJ57E2qan-QZK5OB73Z8uMAWP4quMBMYOIiHk03yFGwoo?e=YFNKBj" TargetMode="External"/><Relationship Id="rId29" Type="http://schemas.openxmlformats.org/officeDocument/2006/relationships/hyperlink" Target="../../../../../../:b:/s/REDE2/IQBlPRI8nPI2R5UArr-zp034AeZ-PczysSAwlXtdi2NvZhA?e=mBXOuZ" TargetMode="External"/><Relationship Id="rId1" Type="http://schemas.openxmlformats.org/officeDocument/2006/relationships/hyperlink" Target="../../../../../../:b:/s/REDE2/IQApjW3LPNBbTrl8LXYCvM9BARkL_VSSnOZjC1TZLg_BoLw?e=wZN6r8" TargetMode="External"/><Relationship Id="rId6" Type="http://schemas.openxmlformats.org/officeDocument/2006/relationships/hyperlink" Target="../../../../../../:b:/s/REDE2/IQCtx1qMqr3YR6_z_jvpo6uSAaiwb1zWxqOhDgRhqojSONw?e=leJ8BQ" TargetMode="External"/><Relationship Id="rId11" Type="http://schemas.openxmlformats.org/officeDocument/2006/relationships/hyperlink" Target="../../../../../../:b:/s/REDE2/IQAww3mRUnL5QJV2chuirBhpAcn_yjT9gdlaO0u4lS23krE?e=iTa8Ac" TargetMode="External"/><Relationship Id="rId24" Type="http://schemas.openxmlformats.org/officeDocument/2006/relationships/hyperlink" Target="../../../../../../:b:/s/REDE2/IQDJsGjxmpf9SbcAhN5ogMDyAVtsU1Z2iVxCSSJOL--IHRA?e=fS0Nl9" TargetMode="External"/><Relationship Id="rId32" Type="http://schemas.openxmlformats.org/officeDocument/2006/relationships/hyperlink" Target="../../../../../../:b:/s/REDE2/IQBHkQYfJkUiR4cuzdC7cQSZAf5h-2zvw1h6gnIX-lPzRDw?e=4s9j2Z" TargetMode="External"/><Relationship Id="rId5" Type="http://schemas.openxmlformats.org/officeDocument/2006/relationships/hyperlink" Target="../../../../../../:b:/s/REDE2/IQCtx1qMqr3YR6_z_jvpo6uSAaiwb1zWxqOhDgRhqojSONw?e=leJ8BQ" TargetMode="External"/><Relationship Id="rId15" Type="http://schemas.openxmlformats.org/officeDocument/2006/relationships/hyperlink" Target="../../../../../../:b:/s/REDE2/IQArCx9Je28HSYWk9TxbfxZBAUbPa9sKGKWCeOkouslX0pk?e=as68hL" TargetMode="External"/><Relationship Id="rId23" Type="http://schemas.openxmlformats.org/officeDocument/2006/relationships/hyperlink" Target="../../../../../../:b:/s/REDE2/IQCNgoKfLm2oRreXv0zjLxteAf9dAUe_jVWLTVXQ_46INQg?e=iXftse" TargetMode="External"/><Relationship Id="rId28" Type="http://schemas.openxmlformats.org/officeDocument/2006/relationships/hyperlink" Target="../../../../../../:b:/s/REDE2/IQCo5YTbGMBuSpC0wWGKeP-bASenVCgVCS4DfViu36VWDaM?e=pAodyH" TargetMode="External"/><Relationship Id="rId10" Type="http://schemas.openxmlformats.org/officeDocument/2006/relationships/hyperlink" Target="../../../../../../:b:/s/REDE2/IQCI4mduATVxR5T4PXPy38SpAfspslgu4zRrBr4VZShvmks?e=dqj0gS" TargetMode="External"/><Relationship Id="rId19" Type="http://schemas.openxmlformats.org/officeDocument/2006/relationships/hyperlink" Target="../../../../../../:b:/s/REDE2/IQD0dEYbnAOySbUPObTQIANaAX6c7hXQ3Ixw4MM0ER3NZFA?e=GBrwMN" TargetMode="External"/><Relationship Id="rId31" Type="http://schemas.openxmlformats.org/officeDocument/2006/relationships/hyperlink" Target="../../../../../../:b:/s/REDE2/IQC5dubiYHTJQpLQy8RrzAADAU00NbiUIg1uUr26ik6aV1U?e=Q8XiQG" TargetMode="External"/><Relationship Id="rId4" Type="http://schemas.openxmlformats.org/officeDocument/2006/relationships/hyperlink" Target="../../../../../../:b:/s/REDE2/IQCuGiHGt9GETpqDu7swSl9kAQjFL2MXKf7GTmBLc9WLuJc?e=AezmTO" TargetMode="External"/><Relationship Id="rId9" Type="http://schemas.openxmlformats.org/officeDocument/2006/relationships/hyperlink" Target="../../../../../../:b:/s/REDE2/IQDKeaNq1ZH8Q77jcA_hEVNnAQ-RTufc6ou9xHaSW3yAAW8?e=0nswPE" TargetMode="External"/><Relationship Id="rId14" Type="http://schemas.openxmlformats.org/officeDocument/2006/relationships/hyperlink" Target="../../../../../../:b:/s/REDE2/IQDpGXpjWA1BTrgnfwlXIFz_ARb8lqqf8OGmYgG-2vJjB8g?e=aqP7Iz" TargetMode="External"/><Relationship Id="rId22" Type="http://schemas.openxmlformats.org/officeDocument/2006/relationships/hyperlink" Target="../../../../../../:b:/s/REDE2/IQAeOn9ZZhVdR5sJlx8qX3FcAa2xcM9SitZlQ7nDZAEg9Vo?e=5lBh0c" TargetMode="External"/><Relationship Id="rId27" Type="http://schemas.openxmlformats.org/officeDocument/2006/relationships/hyperlink" Target="../../../../../../:b:/s/REDE2/IQDyi5gm6H45TZFFVTmE7tFaAWLm0FkNB9hC7d6T_j24NFw?e=949mMb" TargetMode="External"/><Relationship Id="rId30" Type="http://schemas.openxmlformats.org/officeDocument/2006/relationships/hyperlink" Target="../../../../../../:b:/s/REDE2/IQDUswWcSBSpRq6rS4aYREl4AfokpIDbJSIMdbxRjyWdIaE?e=UYQ87U" TargetMode="External"/><Relationship Id="rId8" Type="http://schemas.openxmlformats.org/officeDocument/2006/relationships/hyperlink" Target="../../../../../../:b:/s/REDE2/IQAPOjMBC39OQLgkIfslRkboAe9Uu0KK1RX6S1R2vKrUsI8?e=opzCkH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b:/s/REDE2/IQCoM5sA7Q6nTrSJUAB-_k9zAYN8-wVuv3bZYTZyek1Y5oI?e=ps66Jr" TargetMode="External"/><Relationship Id="rId3" Type="http://schemas.openxmlformats.org/officeDocument/2006/relationships/hyperlink" Target="../../../../../../:f:/s/REDE2/IgAg3-ugmZulRpSP3mtJTON4AaIJIYZ7_NW92wQtjJexqog?e=qLOVu2" TargetMode="External"/><Relationship Id="rId7" Type="http://schemas.openxmlformats.org/officeDocument/2006/relationships/hyperlink" Target="../../../../../../:b:/s/REDE2/IQCX5LbT7ROUQJH31b7bNfwtAX8jKfOUpJJMpMWni-PgMHU?e=pVaE7y" TargetMode="External"/><Relationship Id="rId2" Type="http://schemas.openxmlformats.org/officeDocument/2006/relationships/hyperlink" Target="../../../../../../:b:/s/REDE2/IQBYvcfYRQauQqTWX5gans9HAZ9OnJrvT149NpoG0jxBfGI?e=tQcHiz" TargetMode="External"/><Relationship Id="rId1" Type="http://schemas.openxmlformats.org/officeDocument/2006/relationships/hyperlink" Target="../../../../../../:b:/s/REDE2/IQCvf4AvbXl3S7v5waYv7FCpAb3cJUDxi7smPzRz3rgavaI?e=GSUZwx" TargetMode="External"/><Relationship Id="rId6" Type="http://schemas.openxmlformats.org/officeDocument/2006/relationships/hyperlink" Target="../../../../../../:b:/s/REDE2/IQB6kdUuzhCxQ7pWYozPKYGKAab3M9JOJkkdjYPBu5FPapY?e=VpJLFf" TargetMode="External"/><Relationship Id="rId11" Type="http://schemas.openxmlformats.org/officeDocument/2006/relationships/hyperlink" Target="../../../../../../:b:/s/REDE2/IQA2dZkeELayRaILqF578evJAaTivzG9bSM1NqPRZ6F0-3I?e=fM5lkQ" TargetMode="External"/><Relationship Id="rId5" Type="http://schemas.openxmlformats.org/officeDocument/2006/relationships/hyperlink" Target="../../../../../../:f:/s/REDE2/IgCTYs_ccJHBToFMiwt95O0oAV0ksQNEWIY4NGEO71Kcaig?e=pC2QXM" TargetMode="External"/><Relationship Id="rId10" Type="http://schemas.openxmlformats.org/officeDocument/2006/relationships/hyperlink" Target="../../../../../../:b:/s/REDE2/IQDt4_kxGJrbQKm33DDKqRH2AbfHeXM1ZO47JVcPs56L9lo?e=7dANBU" TargetMode="External"/><Relationship Id="rId4" Type="http://schemas.openxmlformats.org/officeDocument/2006/relationships/hyperlink" Target="../../../../../../:b:/s/REDE2/IQBTsTKJ6rNcTqd42NufpaNvAViTOKZzUIbsK9mmZTfBaGE?e=URElfz" TargetMode="External"/><Relationship Id="rId9" Type="http://schemas.openxmlformats.org/officeDocument/2006/relationships/hyperlink" Target="../../../../../../:b:/s/REDE2/IQAUlP1YN_tlTbY486fyW3aKAaP05xQfL3CxY-KT6Pr00hY?e=aIXK4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zoomScale="85" zoomScaleNormal="85" workbookViewId="0">
      <selection activeCell="A6" sqref="A6"/>
    </sheetView>
  </sheetViews>
  <sheetFormatPr defaultColWidth="8.85546875" defaultRowHeight="18" customHeight="1" x14ac:dyDescent="0.25"/>
  <cols>
    <col min="1" max="1" width="13.28515625" style="41" bestFit="1" customWidth="1"/>
    <col min="2" max="2" width="35.5703125" style="41" bestFit="1" customWidth="1"/>
    <col min="3" max="3" width="18" style="41" bestFit="1" customWidth="1"/>
    <col min="4" max="4" width="19.85546875" style="41" bestFit="1" customWidth="1"/>
    <col min="5" max="5" width="11.42578125" style="41" bestFit="1" customWidth="1"/>
    <col min="6" max="6" width="14" style="41" bestFit="1" customWidth="1"/>
    <col min="7" max="7" width="32.7109375" style="41" bestFit="1" customWidth="1"/>
    <col min="8" max="8" width="21.7109375" style="41" bestFit="1" customWidth="1"/>
    <col min="9" max="9" width="21.7109375" style="41" customWidth="1"/>
    <col min="10" max="10" width="10.7109375" style="41" bestFit="1" customWidth="1"/>
    <col min="11" max="11" width="31.28515625" style="41" bestFit="1" customWidth="1"/>
    <col min="12" max="12" width="14.7109375" style="41" bestFit="1" customWidth="1"/>
    <col min="13" max="13" width="9.85546875" style="41" bestFit="1" customWidth="1"/>
    <col min="14" max="14" width="12.5703125" style="41" bestFit="1" customWidth="1"/>
    <col min="15" max="15" width="9.7109375" style="41" bestFit="1" customWidth="1"/>
    <col min="16" max="16" width="35.140625" style="41" bestFit="1" customWidth="1"/>
    <col min="17" max="17" width="18.28515625" style="41" bestFit="1" customWidth="1"/>
    <col min="18" max="18" width="24.140625" style="41" bestFit="1" customWidth="1"/>
    <col min="19" max="19" width="8.85546875" style="41" customWidth="1"/>
    <col min="20" max="16384" width="8.85546875" style="41"/>
  </cols>
  <sheetData>
    <row r="1" spans="1:18" s="46" customFormat="1" ht="18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18" customHeight="1" x14ac:dyDescent="0.25">
      <c r="A2" s="1">
        <v>1</v>
      </c>
      <c r="B2" s="1" t="s">
        <v>18</v>
      </c>
      <c r="C2" s="1" t="s">
        <v>19</v>
      </c>
      <c r="D2" s="38">
        <v>119116185115</v>
      </c>
      <c r="E2" s="39">
        <v>40669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119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47" t="s">
        <v>29</v>
      </c>
      <c r="Q2" s="1" t="s">
        <v>30</v>
      </c>
      <c r="R2" s="1" t="str">
        <f ca="1">DATEDIF(E2,TODAY(),"y") &amp; " Anos, " &amp; DATEDIF(E2,TODAY(),"ym") &amp; " meses e " &amp; DATEDIF(E2,TODAY(),"md") &amp; " dias"</f>
        <v>15 Anos, 0 meses e 4 dias</v>
      </c>
    </row>
    <row r="3" spans="1:18" ht="18" customHeight="1" x14ac:dyDescent="0.25">
      <c r="A3" s="3">
        <v>2</v>
      </c>
      <c r="B3" s="3" t="s">
        <v>31</v>
      </c>
      <c r="C3" s="3" t="s">
        <v>32</v>
      </c>
      <c r="D3" s="3"/>
      <c r="E3" s="40">
        <v>44840</v>
      </c>
      <c r="F3" s="3" t="s">
        <v>20</v>
      </c>
      <c r="G3" s="3" t="s">
        <v>33</v>
      </c>
      <c r="H3" s="3" t="s">
        <v>22</v>
      </c>
      <c r="I3" s="5" t="s">
        <v>23</v>
      </c>
      <c r="J3" s="5">
        <v>119</v>
      </c>
      <c r="K3" s="5" t="s">
        <v>34</v>
      </c>
      <c r="L3" s="5" t="s">
        <v>25</v>
      </c>
      <c r="M3" s="5" t="s">
        <v>26</v>
      </c>
      <c r="N3" s="5" t="s">
        <v>27</v>
      </c>
      <c r="O3" s="5" t="s">
        <v>28</v>
      </c>
      <c r="P3" s="48" t="s">
        <v>35</v>
      </c>
      <c r="Q3" s="3" t="s">
        <v>30</v>
      </c>
      <c r="R3" s="3" t="str">
        <f ca="1">DATEDIF(E3,TODAY(),"y") &amp; " Anos, " &amp; DATEDIF(E3,TODAY(),"ym") &amp; " meses e " &amp; DATEDIF(E3,TODAY(),"md") &amp; " dias"</f>
        <v>3 Anos, 7 meses e 4 dias</v>
      </c>
    </row>
    <row r="4" spans="1:18" ht="18" customHeight="1" x14ac:dyDescent="0.25">
      <c r="A4" s="1">
        <v>3</v>
      </c>
      <c r="B4" s="1" t="s">
        <v>36</v>
      </c>
      <c r="C4" s="1" t="s">
        <v>37</v>
      </c>
      <c r="D4" s="1"/>
      <c r="E4" s="39">
        <v>45860</v>
      </c>
      <c r="F4" s="1" t="s">
        <v>20</v>
      </c>
      <c r="G4" s="1" t="s">
        <v>21</v>
      </c>
      <c r="H4" s="1" t="s">
        <v>22</v>
      </c>
      <c r="I4" s="1" t="s">
        <v>38</v>
      </c>
      <c r="J4" s="1">
        <v>118</v>
      </c>
      <c r="K4" s="1" t="s">
        <v>39</v>
      </c>
      <c r="L4" s="1" t="s">
        <v>40</v>
      </c>
      <c r="M4" s="1" t="s">
        <v>41</v>
      </c>
      <c r="N4" s="1" t="s">
        <v>27</v>
      </c>
      <c r="O4" s="1" t="s">
        <v>28</v>
      </c>
      <c r="P4" s="47" t="s">
        <v>42</v>
      </c>
      <c r="Q4" s="1" t="s">
        <v>43</v>
      </c>
      <c r="R4" s="1" t="str">
        <f ca="1">DATEDIF(E4,TODAY(),"y") &amp; " Anos, " &amp; DATEDIF(E4,TODAY(),"ym") &amp; " meses e " &amp; DATEDIF(E4,TODAY(),"md") &amp; " dias"</f>
        <v>0 Anos, 9 meses e 18 dias</v>
      </c>
    </row>
    <row r="5" spans="1:18" ht="18" customHeight="1" x14ac:dyDescent="0.25">
      <c r="A5" s="3">
        <v>4</v>
      </c>
      <c r="B5" s="3" t="s">
        <v>44</v>
      </c>
      <c r="C5" s="3" t="s">
        <v>45</v>
      </c>
      <c r="D5" s="3"/>
      <c r="E5" s="40"/>
      <c r="F5" s="3"/>
      <c r="G5" s="3"/>
      <c r="H5" s="3"/>
      <c r="I5" s="5"/>
      <c r="J5" s="5"/>
      <c r="K5" s="5"/>
      <c r="L5" s="5"/>
      <c r="M5" s="5"/>
      <c r="N5" s="5"/>
      <c r="O5" s="5"/>
      <c r="P5" s="48"/>
      <c r="Q5" s="3"/>
      <c r="R5" s="3"/>
    </row>
    <row r="14" spans="1:18" ht="18" customHeight="1" x14ac:dyDescent="0.25">
      <c r="D14" s="49"/>
    </row>
  </sheetData>
  <autoFilter ref="A1:R17" xr:uid="{00000000-0009-0000-0000-000000000000}"/>
  <hyperlinks>
    <hyperlink ref="P2" r:id="rId1" xr:uid="{00000000-0004-0000-0000-000000000000}"/>
    <hyperlink ref="P3" r:id="rId2" xr:uid="{00000000-0004-0000-0000-000001000000}"/>
    <hyperlink ref="P4" r:id="rId3" xr:uid="{00000000-0004-0000-0000-00000200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499984740745262"/>
  </sheetPr>
  <dimension ref="A1:R51"/>
  <sheetViews>
    <sheetView zoomScale="85" zoomScaleNormal="85" workbookViewId="0">
      <selection activeCell="K15" sqref="K15"/>
    </sheetView>
  </sheetViews>
  <sheetFormatPr defaultColWidth="8.85546875" defaultRowHeight="18" customHeight="1" x14ac:dyDescent="0.25"/>
  <cols>
    <col min="1" max="1" width="12.140625" style="41" bestFit="1" customWidth="1"/>
    <col min="2" max="2" width="9.7109375" style="41" bestFit="1" customWidth="1"/>
    <col min="3" max="3" width="12" style="41" bestFit="1" customWidth="1"/>
    <col min="4" max="4" width="13.7109375" style="41" bestFit="1" customWidth="1"/>
    <col min="5" max="5" width="21.28515625" style="41" bestFit="1" customWidth="1"/>
    <col min="6" max="6" width="15.7109375" style="41" bestFit="1" customWidth="1"/>
    <col min="7" max="7" width="10.7109375" style="41" customWidth="1"/>
    <col min="8" max="8" width="17.28515625" style="41" bestFit="1" customWidth="1"/>
    <col min="9" max="9" width="14" style="41" bestFit="1" customWidth="1"/>
    <col min="10" max="10" width="14.7109375" style="149" bestFit="1" customWidth="1"/>
    <col min="11" max="11" width="18.42578125" style="41" bestFit="1" customWidth="1"/>
    <col min="12" max="12" width="19.140625" style="149" bestFit="1" customWidth="1"/>
    <col min="13" max="13" width="14.7109375" style="149" bestFit="1" customWidth="1"/>
    <col min="14" max="14" width="10.28515625" style="41" bestFit="1" customWidth="1"/>
    <col min="15" max="15" width="14.7109375" style="149" bestFit="1" customWidth="1"/>
    <col min="16" max="16" width="23" style="41" bestFit="1" customWidth="1"/>
    <col min="17" max="17" width="13.42578125" style="41" bestFit="1" customWidth="1"/>
    <col min="18" max="18" width="13.28515625" style="41" bestFit="1" customWidth="1"/>
    <col min="19" max="19" width="8.85546875" style="41" customWidth="1"/>
    <col min="20" max="16384" width="8.85546875" style="41"/>
  </cols>
  <sheetData>
    <row r="1" spans="1:18" ht="18" customHeight="1" x14ac:dyDescent="0.2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</row>
    <row r="2" spans="1:18" ht="18" customHeight="1" x14ac:dyDescent="0.25">
      <c r="A2" s="9">
        <v>1</v>
      </c>
      <c r="B2" s="9" t="s">
        <v>64</v>
      </c>
      <c r="C2" s="9">
        <v>435742442</v>
      </c>
      <c r="D2" s="9" t="s">
        <v>65</v>
      </c>
      <c r="E2" s="9" t="s">
        <v>66</v>
      </c>
      <c r="F2" s="9" t="s">
        <v>67</v>
      </c>
      <c r="G2" s="9" t="s">
        <v>68</v>
      </c>
      <c r="H2" s="9">
        <v>1987</v>
      </c>
      <c r="I2" s="9">
        <v>1987</v>
      </c>
      <c r="J2" s="150">
        <v>0</v>
      </c>
      <c r="K2" s="9" t="s">
        <v>69</v>
      </c>
      <c r="L2" s="150">
        <v>0</v>
      </c>
      <c r="M2" s="150">
        <f t="shared" ref="M2:M49" si="0">SUM(L2,J2)</f>
        <v>0</v>
      </c>
      <c r="N2" s="42" t="s">
        <v>70</v>
      </c>
      <c r="O2" s="150">
        <v>70000</v>
      </c>
      <c r="P2" s="9"/>
      <c r="Q2" s="9"/>
      <c r="R2" s="9"/>
    </row>
    <row r="3" spans="1:18" ht="18" customHeight="1" x14ac:dyDescent="0.25">
      <c r="A3" s="5">
        <v>2</v>
      </c>
      <c r="B3" s="5" t="s">
        <v>71</v>
      </c>
      <c r="C3" s="5">
        <v>814305121</v>
      </c>
      <c r="D3" s="5" t="s">
        <v>72</v>
      </c>
      <c r="E3" s="16" t="s">
        <v>73</v>
      </c>
      <c r="F3" s="5" t="s">
        <v>67</v>
      </c>
      <c r="G3" s="5" t="s">
        <v>68</v>
      </c>
      <c r="H3" s="5">
        <v>2003</v>
      </c>
      <c r="I3" s="5">
        <v>2004</v>
      </c>
      <c r="J3" s="151">
        <v>0</v>
      </c>
      <c r="K3" s="5" t="s">
        <v>69</v>
      </c>
      <c r="L3" s="151">
        <v>0</v>
      </c>
      <c r="M3" s="151">
        <f t="shared" si="0"/>
        <v>0</v>
      </c>
      <c r="N3" s="42" t="s">
        <v>70</v>
      </c>
      <c r="O3" s="151">
        <v>100000</v>
      </c>
      <c r="P3" s="5"/>
      <c r="Q3" s="5"/>
      <c r="R3" s="5"/>
    </row>
    <row r="4" spans="1:18" ht="18" customHeight="1" x14ac:dyDescent="0.25">
      <c r="A4" s="9">
        <v>3</v>
      </c>
      <c r="B4" s="9" t="s">
        <v>74</v>
      </c>
      <c r="C4" s="9">
        <v>119604302</v>
      </c>
      <c r="D4" s="9" t="s">
        <v>75</v>
      </c>
      <c r="E4" s="9" t="s">
        <v>76</v>
      </c>
      <c r="F4" s="9" t="s">
        <v>77</v>
      </c>
      <c r="G4" s="9"/>
      <c r="H4" s="9">
        <v>2008</v>
      </c>
      <c r="I4" s="9">
        <v>2009</v>
      </c>
      <c r="J4" s="150">
        <v>0</v>
      </c>
      <c r="K4" s="9"/>
      <c r="L4" s="150">
        <v>0</v>
      </c>
      <c r="M4" s="150">
        <f t="shared" si="0"/>
        <v>0</v>
      </c>
      <c r="N4" s="42" t="s">
        <v>70</v>
      </c>
      <c r="O4" s="150">
        <v>15000</v>
      </c>
      <c r="P4" s="9"/>
      <c r="Q4" s="9"/>
      <c r="R4" s="9"/>
    </row>
    <row r="5" spans="1:18" ht="18" customHeight="1" x14ac:dyDescent="0.25">
      <c r="A5" s="5">
        <v>4</v>
      </c>
      <c r="B5" s="5" t="s">
        <v>78</v>
      </c>
      <c r="C5" s="5">
        <v>980404940</v>
      </c>
      <c r="D5" s="5" t="s">
        <v>72</v>
      </c>
      <c r="E5" s="5" t="s">
        <v>79</v>
      </c>
      <c r="F5" s="5" t="s">
        <v>67</v>
      </c>
      <c r="G5" s="15" t="s">
        <v>80</v>
      </c>
      <c r="H5" s="5">
        <v>2008</v>
      </c>
      <c r="I5" s="5">
        <v>2009</v>
      </c>
      <c r="J5" s="151">
        <v>0</v>
      </c>
      <c r="K5" s="5" t="s">
        <v>81</v>
      </c>
      <c r="L5" s="151">
        <v>0</v>
      </c>
      <c r="M5" s="151">
        <f t="shared" si="0"/>
        <v>0</v>
      </c>
      <c r="N5" s="42" t="s">
        <v>70</v>
      </c>
      <c r="O5" s="151">
        <v>92500</v>
      </c>
      <c r="P5" s="5"/>
      <c r="Q5" s="5"/>
      <c r="R5" s="5"/>
    </row>
    <row r="6" spans="1:18" ht="18" customHeight="1" x14ac:dyDescent="0.25">
      <c r="A6" s="9">
        <v>5</v>
      </c>
      <c r="B6" s="9" t="s">
        <v>82</v>
      </c>
      <c r="C6" s="9">
        <v>344934950</v>
      </c>
      <c r="D6" s="9" t="s">
        <v>72</v>
      </c>
      <c r="E6" s="9" t="s">
        <v>83</v>
      </c>
      <c r="F6" s="9" t="s">
        <v>67</v>
      </c>
      <c r="G6" s="9" t="s">
        <v>68</v>
      </c>
      <c r="H6" s="9">
        <v>2011</v>
      </c>
      <c r="I6" s="9">
        <v>2011</v>
      </c>
      <c r="J6" s="150">
        <v>0</v>
      </c>
      <c r="K6" s="9" t="s">
        <v>84</v>
      </c>
      <c r="L6" s="150">
        <v>0</v>
      </c>
      <c r="M6" s="150">
        <f t="shared" si="0"/>
        <v>0</v>
      </c>
      <c r="N6" s="42" t="s">
        <v>70</v>
      </c>
      <c r="O6" s="150">
        <v>230000</v>
      </c>
      <c r="P6" s="9"/>
      <c r="Q6" s="9"/>
      <c r="R6" s="9"/>
    </row>
    <row r="7" spans="1:18" ht="18" customHeight="1" x14ac:dyDescent="0.25">
      <c r="A7" s="5">
        <v>6</v>
      </c>
      <c r="B7" s="5" t="s">
        <v>85</v>
      </c>
      <c r="C7" s="5">
        <v>324418264</v>
      </c>
      <c r="D7" s="5" t="s">
        <v>72</v>
      </c>
      <c r="E7" s="5" t="s">
        <v>83</v>
      </c>
      <c r="F7" s="5" t="s">
        <v>67</v>
      </c>
      <c r="G7" s="5" t="s">
        <v>68</v>
      </c>
      <c r="H7" s="5">
        <v>2011</v>
      </c>
      <c r="I7" s="5">
        <v>2011</v>
      </c>
      <c r="J7" s="151">
        <v>189797</v>
      </c>
      <c r="K7" s="5" t="s">
        <v>86</v>
      </c>
      <c r="L7" s="151">
        <v>70000</v>
      </c>
      <c r="M7" s="151">
        <f t="shared" si="0"/>
        <v>259797</v>
      </c>
      <c r="N7" s="43" t="s">
        <v>87</v>
      </c>
      <c r="O7" s="151"/>
      <c r="P7" s="5" t="s">
        <v>88</v>
      </c>
      <c r="Q7" s="5" t="s">
        <v>89</v>
      </c>
      <c r="R7" s="43" t="s">
        <v>90</v>
      </c>
    </row>
    <row r="8" spans="1:18" ht="18" customHeight="1" x14ac:dyDescent="0.25">
      <c r="A8" s="9">
        <v>7</v>
      </c>
      <c r="B8" s="9" t="s">
        <v>91</v>
      </c>
      <c r="C8" s="9">
        <v>411870114</v>
      </c>
      <c r="D8" s="9" t="s">
        <v>72</v>
      </c>
      <c r="E8" s="9" t="s">
        <v>92</v>
      </c>
      <c r="F8" s="9" t="s">
        <v>67</v>
      </c>
      <c r="G8" s="14" t="s">
        <v>80</v>
      </c>
      <c r="H8" s="9">
        <v>2011</v>
      </c>
      <c r="I8" s="9">
        <v>2012</v>
      </c>
      <c r="J8" s="150">
        <v>0</v>
      </c>
      <c r="K8" s="9" t="s">
        <v>93</v>
      </c>
      <c r="L8" s="150">
        <v>0</v>
      </c>
      <c r="M8" s="150">
        <f t="shared" si="0"/>
        <v>0</v>
      </c>
      <c r="N8" s="42" t="s">
        <v>70</v>
      </c>
      <c r="O8" s="150">
        <v>133000</v>
      </c>
      <c r="P8" s="9"/>
      <c r="Q8" s="9"/>
      <c r="R8" s="9"/>
    </row>
    <row r="9" spans="1:18" ht="18" customHeight="1" x14ac:dyDescent="0.25">
      <c r="A9" s="5">
        <v>8</v>
      </c>
      <c r="B9" s="5" t="s">
        <v>94</v>
      </c>
      <c r="C9" s="5">
        <v>492209359</v>
      </c>
      <c r="D9" s="5" t="s">
        <v>65</v>
      </c>
      <c r="E9" s="5" t="s">
        <v>95</v>
      </c>
      <c r="F9" s="5" t="s">
        <v>67</v>
      </c>
      <c r="G9" s="5" t="s">
        <v>68</v>
      </c>
      <c r="H9" s="5">
        <v>2012</v>
      </c>
      <c r="I9" s="5">
        <v>2013</v>
      </c>
      <c r="J9" s="151">
        <v>211629</v>
      </c>
      <c r="K9" s="5" t="s">
        <v>96</v>
      </c>
      <c r="L9" s="151">
        <v>25000</v>
      </c>
      <c r="M9" s="151">
        <f t="shared" si="0"/>
        <v>236629</v>
      </c>
      <c r="N9" s="44" t="s">
        <v>97</v>
      </c>
      <c r="O9" s="151"/>
      <c r="P9" s="5" t="s">
        <v>98</v>
      </c>
      <c r="Q9" s="5" t="s">
        <v>89</v>
      </c>
      <c r="R9" s="44" t="s">
        <v>99</v>
      </c>
    </row>
    <row r="10" spans="1:18" ht="18" customHeight="1" x14ac:dyDescent="0.25">
      <c r="A10" s="9">
        <v>9</v>
      </c>
      <c r="B10" s="9" t="s">
        <v>100</v>
      </c>
      <c r="C10" s="9">
        <v>592303365</v>
      </c>
      <c r="D10" s="9" t="s">
        <v>101</v>
      </c>
      <c r="E10" s="9" t="s">
        <v>102</v>
      </c>
      <c r="F10" s="9" t="s">
        <v>67</v>
      </c>
      <c r="G10" s="9" t="s">
        <v>68</v>
      </c>
      <c r="H10" s="9">
        <v>2013</v>
      </c>
      <c r="I10" s="9">
        <v>2013</v>
      </c>
      <c r="J10" s="150">
        <v>0</v>
      </c>
      <c r="K10" s="9" t="s">
        <v>93</v>
      </c>
      <c r="L10" s="150">
        <v>0</v>
      </c>
      <c r="M10" s="150">
        <f t="shared" si="0"/>
        <v>0</v>
      </c>
      <c r="N10" s="42" t="s">
        <v>70</v>
      </c>
      <c r="O10" s="150">
        <v>110178</v>
      </c>
      <c r="P10" s="9"/>
      <c r="Q10" s="9"/>
      <c r="R10" s="9"/>
    </row>
    <row r="11" spans="1:18" ht="18" customHeight="1" x14ac:dyDescent="0.25">
      <c r="A11" s="5">
        <v>10</v>
      </c>
      <c r="B11" s="5" t="s">
        <v>103</v>
      </c>
      <c r="C11" s="5">
        <v>996412590</v>
      </c>
      <c r="D11" s="5" t="s">
        <v>101</v>
      </c>
      <c r="E11" s="5" t="s">
        <v>102</v>
      </c>
      <c r="F11" s="5" t="s">
        <v>67</v>
      </c>
      <c r="G11" s="5" t="s">
        <v>68</v>
      </c>
      <c r="H11" s="5">
        <v>2013</v>
      </c>
      <c r="I11" s="5">
        <v>2013</v>
      </c>
      <c r="J11" s="151">
        <v>0</v>
      </c>
      <c r="K11" s="5" t="s">
        <v>93</v>
      </c>
      <c r="L11" s="151">
        <v>0</v>
      </c>
      <c r="M11" s="151">
        <f t="shared" si="0"/>
        <v>0</v>
      </c>
      <c r="N11" s="42" t="s">
        <v>70</v>
      </c>
      <c r="O11" s="151">
        <v>125000</v>
      </c>
      <c r="P11" s="5"/>
      <c r="Q11" s="5"/>
      <c r="R11" s="5"/>
    </row>
    <row r="12" spans="1:18" ht="18" customHeight="1" x14ac:dyDescent="0.25">
      <c r="A12" s="9">
        <v>11</v>
      </c>
      <c r="B12" s="9" t="s">
        <v>104</v>
      </c>
      <c r="C12" s="9">
        <v>514567759</v>
      </c>
      <c r="D12" s="9" t="s">
        <v>105</v>
      </c>
      <c r="E12" s="9" t="s">
        <v>106</v>
      </c>
      <c r="F12" s="9" t="s">
        <v>77</v>
      </c>
      <c r="G12" s="9"/>
      <c r="H12" s="9">
        <v>2013</v>
      </c>
      <c r="I12" s="9">
        <v>2013</v>
      </c>
      <c r="J12" s="150">
        <v>40873</v>
      </c>
      <c r="K12" s="9"/>
      <c r="L12" s="150">
        <v>0</v>
      </c>
      <c r="M12" s="150">
        <f t="shared" si="0"/>
        <v>40873</v>
      </c>
      <c r="N12" s="44" t="s">
        <v>97</v>
      </c>
      <c r="O12" s="150"/>
      <c r="P12" s="9" t="s">
        <v>107</v>
      </c>
      <c r="Q12" s="9" t="s">
        <v>108</v>
      </c>
      <c r="R12" s="44" t="s">
        <v>109</v>
      </c>
    </row>
    <row r="13" spans="1:18" ht="18" customHeight="1" x14ac:dyDescent="0.25">
      <c r="A13" s="5">
        <v>12</v>
      </c>
      <c r="B13" s="5" t="s">
        <v>110</v>
      </c>
      <c r="C13" s="5">
        <v>1073178045</v>
      </c>
      <c r="D13" s="5" t="s">
        <v>72</v>
      </c>
      <c r="E13" s="5" t="s">
        <v>111</v>
      </c>
      <c r="F13" s="5" t="s">
        <v>77</v>
      </c>
      <c r="G13" s="5"/>
      <c r="H13" s="5">
        <v>2015</v>
      </c>
      <c r="I13" s="5">
        <v>2016</v>
      </c>
      <c r="J13" s="151">
        <v>0</v>
      </c>
      <c r="K13" s="5"/>
      <c r="L13" s="151">
        <v>0</v>
      </c>
      <c r="M13" s="151">
        <f t="shared" si="0"/>
        <v>0</v>
      </c>
      <c r="N13" s="42" t="s">
        <v>70</v>
      </c>
      <c r="O13" s="151">
        <v>21000</v>
      </c>
      <c r="P13" s="5"/>
      <c r="Q13" s="5"/>
      <c r="R13" s="5"/>
    </row>
    <row r="14" spans="1:18" ht="18" customHeight="1" x14ac:dyDescent="0.25">
      <c r="A14" s="9">
        <v>13</v>
      </c>
      <c r="B14" s="9" t="s">
        <v>112</v>
      </c>
      <c r="C14" s="9">
        <v>1129174503</v>
      </c>
      <c r="D14" s="9" t="s">
        <v>113</v>
      </c>
      <c r="E14" s="9" t="s">
        <v>114</v>
      </c>
      <c r="F14" s="9" t="s">
        <v>77</v>
      </c>
      <c r="G14" s="9"/>
      <c r="H14" s="9">
        <v>2017</v>
      </c>
      <c r="I14" s="9">
        <v>2018</v>
      </c>
      <c r="J14" s="150">
        <v>0</v>
      </c>
      <c r="K14" s="9"/>
      <c r="L14" s="150">
        <v>0</v>
      </c>
      <c r="M14" s="150">
        <f t="shared" si="0"/>
        <v>0</v>
      </c>
      <c r="N14" s="42" t="s">
        <v>70</v>
      </c>
      <c r="O14" s="150">
        <v>48880</v>
      </c>
      <c r="P14" s="9"/>
      <c r="Q14" s="9"/>
      <c r="R14" s="9"/>
    </row>
    <row r="15" spans="1:18" ht="18" customHeight="1" x14ac:dyDescent="0.25">
      <c r="A15" s="5">
        <v>14</v>
      </c>
      <c r="B15" s="5" t="s">
        <v>115</v>
      </c>
      <c r="C15" s="5">
        <v>1129176689</v>
      </c>
      <c r="D15" s="5" t="s">
        <v>113</v>
      </c>
      <c r="E15" s="5" t="s">
        <v>116</v>
      </c>
      <c r="F15" s="5" t="s">
        <v>77</v>
      </c>
      <c r="G15" s="5"/>
      <c r="H15" s="5">
        <v>2017</v>
      </c>
      <c r="I15" s="5">
        <v>2018</v>
      </c>
      <c r="J15" s="151">
        <v>0</v>
      </c>
      <c r="K15" s="5"/>
      <c r="L15" s="151">
        <v>0</v>
      </c>
      <c r="M15" s="151">
        <f t="shared" si="0"/>
        <v>0</v>
      </c>
      <c r="N15" s="42" t="s">
        <v>70</v>
      </c>
      <c r="O15" s="151">
        <v>27500</v>
      </c>
      <c r="P15" s="5"/>
      <c r="Q15" s="5"/>
      <c r="R15" s="5"/>
    </row>
    <row r="16" spans="1:18" ht="18" customHeight="1" x14ac:dyDescent="0.25">
      <c r="A16" s="9">
        <v>15</v>
      </c>
      <c r="B16" s="9" t="s">
        <v>117</v>
      </c>
      <c r="C16" s="9">
        <v>1131048358</v>
      </c>
      <c r="D16" s="9" t="s">
        <v>113</v>
      </c>
      <c r="E16" s="9" t="s">
        <v>116</v>
      </c>
      <c r="F16" s="9" t="s">
        <v>77</v>
      </c>
      <c r="G16" s="9"/>
      <c r="H16" s="9">
        <v>2017</v>
      </c>
      <c r="I16" s="9">
        <v>2018</v>
      </c>
      <c r="J16" s="150">
        <v>0</v>
      </c>
      <c r="K16" s="9"/>
      <c r="L16" s="150">
        <v>0</v>
      </c>
      <c r="M16" s="150">
        <f t="shared" si="0"/>
        <v>0</v>
      </c>
      <c r="N16" s="42" t="s">
        <v>70</v>
      </c>
      <c r="O16" s="150">
        <v>27500</v>
      </c>
      <c r="P16" s="9"/>
      <c r="Q16" s="9"/>
      <c r="R16" s="9"/>
    </row>
    <row r="17" spans="1:18" ht="18" customHeight="1" x14ac:dyDescent="0.25">
      <c r="A17" s="5">
        <v>16</v>
      </c>
      <c r="B17" s="5" t="s">
        <v>118</v>
      </c>
      <c r="C17" s="5">
        <v>1129174651</v>
      </c>
      <c r="D17" s="5" t="s">
        <v>113</v>
      </c>
      <c r="E17" s="5" t="s">
        <v>116</v>
      </c>
      <c r="F17" s="5" t="s">
        <v>77</v>
      </c>
      <c r="G17" s="5"/>
      <c r="H17" s="5">
        <v>2017</v>
      </c>
      <c r="I17" s="5">
        <v>2018</v>
      </c>
      <c r="J17" s="151">
        <v>0</v>
      </c>
      <c r="K17" s="5"/>
      <c r="L17" s="151">
        <v>0</v>
      </c>
      <c r="M17" s="151">
        <f t="shared" si="0"/>
        <v>0</v>
      </c>
      <c r="N17" s="42" t="s">
        <v>70</v>
      </c>
      <c r="O17" s="151">
        <v>31000</v>
      </c>
      <c r="P17" s="5"/>
      <c r="Q17" s="5"/>
      <c r="R17" s="5"/>
    </row>
    <row r="18" spans="1:18" ht="18" customHeight="1" x14ac:dyDescent="0.25">
      <c r="A18" s="9">
        <v>17</v>
      </c>
      <c r="B18" s="9" t="s">
        <v>119</v>
      </c>
      <c r="C18" s="9">
        <v>1185265632</v>
      </c>
      <c r="D18" s="9" t="s">
        <v>120</v>
      </c>
      <c r="E18" s="9" t="s">
        <v>121</v>
      </c>
      <c r="F18" s="9" t="s">
        <v>122</v>
      </c>
      <c r="G18" s="9" t="s">
        <v>123</v>
      </c>
      <c r="H18" s="9">
        <v>2018</v>
      </c>
      <c r="I18" s="9">
        <v>2018</v>
      </c>
      <c r="J18" s="150">
        <v>180000</v>
      </c>
      <c r="K18" s="9"/>
      <c r="L18" s="150">
        <v>0</v>
      </c>
      <c r="M18" s="150">
        <f t="shared" si="0"/>
        <v>180000</v>
      </c>
      <c r="N18" s="43" t="s">
        <v>87</v>
      </c>
      <c r="O18" s="150"/>
      <c r="P18" s="9" t="s">
        <v>107</v>
      </c>
      <c r="Q18" s="9" t="s">
        <v>108</v>
      </c>
      <c r="R18" s="43" t="s">
        <v>90</v>
      </c>
    </row>
    <row r="19" spans="1:18" ht="18" customHeight="1" x14ac:dyDescent="0.25">
      <c r="A19" s="5">
        <v>18</v>
      </c>
      <c r="B19" s="5" t="s">
        <v>124</v>
      </c>
      <c r="C19" s="5">
        <v>1181626088</v>
      </c>
      <c r="D19" s="5" t="s">
        <v>105</v>
      </c>
      <c r="E19" s="5" t="s">
        <v>125</v>
      </c>
      <c r="F19" s="5" t="s">
        <v>77</v>
      </c>
      <c r="G19" s="5"/>
      <c r="H19" s="5">
        <v>2018</v>
      </c>
      <c r="I19" s="5">
        <v>2019</v>
      </c>
      <c r="J19" s="151">
        <v>181130</v>
      </c>
      <c r="K19" s="5"/>
      <c r="L19" s="151">
        <v>0</v>
      </c>
      <c r="M19" s="151">
        <f t="shared" si="0"/>
        <v>181130</v>
      </c>
      <c r="N19" s="43" t="s">
        <v>87</v>
      </c>
      <c r="O19" s="151"/>
      <c r="P19" s="5" t="s">
        <v>107</v>
      </c>
      <c r="Q19" s="5" t="s">
        <v>108</v>
      </c>
      <c r="R19" s="43" t="s">
        <v>90</v>
      </c>
    </row>
    <row r="20" spans="1:18" ht="18" customHeight="1" x14ac:dyDescent="0.25">
      <c r="A20" s="9">
        <v>19</v>
      </c>
      <c r="B20" s="9" t="s">
        <v>126</v>
      </c>
      <c r="C20" s="9">
        <v>1173726257</v>
      </c>
      <c r="D20" s="9" t="s">
        <v>105</v>
      </c>
      <c r="E20" s="9" t="s">
        <v>127</v>
      </c>
      <c r="F20" s="9" t="s">
        <v>77</v>
      </c>
      <c r="G20" s="9"/>
      <c r="H20" s="9">
        <v>2018</v>
      </c>
      <c r="I20" s="9">
        <v>2019</v>
      </c>
      <c r="J20" s="150">
        <v>0</v>
      </c>
      <c r="K20" s="9"/>
      <c r="L20" s="150">
        <v>0</v>
      </c>
      <c r="M20" s="150">
        <f t="shared" si="0"/>
        <v>0</v>
      </c>
      <c r="N20" s="42" t="s">
        <v>70</v>
      </c>
      <c r="O20" s="150">
        <v>42000</v>
      </c>
      <c r="P20" s="9"/>
      <c r="Q20" s="9"/>
      <c r="R20" s="9"/>
    </row>
    <row r="21" spans="1:18" ht="18" customHeight="1" x14ac:dyDescent="0.25">
      <c r="A21" s="5">
        <v>20</v>
      </c>
      <c r="B21" s="5" t="s">
        <v>128</v>
      </c>
      <c r="C21" s="5">
        <v>0</v>
      </c>
      <c r="D21" s="5" t="s">
        <v>129</v>
      </c>
      <c r="E21" s="5" t="s">
        <v>130</v>
      </c>
      <c r="F21" s="5" t="s">
        <v>122</v>
      </c>
      <c r="G21" s="5" t="s">
        <v>123</v>
      </c>
      <c r="H21" s="5">
        <v>2020</v>
      </c>
      <c r="I21" s="5">
        <v>2020</v>
      </c>
      <c r="J21" s="151">
        <v>230000</v>
      </c>
      <c r="K21" s="5"/>
      <c r="L21" s="151">
        <v>0</v>
      </c>
      <c r="M21" s="151">
        <f t="shared" si="0"/>
        <v>230000</v>
      </c>
      <c r="N21" s="43" t="s">
        <v>87</v>
      </c>
      <c r="O21" s="151"/>
      <c r="P21" s="5" t="s">
        <v>107</v>
      </c>
      <c r="Q21" s="5" t="s">
        <v>107</v>
      </c>
      <c r="R21" s="43" t="s">
        <v>90</v>
      </c>
    </row>
    <row r="22" spans="1:18" ht="18" customHeight="1" x14ac:dyDescent="0.25">
      <c r="A22" s="9">
        <v>21</v>
      </c>
      <c r="B22" s="9" t="s">
        <v>131</v>
      </c>
      <c r="C22" s="9">
        <v>1232225905</v>
      </c>
      <c r="D22" s="9" t="s">
        <v>132</v>
      </c>
      <c r="E22" s="9" t="s">
        <v>133</v>
      </c>
      <c r="F22" s="9" t="s">
        <v>77</v>
      </c>
      <c r="G22" s="9"/>
      <c r="H22" s="9">
        <v>2020</v>
      </c>
      <c r="I22" s="9">
        <v>2020</v>
      </c>
      <c r="J22" s="150">
        <v>0</v>
      </c>
      <c r="K22" s="9"/>
      <c r="L22" s="150">
        <v>0</v>
      </c>
      <c r="M22" s="150">
        <f t="shared" si="0"/>
        <v>0</v>
      </c>
      <c r="N22" s="42" t="s">
        <v>70</v>
      </c>
      <c r="O22" s="150">
        <v>130000</v>
      </c>
      <c r="P22" s="9"/>
      <c r="Q22" s="9"/>
      <c r="R22" s="9"/>
    </row>
    <row r="23" spans="1:18" ht="18" customHeight="1" x14ac:dyDescent="0.25">
      <c r="A23" s="5">
        <v>22</v>
      </c>
      <c r="B23" s="5" t="s">
        <v>134</v>
      </c>
      <c r="C23" s="5">
        <v>1234787137</v>
      </c>
      <c r="D23" s="5" t="s">
        <v>135</v>
      </c>
      <c r="E23" s="5" t="s">
        <v>136</v>
      </c>
      <c r="F23" s="5" t="s">
        <v>137</v>
      </c>
      <c r="G23" s="5"/>
      <c r="H23" s="5">
        <v>2020</v>
      </c>
      <c r="I23" s="5">
        <v>2020</v>
      </c>
      <c r="J23" s="151">
        <v>0</v>
      </c>
      <c r="K23" s="5"/>
      <c r="L23" s="151">
        <v>0</v>
      </c>
      <c r="M23" s="151">
        <f t="shared" si="0"/>
        <v>0</v>
      </c>
      <c r="N23" s="42" t="s">
        <v>70</v>
      </c>
      <c r="O23" s="151">
        <v>11000</v>
      </c>
      <c r="P23" s="5"/>
      <c r="Q23" s="5"/>
      <c r="R23" s="5"/>
    </row>
    <row r="24" spans="1:18" ht="18" customHeight="1" x14ac:dyDescent="0.25">
      <c r="A24" s="9">
        <v>23</v>
      </c>
      <c r="B24" s="9" t="s">
        <v>138</v>
      </c>
      <c r="C24" s="9">
        <v>1248267963</v>
      </c>
      <c r="D24" s="9" t="s">
        <v>72</v>
      </c>
      <c r="E24" s="9" t="s">
        <v>139</v>
      </c>
      <c r="F24" s="9" t="s">
        <v>67</v>
      </c>
      <c r="G24" s="9" t="s">
        <v>140</v>
      </c>
      <c r="H24" s="9">
        <v>2020</v>
      </c>
      <c r="I24" s="9">
        <v>2021</v>
      </c>
      <c r="J24" s="150">
        <v>0</v>
      </c>
      <c r="K24" s="9" t="s">
        <v>69</v>
      </c>
      <c r="L24" s="150">
        <v>0</v>
      </c>
      <c r="M24" s="150">
        <f t="shared" si="0"/>
        <v>0</v>
      </c>
      <c r="N24" s="42" t="s">
        <v>70</v>
      </c>
      <c r="O24" s="150">
        <v>515000</v>
      </c>
      <c r="P24" s="9"/>
      <c r="Q24" s="9"/>
      <c r="R24" s="9"/>
    </row>
    <row r="25" spans="1:18" ht="18" customHeight="1" x14ac:dyDescent="0.25">
      <c r="A25" s="5">
        <v>24</v>
      </c>
      <c r="B25" s="5" t="s">
        <v>141</v>
      </c>
      <c r="C25" s="5">
        <v>1243478176</v>
      </c>
      <c r="D25" s="5" t="s">
        <v>72</v>
      </c>
      <c r="E25" s="5" t="s">
        <v>142</v>
      </c>
      <c r="F25" s="5" t="s">
        <v>67</v>
      </c>
      <c r="G25" s="5" t="s">
        <v>68</v>
      </c>
      <c r="H25" s="5">
        <v>2020</v>
      </c>
      <c r="I25" s="5">
        <v>2021</v>
      </c>
      <c r="J25" s="151">
        <v>334654</v>
      </c>
      <c r="K25" s="5" t="s">
        <v>86</v>
      </c>
      <c r="L25" s="151">
        <v>72500</v>
      </c>
      <c r="M25" s="151">
        <f t="shared" si="0"/>
        <v>407154</v>
      </c>
      <c r="N25" s="43" t="s">
        <v>87</v>
      </c>
      <c r="O25" s="151"/>
      <c r="P25" s="5" t="s">
        <v>107</v>
      </c>
      <c r="Q25" s="5" t="s">
        <v>108</v>
      </c>
      <c r="R25" s="45" t="s">
        <v>143</v>
      </c>
    </row>
    <row r="26" spans="1:18" ht="18" customHeight="1" x14ac:dyDescent="0.25">
      <c r="A26" s="9">
        <v>25</v>
      </c>
      <c r="B26" s="9" t="s">
        <v>144</v>
      </c>
      <c r="C26" s="9">
        <v>1278843024</v>
      </c>
      <c r="D26" s="9" t="s">
        <v>75</v>
      </c>
      <c r="E26" s="9" t="s">
        <v>145</v>
      </c>
      <c r="F26" s="9" t="s">
        <v>77</v>
      </c>
      <c r="G26" s="9" t="s">
        <v>146</v>
      </c>
      <c r="H26" s="9">
        <v>2021</v>
      </c>
      <c r="I26" s="9">
        <v>2021</v>
      </c>
      <c r="J26" s="150">
        <v>0</v>
      </c>
      <c r="K26" s="9"/>
      <c r="L26" s="150">
        <v>0</v>
      </c>
      <c r="M26" s="150">
        <f t="shared" si="0"/>
        <v>0</v>
      </c>
      <c r="N26" s="42" t="s">
        <v>70</v>
      </c>
      <c r="O26" s="150">
        <v>78681</v>
      </c>
      <c r="P26" s="9"/>
      <c r="Q26" s="9"/>
      <c r="R26" s="9"/>
    </row>
    <row r="27" spans="1:18" ht="18" customHeight="1" x14ac:dyDescent="0.25">
      <c r="A27" s="5">
        <v>26</v>
      </c>
      <c r="B27" s="5" t="s">
        <v>147</v>
      </c>
      <c r="C27" s="5">
        <v>1278842958</v>
      </c>
      <c r="D27" s="5" t="s">
        <v>75</v>
      </c>
      <c r="E27" s="5" t="s">
        <v>145</v>
      </c>
      <c r="F27" s="5" t="s">
        <v>77</v>
      </c>
      <c r="G27" s="5" t="s">
        <v>146</v>
      </c>
      <c r="H27" s="5">
        <v>2021</v>
      </c>
      <c r="I27" s="5">
        <v>2021</v>
      </c>
      <c r="J27" s="151">
        <v>0</v>
      </c>
      <c r="K27" s="5"/>
      <c r="L27" s="151">
        <v>0</v>
      </c>
      <c r="M27" s="151">
        <f t="shared" si="0"/>
        <v>0</v>
      </c>
      <c r="N27" s="42" t="s">
        <v>70</v>
      </c>
      <c r="O27" s="151">
        <v>51000</v>
      </c>
      <c r="P27" s="5"/>
      <c r="Q27" s="5"/>
      <c r="R27" s="5"/>
    </row>
    <row r="28" spans="1:18" ht="18" customHeight="1" x14ac:dyDescent="0.25">
      <c r="A28" s="9">
        <v>27</v>
      </c>
      <c r="B28" s="9" t="s">
        <v>148</v>
      </c>
      <c r="C28" s="9">
        <v>1278842990</v>
      </c>
      <c r="D28" s="9" t="s">
        <v>75</v>
      </c>
      <c r="E28" s="9" t="s">
        <v>145</v>
      </c>
      <c r="F28" s="9" t="s">
        <v>77</v>
      </c>
      <c r="G28" s="9" t="s">
        <v>146</v>
      </c>
      <c r="H28" s="9">
        <v>2021</v>
      </c>
      <c r="I28" s="9">
        <v>2021</v>
      </c>
      <c r="J28" s="150">
        <v>0</v>
      </c>
      <c r="K28" s="9"/>
      <c r="L28" s="150">
        <v>0</v>
      </c>
      <c r="M28" s="150">
        <f t="shared" si="0"/>
        <v>0</v>
      </c>
      <c r="N28" s="42" t="s">
        <v>70</v>
      </c>
      <c r="O28" s="150">
        <v>51000</v>
      </c>
      <c r="P28" s="9"/>
      <c r="Q28" s="9"/>
      <c r="R28" s="9"/>
    </row>
    <row r="29" spans="1:18" ht="18" customHeight="1" x14ac:dyDescent="0.25">
      <c r="A29" s="5">
        <v>28</v>
      </c>
      <c r="B29" s="5" t="s">
        <v>149</v>
      </c>
      <c r="C29" s="5">
        <v>1278439576</v>
      </c>
      <c r="D29" s="5" t="s">
        <v>75</v>
      </c>
      <c r="E29" s="5" t="s">
        <v>145</v>
      </c>
      <c r="F29" s="5" t="s">
        <v>77</v>
      </c>
      <c r="G29" s="5" t="s">
        <v>146</v>
      </c>
      <c r="H29" s="5">
        <v>2021</v>
      </c>
      <c r="I29" s="5">
        <v>2021</v>
      </c>
      <c r="J29" s="151">
        <v>0</v>
      </c>
      <c r="K29" s="5"/>
      <c r="L29" s="151">
        <v>0</v>
      </c>
      <c r="M29" s="151">
        <f t="shared" si="0"/>
        <v>0</v>
      </c>
      <c r="N29" s="42" t="s">
        <v>70</v>
      </c>
      <c r="O29" s="151">
        <v>51000</v>
      </c>
      <c r="P29" s="5"/>
      <c r="Q29" s="5"/>
      <c r="R29" s="5"/>
    </row>
    <row r="30" spans="1:18" ht="18" customHeight="1" x14ac:dyDescent="0.25">
      <c r="A30" s="9">
        <v>29</v>
      </c>
      <c r="B30" s="9" t="s">
        <v>150</v>
      </c>
      <c r="C30" s="9">
        <v>1278439584</v>
      </c>
      <c r="D30" s="9" t="s">
        <v>75</v>
      </c>
      <c r="E30" s="9" t="s">
        <v>145</v>
      </c>
      <c r="F30" s="9" t="s">
        <v>77</v>
      </c>
      <c r="G30" s="9" t="s">
        <v>146</v>
      </c>
      <c r="H30" s="9">
        <v>2021</v>
      </c>
      <c r="I30" s="9">
        <v>2021</v>
      </c>
      <c r="J30" s="150">
        <v>0</v>
      </c>
      <c r="K30" s="9"/>
      <c r="L30" s="150">
        <v>0</v>
      </c>
      <c r="M30" s="150">
        <f t="shared" si="0"/>
        <v>0</v>
      </c>
      <c r="N30" s="42" t="s">
        <v>70</v>
      </c>
      <c r="O30" s="150">
        <v>47000</v>
      </c>
      <c r="P30" s="9"/>
      <c r="Q30" s="9"/>
      <c r="R30" s="9"/>
    </row>
    <row r="31" spans="1:18" ht="18" customHeight="1" x14ac:dyDescent="0.25">
      <c r="A31" s="5">
        <v>30</v>
      </c>
      <c r="B31" s="5" t="s">
        <v>151</v>
      </c>
      <c r="C31" s="5">
        <v>1278439673</v>
      </c>
      <c r="D31" s="5" t="s">
        <v>75</v>
      </c>
      <c r="E31" s="5" t="s">
        <v>145</v>
      </c>
      <c r="F31" s="5" t="s">
        <v>77</v>
      </c>
      <c r="G31" s="5" t="s">
        <v>146</v>
      </c>
      <c r="H31" s="5">
        <v>2021</v>
      </c>
      <c r="I31" s="5">
        <v>2021</v>
      </c>
      <c r="J31" s="151">
        <v>0</v>
      </c>
      <c r="K31" s="5"/>
      <c r="L31" s="151">
        <v>0</v>
      </c>
      <c r="M31" s="151">
        <f t="shared" si="0"/>
        <v>0</v>
      </c>
      <c r="N31" s="42" t="s">
        <v>70</v>
      </c>
      <c r="O31" s="151">
        <v>51000</v>
      </c>
      <c r="P31" s="5"/>
      <c r="Q31" s="5"/>
      <c r="R31" s="5"/>
    </row>
    <row r="32" spans="1:18" ht="18" customHeight="1" x14ac:dyDescent="0.25">
      <c r="A32" s="9">
        <v>31</v>
      </c>
      <c r="B32" s="9" t="s">
        <v>152</v>
      </c>
      <c r="C32" s="9">
        <v>1278439630</v>
      </c>
      <c r="D32" s="9" t="s">
        <v>75</v>
      </c>
      <c r="E32" s="9" t="s">
        <v>145</v>
      </c>
      <c r="F32" s="9" t="s">
        <v>77</v>
      </c>
      <c r="G32" s="9" t="s">
        <v>146</v>
      </c>
      <c r="H32" s="9">
        <v>2021</v>
      </c>
      <c r="I32" s="9">
        <v>2021</v>
      </c>
      <c r="J32" s="150">
        <v>0</v>
      </c>
      <c r="K32" s="9"/>
      <c r="L32" s="150">
        <v>0</v>
      </c>
      <c r="M32" s="150">
        <f t="shared" si="0"/>
        <v>0</v>
      </c>
      <c r="N32" s="42" t="s">
        <v>70</v>
      </c>
      <c r="O32" s="150">
        <v>51000</v>
      </c>
      <c r="P32" s="9"/>
      <c r="Q32" s="9"/>
      <c r="R32" s="9"/>
    </row>
    <row r="33" spans="1:18" ht="18" customHeight="1" x14ac:dyDescent="0.25">
      <c r="A33" s="5">
        <v>32</v>
      </c>
      <c r="B33" s="5" t="s">
        <v>153</v>
      </c>
      <c r="C33" s="5">
        <v>1278439550</v>
      </c>
      <c r="D33" s="5" t="s">
        <v>75</v>
      </c>
      <c r="E33" s="5" t="s">
        <v>145</v>
      </c>
      <c r="F33" s="5" t="s">
        <v>77</v>
      </c>
      <c r="G33" s="5" t="s">
        <v>146</v>
      </c>
      <c r="H33" s="5">
        <v>2021</v>
      </c>
      <c r="I33" s="5">
        <v>2021</v>
      </c>
      <c r="J33" s="151">
        <v>0</v>
      </c>
      <c r="K33" s="5"/>
      <c r="L33" s="151">
        <v>0</v>
      </c>
      <c r="M33" s="151">
        <f t="shared" si="0"/>
        <v>0</v>
      </c>
      <c r="N33" s="42" t="s">
        <v>70</v>
      </c>
      <c r="O33" s="151">
        <v>51000</v>
      </c>
      <c r="P33" s="5"/>
      <c r="Q33" s="5"/>
      <c r="R33" s="5"/>
    </row>
    <row r="34" spans="1:18" ht="18" customHeight="1" x14ac:dyDescent="0.25">
      <c r="A34" s="9">
        <v>33</v>
      </c>
      <c r="B34" s="9" t="s">
        <v>154</v>
      </c>
      <c r="C34" s="9">
        <v>1278439657</v>
      </c>
      <c r="D34" s="9" t="s">
        <v>75</v>
      </c>
      <c r="E34" s="9" t="s">
        <v>145</v>
      </c>
      <c r="F34" s="9" t="s">
        <v>77</v>
      </c>
      <c r="G34" s="9" t="s">
        <v>146</v>
      </c>
      <c r="H34" s="9">
        <v>2021</v>
      </c>
      <c r="I34" s="9">
        <v>2021</v>
      </c>
      <c r="J34" s="150">
        <v>0</v>
      </c>
      <c r="K34" s="9"/>
      <c r="L34" s="150">
        <v>0</v>
      </c>
      <c r="M34" s="150">
        <f t="shared" si="0"/>
        <v>0</v>
      </c>
      <c r="N34" s="42" t="s">
        <v>70</v>
      </c>
      <c r="O34" s="150">
        <v>50000</v>
      </c>
      <c r="P34" s="9"/>
      <c r="Q34" s="9"/>
      <c r="R34" s="9"/>
    </row>
    <row r="35" spans="1:18" ht="18" customHeight="1" x14ac:dyDescent="0.25">
      <c r="A35" s="5">
        <v>34</v>
      </c>
      <c r="B35" s="5" t="s">
        <v>155</v>
      </c>
      <c r="C35" s="5">
        <v>1262772548</v>
      </c>
      <c r="D35" s="5" t="s">
        <v>72</v>
      </c>
      <c r="E35" s="5" t="s">
        <v>156</v>
      </c>
      <c r="F35" s="5" t="s">
        <v>67</v>
      </c>
      <c r="G35" s="15" t="s">
        <v>80</v>
      </c>
      <c r="H35" s="5">
        <v>2021</v>
      </c>
      <c r="I35" s="5">
        <v>2022</v>
      </c>
      <c r="J35" s="151">
        <v>311399</v>
      </c>
      <c r="K35" s="5" t="s">
        <v>96</v>
      </c>
      <c r="L35" s="151">
        <v>25000</v>
      </c>
      <c r="M35" s="151">
        <f t="shared" si="0"/>
        <v>336399</v>
      </c>
      <c r="N35" s="43" t="s">
        <v>87</v>
      </c>
      <c r="O35" s="151"/>
      <c r="P35" s="5" t="s">
        <v>88</v>
      </c>
      <c r="Q35" s="5" t="s">
        <v>89</v>
      </c>
      <c r="R35" s="43" t="s">
        <v>90</v>
      </c>
    </row>
    <row r="36" spans="1:18" ht="18" customHeight="1" x14ac:dyDescent="0.25">
      <c r="A36" s="9">
        <v>35</v>
      </c>
      <c r="B36" s="9" t="s">
        <v>157</v>
      </c>
      <c r="C36" s="9">
        <v>1262772343</v>
      </c>
      <c r="D36" s="9" t="s">
        <v>72</v>
      </c>
      <c r="E36" s="9" t="s">
        <v>156</v>
      </c>
      <c r="F36" s="9" t="s">
        <v>67</v>
      </c>
      <c r="G36" s="14" t="s">
        <v>80</v>
      </c>
      <c r="H36" s="9">
        <v>2021</v>
      </c>
      <c r="I36" s="9">
        <v>2022</v>
      </c>
      <c r="J36" s="150">
        <v>0</v>
      </c>
      <c r="K36" s="9" t="s">
        <v>96</v>
      </c>
      <c r="L36" s="150">
        <v>0</v>
      </c>
      <c r="M36" s="150">
        <f t="shared" si="0"/>
        <v>0</v>
      </c>
      <c r="N36" s="42" t="s">
        <v>70</v>
      </c>
      <c r="O36" s="150">
        <v>240000</v>
      </c>
      <c r="P36" s="9"/>
      <c r="Q36" s="9"/>
      <c r="R36" s="9"/>
    </row>
    <row r="37" spans="1:18" ht="18" customHeight="1" x14ac:dyDescent="0.25">
      <c r="A37" s="5">
        <v>36</v>
      </c>
      <c r="B37" s="5" t="s">
        <v>158</v>
      </c>
      <c r="C37" s="5">
        <v>1262772297</v>
      </c>
      <c r="D37" s="5" t="s">
        <v>72</v>
      </c>
      <c r="E37" s="5" t="s">
        <v>156</v>
      </c>
      <c r="F37" s="5" t="s">
        <v>67</v>
      </c>
      <c r="G37" s="15" t="s">
        <v>80</v>
      </c>
      <c r="H37" s="5">
        <v>2021</v>
      </c>
      <c r="I37" s="5">
        <v>2022</v>
      </c>
      <c r="J37" s="151">
        <v>0</v>
      </c>
      <c r="K37" s="5" t="s">
        <v>159</v>
      </c>
      <c r="L37" s="151">
        <v>0</v>
      </c>
      <c r="M37" s="151">
        <f t="shared" si="0"/>
        <v>0</v>
      </c>
      <c r="N37" s="42" t="s">
        <v>70</v>
      </c>
      <c r="O37" s="151">
        <v>250000</v>
      </c>
      <c r="P37" s="5"/>
      <c r="Q37" s="5"/>
      <c r="R37" s="5"/>
    </row>
    <row r="38" spans="1:18" ht="18" customHeight="1" x14ac:dyDescent="0.25">
      <c r="A38" s="9">
        <v>37</v>
      </c>
      <c r="B38" s="9" t="s">
        <v>160</v>
      </c>
      <c r="C38" s="9">
        <v>1262921489</v>
      </c>
      <c r="D38" s="9" t="s">
        <v>72</v>
      </c>
      <c r="E38" s="9" t="s">
        <v>156</v>
      </c>
      <c r="F38" s="9" t="s">
        <v>67</v>
      </c>
      <c r="G38" s="14" t="s">
        <v>80</v>
      </c>
      <c r="H38" s="9">
        <v>2021</v>
      </c>
      <c r="I38" s="9">
        <v>2022</v>
      </c>
      <c r="J38" s="150">
        <v>0</v>
      </c>
      <c r="K38" s="9" t="s">
        <v>96</v>
      </c>
      <c r="L38" s="150">
        <v>0</v>
      </c>
      <c r="M38" s="150">
        <f t="shared" si="0"/>
        <v>0</v>
      </c>
      <c r="N38" s="42" t="s">
        <v>70</v>
      </c>
      <c r="O38" s="150">
        <v>250000</v>
      </c>
      <c r="P38" s="9"/>
      <c r="Q38" s="9"/>
      <c r="R38" s="9"/>
    </row>
    <row r="39" spans="1:18" ht="18" customHeight="1" x14ac:dyDescent="0.25">
      <c r="A39" s="5">
        <v>38</v>
      </c>
      <c r="B39" s="5" t="s">
        <v>161</v>
      </c>
      <c r="C39" s="5">
        <v>1262772424</v>
      </c>
      <c r="D39" s="5" t="s">
        <v>72</v>
      </c>
      <c r="E39" s="5" t="s">
        <v>156</v>
      </c>
      <c r="F39" s="5" t="s">
        <v>67</v>
      </c>
      <c r="G39" s="15" t="s">
        <v>80</v>
      </c>
      <c r="H39" s="5">
        <v>2021</v>
      </c>
      <c r="I39" s="5">
        <v>2022</v>
      </c>
      <c r="J39" s="151">
        <v>0</v>
      </c>
      <c r="K39" s="5" t="s">
        <v>159</v>
      </c>
      <c r="L39" s="151">
        <v>0</v>
      </c>
      <c r="M39" s="151">
        <f t="shared" si="0"/>
        <v>0</v>
      </c>
      <c r="N39" s="42" t="s">
        <v>70</v>
      </c>
      <c r="O39" s="151">
        <v>240000</v>
      </c>
      <c r="P39" s="5"/>
      <c r="Q39" s="5"/>
      <c r="R39" s="5"/>
    </row>
    <row r="40" spans="1:18" ht="18" customHeight="1" x14ac:dyDescent="0.25">
      <c r="A40" s="9">
        <v>39</v>
      </c>
      <c r="B40" s="9" t="s">
        <v>162</v>
      </c>
      <c r="C40" s="9">
        <v>1262921586</v>
      </c>
      <c r="D40" s="9" t="s">
        <v>72</v>
      </c>
      <c r="E40" s="9" t="s">
        <v>163</v>
      </c>
      <c r="F40" s="9" t="s">
        <v>164</v>
      </c>
      <c r="G40" s="9"/>
      <c r="H40" s="9">
        <v>2021</v>
      </c>
      <c r="I40" s="9">
        <v>2022</v>
      </c>
      <c r="J40" s="150">
        <v>234519</v>
      </c>
      <c r="K40" s="9" t="s">
        <v>159</v>
      </c>
      <c r="L40" s="150">
        <v>28700</v>
      </c>
      <c r="M40" s="150">
        <f t="shared" si="0"/>
        <v>263219</v>
      </c>
      <c r="N40" s="43" t="s">
        <v>87</v>
      </c>
      <c r="O40" s="150"/>
      <c r="P40" s="9" t="s">
        <v>88</v>
      </c>
      <c r="Q40" s="9" t="s">
        <v>89</v>
      </c>
      <c r="R40" s="43" t="s">
        <v>90</v>
      </c>
    </row>
    <row r="41" spans="1:18" ht="18" customHeight="1" x14ac:dyDescent="0.25">
      <c r="A41" s="5">
        <v>40</v>
      </c>
      <c r="B41" s="5" t="s">
        <v>165</v>
      </c>
      <c r="C41" s="5">
        <v>1262921551</v>
      </c>
      <c r="D41" s="5" t="s">
        <v>72</v>
      </c>
      <c r="E41" s="5" t="s">
        <v>163</v>
      </c>
      <c r="F41" s="5" t="s">
        <v>164</v>
      </c>
      <c r="G41" s="5"/>
      <c r="H41" s="5">
        <v>2021</v>
      </c>
      <c r="I41" s="5">
        <v>2022</v>
      </c>
      <c r="J41" s="151">
        <v>234519</v>
      </c>
      <c r="K41" s="5" t="s">
        <v>159</v>
      </c>
      <c r="L41" s="151">
        <v>28700</v>
      </c>
      <c r="M41" s="151">
        <f t="shared" si="0"/>
        <v>263219</v>
      </c>
      <c r="N41" s="43" t="s">
        <v>87</v>
      </c>
      <c r="O41" s="151"/>
      <c r="P41" s="5" t="s">
        <v>88</v>
      </c>
      <c r="Q41" s="5" t="s">
        <v>89</v>
      </c>
      <c r="R41" s="43" t="s">
        <v>90</v>
      </c>
    </row>
    <row r="42" spans="1:18" ht="18" customHeight="1" x14ac:dyDescent="0.25">
      <c r="A42" s="9">
        <v>41</v>
      </c>
      <c r="B42" s="9" t="s">
        <v>166</v>
      </c>
      <c r="C42" s="9">
        <v>1262921454</v>
      </c>
      <c r="D42" s="9" t="s">
        <v>72</v>
      </c>
      <c r="E42" s="9" t="s">
        <v>163</v>
      </c>
      <c r="F42" s="9" t="s">
        <v>164</v>
      </c>
      <c r="G42" s="9"/>
      <c r="H42" s="9">
        <v>2021</v>
      </c>
      <c r="I42" s="9">
        <v>2022</v>
      </c>
      <c r="J42" s="150">
        <v>234519</v>
      </c>
      <c r="K42" s="9" t="s">
        <v>159</v>
      </c>
      <c r="L42" s="150">
        <v>28700</v>
      </c>
      <c r="M42" s="150">
        <f t="shared" si="0"/>
        <v>263219</v>
      </c>
      <c r="N42" s="43" t="s">
        <v>87</v>
      </c>
      <c r="O42" s="150"/>
      <c r="P42" s="9" t="s">
        <v>88</v>
      </c>
      <c r="Q42" s="9" t="s">
        <v>89</v>
      </c>
      <c r="R42" s="43" t="s">
        <v>90</v>
      </c>
    </row>
    <row r="43" spans="1:18" ht="18" customHeight="1" x14ac:dyDescent="0.25">
      <c r="A43" s="5">
        <v>42</v>
      </c>
      <c r="B43" s="5" t="s">
        <v>167</v>
      </c>
      <c r="C43" s="5">
        <v>1277427728</v>
      </c>
      <c r="D43" s="5" t="s">
        <v>72</v>
      </c>
      <c r="E43" s="5" t="s">
        <v>163</v>
      </c>
      <c r="F43" s="5" t="s">
        <v>164</v>
      </c>
      <c r="G43" s="5"/>
      <c r="H43" s="5">
        <v>2021</v>
      </c>
      <c r="I43" s="5">
        <v>2022</v>
      </c>
      <c r="J43" s="151">
        <v>234519</v>
      </c>
      <c r="K43" s="5" t="s">
        <v>93</v>
      </c>
      <c r="L43" s="151">
        <v>18850</v>
      </c>
      <c r="M43" s="151">
        <f t="shared" si="0"/>
        <v>253369</v>
      </c>
      <c r="N43" s="43" t="s">
        <v>87</v>
      </c>
      <c r="O43" s="151"/>
      <c r="P43" s="5" t="s">
        <v>168</v>
      </c>
      <c r="Q43" s="5" t="s">
        <v>89</v>
      </c>
      <c r="R43" s="43" t="s">
        <v>90</v>
      </c>
    </row>
    <row r="44" spans="1:18" ht="18" customHeight="1" x14ac:dyDescent="0.25">
      <c r="A44" s="9">
        <v>43</v>
      </c>
      <c r="B44" s="9" t="s">
        <v>169</v>
      </c>
      <c r="C44" s="9">
        <v>1277433183</v>
      </c>
      <c r="D44" s="9" t="s">
        <v>72</v>
      </c>
      <c r="E44" s="9" t="s">
        <v>163</v>
      </c>
      <c r="F44" s="9" t="s">
        <v>164</v>
      </c>
      <c r="G44" s="9"/>
      <c r="H44" s="9">
        <v>2021</v>
      </c>
      <c r="I44" s="9">
        <v>2022</v>
      </c>
      <c r="J44" s="150">
        <v>234519</v>
      </c>
      <c r="K44" s="9" t="s">
        <v>93</v>
      </c>
      <c r="L44" s="150">
        <v>18850</v>
      </c>
      <c r="M44" s="150">
        <f t="shared" si="0"/>
        <v>253369</v>
      </c>
      <c r="N44" s="43" t="s">
        <v>87</v>
      </c>
      <c r="O44" s="150"/>
      <c r="P44" s="9" t="s">
        <v>168</v>
      </c>
      <c r="Q44" s="9" t="s">
        <v>89</v>
      </c>
      <c r="R44" s="43" t="s">
        <v>90</v>
      </c>
    </row>
    <row r="45" spans="1:18" ht="18" customHeight="1" x14ac:dyDescent="0.25">
      <c r="A45" s="5">
        <v>44</v>
      </c>
      <c r="B45" s="5" t="s">
        <v>170</v>
      </c>
      <c r="C45" s="5">
        <v>1280040227</v>
      </c>
      <c r="D45" s="5" t="s">
        <v>72</v>
      </c>
      <c r="E45" s="5" t="s">
        <v>163</v>
      </c>
      <c r="F45" s="5" t="s">
        <v>164</v>
      </c>
      <c r="G45" s="5"/>
      <c r="H45" s="5">
        <v>2021</v>
      </c>
      <c r="I45" s="5">
        <v>2022</v>
      </c>
      <c r="J45" s="151">
        <v>234519</v>
      </c>
      <c r="K45" s="5" t="s">
        <v>93</v>
      </c>
      <c r="L45" s="151">
        <v>18850</v>
      </c>
      <c r="M45" s="151">
        <f t="shared" si="0"/>
        <v>253369</v>
      </c>
      <c r="N45" s="43" t="s">
        <v>87</v>
      </c>
      <c r="O45" s="151"/>
      <c r="P45" s="5" t="s">
        <v>171</v>
      </c>
      <c r="Q45" s="5" t="s">
        <v>89</v>
      </c>
      <c r="R45" s="43" t="s">
        <v>90</v>
      </c>
    </row>
    <row r="46" spans="1:18" ht="18" customHeight="1" x14ac:dyDescent="0.25">
      <c r="A46" s="9">
        <v>45</v>
      </c>
      <c r="B46" s="9" t="s">
        <v>172</v>
      </c>
      <c r="C46" s="9">
        <v>1280040200</v>
      </c>
      <c r="D46" s="9" t="s">
        <v>72</v>
      </c>
      <c r="E46" s="9" t="s">
        <v>163</v>
      </c>
      <c r="F46" s="9" t="s">
        <v>164</v>
      </c>
      <c r="G46" s="9"/>
      <c r="H46" s="9">
        <v>2021</v>
      </c>
      <c r="I46" s="9">
        <v>2022</v>
      </c>
      <c r="J46" s="150">
        <v>234519</v>
      </c>
      <c r="K46" s="9" t="s">
        <v>93</v>
      </c>
      <c r="L46" s="150">
        <v>18850</v>
      </c>
      <c r="M46" s="150">
        <f t="shared" si="0"/>
        <v>253369</v>
      </c>
      <c r="N46" s="43" t="s">
        <v>87</v>
      </c>
      <c r="O46" s="150"/>
      <c r="P46" s="9" t="s">
        <v>171</v>
      </c>
      <c r="Q46" s="9" t="s">
        <v>89</v>
      </c>
      <c r="R46" s="43" t="s">
        <v>90</v>
      </c>
    </row>
    <row r="47" spans="1:18" ht="18" customHeight="1" x14ac:dyDescent="0.25">
      <c r="A47" s="5">
        <v>46</v>
      </c>
      <c r="B47" s="5" t="s">
        <v>173</v>
      </c>
      <c r="C47" s="5">
        <v>1277433230</v>
      </c>
      <c r="D47" s="5" t="s">
        <v>72</v>
      </c>
      <c r="E47" s="5" t="s">
        <v>163</v>
      </c>
      <c r="F47" s="5" t="s">
        <v>164</v>
      </c>
      <c r="G47" s="5"/>
      <c r="H47" s="5">
        <v>2021</v>
      </c>
      <c r="I47" s="5">
        <v>2022</v>
      </c>
      <c r="J47" s="151">
        <v>234519</v>
      </c>
      <c r="K47" s="5" t="s">
        <v>93</v>
      </c>
      <c r="L47" s="151">
        <v>18850</v>
      </c>
      <c r="M47" s="151">
        <f t="shared" si="0"/>
        <v>253369</v>
      </c>
      <c r="N47" s="43" t="s">
        <v>87</v>
      </c>
      <c r="O47" s="151"/>
      <c r="P47" s="5" t="s">
        <v>168</v>
      </c>
      <c r="Q47" s="5" t="s">
        <v>89</v>
      </c>
      <c r="R47" s="43" t="s">
        <v>90</v>
      </c>
    </row>
    <row r="48" spans="1:18" ht="18" customHeight="1" x14ac:dyDescent="0.25">
      <c r="A48" s="9">
        <v>47</v>
      </c>
      <c r="B48" s="9" t="s">
        <v>174</v>
      </c>
      <c r="C48" s="9">
        <v>1296304180</v>
      </c>
      <c r="D48" s="9" t="s">
        <v>132</v>
      </c>
      <c r="E48" s="9" t="s">
        <v>175</v>
      </c>
      <c r="F48" s="9" t="s">
        <v>67</v>
      </c>
      <c r="G48" s="9" t="s">
        <v>176</v>
      </c>
      <c r="H48" s="9">
        <v>2021</v>
      </c>
      <c r="I48" s="9">
        <v>2022</v>
      </c>
      <c r="J48" s="150">
        <v>447966</v>
      </c>
      <c r="K48" s="9" t="s">
        <v>69</v>
      </c>
      <c r="L48" s="150">
        <v>143000</v>
      </c>
      <c r="M48" s="150">
        <f t="shared" si="0"/>
        <v>590966</v>
      </c>
      <c r="N48" s="43" t="s">
        <v>87</v>
      </c>
      <c r="O48" s="150"/>
      <c r="P48" s="9" t="s">
        <v>107</v>
      </c>
      <c r="Q48" s="9" t="s">
        <v>108</v>
      </c>
      <c r="R48" s="43" t="s">
        <v>90</v>
      </c>
    </row>
    <row r="49" spans="1:18" ht="18" customHeight="1" x14ac:dyDescent="0.25">
      <c r="A49" s="5">
        <v>48</v>
      </c>
      <c r="B49" s="5" t="s">
        <v>177</v>
      </c>
      <c r="C49" s="5">
        <v>1419822680</v>
      </c>
      <c r="D49" s="5" t="s">
        <v>178</v>
      </c>
      <c r="E49" s="5" t="s">
        <v>179</v>
      </c>
      <c r="F49" s="5" t="s">
        <v>77</v>
      </c>
      <c r="G49" s="5"/>
      <c r="H49" s="5">
        <v>2024</v>
      </c>
      <c r="I49" s="5">
        <v>2025</v>
      </c>
      <c r="J49" s="151">
        <v>144866</v>
      </c>
      <c r="K49" s="5"/>
      <c r="L49" s="151">
        <v>0</v>
      </c>
      <c r="M49" s="151">
        <f t="shared" si="0"/>
        <v>144866</v>
      </c>
      <c r="N49" s="43" t="s">
        <v>87</v>
      </c>
      <c r="O49" s="151"/>
      <c r="P49" s="5" t="s">
        <v>107</v>
      </c>
      <c r="Q49" s="5" t="s">
        <v>108</v>
      </c>
      <c r="R49" s="13" t="s">
        <v>180</v>
      </c>
    </row>
    <row r="50" spans="1:18" ht="18" customHeight="1" x14ac:dyDescent="0.25">
      <c r="A50" s="9">
        <v>49</v>
      </c>
      <c r="B50" s="9" t="s">
        <v>181</v>
      </c>
      <c r="C50" s="9"/>
      <c r="D50" s="9" t="s">
        <v>72</v>
      </c>
      <c r="E50" s="9" t="s">
        <v>142</v>
      </c>
      <c r="F50" s="9" t="s">
        <v>67</v>
      </c>
      <c r="G50" s="9" t="s">
        <v>68</v>
      </c>
      <c r="H50" s="9">
        <v>2020</v>
      </c>
      <c r="I50" s="9">
        <v>2021</v>
      </c>
      <c r="J50" s="150">
        <v>0</v>
      </c>
      <c r="K50" s="9" t="s">
        <v>182</v>
      </c>
      <c r="L50" s="150"/>
      <c r="M50" s="150"/>
      <c r="N50" s="12" t="s">
        <v>183</v>
      </c>
      <c r="O50" s="150"/>
      <c r="P50" s="9"/>
      <c r="Q50" s="9"/>
      <c r="R50" s="44" t="s">
        <v>184</v>
      </c>
    </row>
    <row r="51" spans="1:18" ht="18" customHeight="1" x14ac:dyDescent="0.25">
      <c r="A51" s="9">
        <v>50</v>
      </c>
      <c r="B51" s="9" t="s">
        <v>185</v>
      </c>
      <c r="C51" s="9"/>
      <c r="D51" s="9" t="s">
        <v>186</v>
      </c>
      <c r="E51" s="9" t="s">
        <v>187</v>
      </c>
      <c r="F51" s="9" t="s">
        <v>188</v>
      </c>
      <c r="G51" s="9" t="s">
        <v>123</v>
      </c>
      <c r="H51" s="9">
        <v>2019</v>
      </c>
      <c r="I51" s="9">
        <v>2019</v>
      </c>
      <c r="J51" s="150">
        <v>0</v>
      </c>
      <c r="K51" s="9"/>
      <c r="L51" s="150"/>
      <c r="M51" s="150"/>
      <c r="N51" s="12" t="s">
        <v>183</v>
      </c>
      <c r="O51" s="150"/>
      <c r="P51" s="9"/>
      <c r="Q51" s="9"/>
      <c r="R51" s="44" t="s">
        <v>184</v>
      </c>
    </row>
  </sheetData>
  <autoFilter ref="A1:Q51" xr:uid="{00000000-0009-0000-0000-000001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zoomScale="85" zoomScaleNormal="85" workbookViewId="0">
      <selection activeCell="A18" sqref="A18"/>
    </sheetView>
  </sheetViews>
  <sheetFormatPr defaultColWidth="8.85546875" defaultRowHeight="18" customHeight="1" x14ac:dyDescent="0.25"/>
  <cols>
    <col min="1" max="1" width="11.85546875" style="41" bestFit="1" customWidth="1"/>
    <col min="2" max="2" width="47.7109375" style="41" bestFit="1" customWidth="1"/>
    <col min="3" max="3" width="18" style="41" bestFit="1" customWidth="1"/>
    <col min="4" max="4" width="14" style="41" bestFit="1" customWidth="1"/>
    <col min="5" max="5" width="15.140625" style="41" bestFit="1" customWidth="1"/>
    <col min="6" max="6" width="17.28515625" style="41" bestFit="1" customWidth="1"/>
    <col min="7" max="7" width="19.5703125" style="41" bestFit="1" customWidth="1"/>
    <col min="8" max="8" width="16.42578125" style="41" bestFit="1" customWidth="1"/>
    <col min="9" max="9" width="17.28515625" style="41" bestFit="1" customWidth="1"/>
    <col min="10" max="10" width="32.42578125" style="41" bestFit="1" customWidth="1"/>
    <col min="11" max="11" width="18.28515625" style="41" bestFit="1" customWidth="1"/>
    <col min="12" max="12" width="15.7109375" style="41" bestFit="1" customWidth="1"/>
    <col min="13" max="13" width="8.85546875" style="41" customWidth="1"/>
    <col min="14" max="16384" width="8.85546875" style="41"/>
  </cols>
  <sheetData>
    <row r="1" spans="1:12" s="46" customFormat="1" ht="18" customHeight="1" x14ac:dyDescent="0.25">
      <c r="A1" s="4" t="s">
        <v>189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190</v>
      </c>
      <c r="G1" s="4" t="s">
        <v>191</v>
      </c>
      <c r="H1" s="4" t="s">
        <v>192</v>
      </c>
      <c r="I1" s="4" t="s">
        <v>193</v>
      </c>
      <c r="J1" s="4" t="s">
        <v>15</v>
      </c>
      <c r="K1" s="4" t="s">
        <v>16</v>
      </c>
      <c r="L1" s="4" t="s">
        <v>194</v>
      </c>
    </row>
    <row r="2" spans="1:12" ht="18" customHeight="1" x14ac:dyDescent="0.25">
      <c r="A2" s="1">
        <v>1</v>
      </c>
      <c r="B2" s="1" t="s">
        <v>195</v>
      </c>
      <c r="C2" s="1" t="s">
        <v>196</v>
      </c>
      <c r="D2" s="1" t="s">
        <v>20</v>
      </c>
      <c r="E2" s="1" t="s">
        <v>197</v>
      </c>
      <c r="F2" s="1" t="s">
        <v>198</v>
      </c>
      <c r="G2" s="1" t="s">
        <v>27</v>
      </c>
      <c r="H2" s="1" t="s">
        <v>28</v>
      </c>
      <c r="I2" s="1" t="s">
        <v>199</v>
      </c>
      <c r="J2" s="1" t="s">
        <v>200</v>
      </c>
      <c r="K2" s="1" t="s">
        <v>201</v>
      </c>
      <c r="L2" s="2" t="s">
        <v>202</v>
      </c>
    </row>
    <row r="3" spans="1:12" ht="18" customHeight="1" x14ac:dyDescent="0.25">
      <c r="A3" s="3">
        <v>2</v>
      </c>
      <c r="B3" s="3" t="s">
        <v>203</v>
      </c>
      <c r="C3" s="3" t="s">
        <v>204</v>
      </c>
      <c r="D3" s="3" t="s">
        <v>20</v>
      </c>
      <c r="E3" s="3" t="s">
        <v>197</v>
      </c>
      <c r="F3" s="3" t="s">
        <v>198</v>
      </c>
      <c r="G3" s="3" t="s">
        <v>205</v>
      </c>
      <c r="H3" s="3" t="s">
        <v>28</v>
      </c>
      <c r="I3" s="3" t="s">
        <v>199</v>
      </c>
      <c r="J3" s="3" t="s">
        <v>200</v>
      </c>
      <c r="K3" s="3" t="s">
        <v>206</v>
      </c>
      <c r="L3" s="3" t="s">
        <v>207</v>
      </c>
    </row>
    <row r="4" spans="1:12" ht="18" customHeight="1" x14ac:dyDescent="0.25">
      <c r="A4" s="1">
        <v>3</v>
      </c>
      <c r="B4" s="1" t="s">
        <v>208</v>
      </c>
      <c r="C4" s="1" t="s">
        <v>209</v>
      </c>
      <c r="D4" s="1" t="s">
        <v>20</v>
      </c>
      <c r="E4" s="1" t="s">
        <v>197</v>
      </c>
      <c r="F4" s="1" t="s">
        <v>198</v>
      </c>
      <c r="G4" s="1" t="s">
        <v>27</v>
      </c>
      <c r="H4" s="1" t="s">
        <v>28</v>
      </c>
      <c r="I4" s="1" t="s">
        <v>210</v>
      </c>
      <c r="J4" s="1" t="s">
        <v>211</v>
      </c>
      <c r="K4" s="1" t="s">
        <v>212</v>
      </c>
      <c r="L4" s="1" t="s">
        <v>207</v>
      </c>
    </row>
    <row r="5" spans="1:12" ht="18" customHeight="1" x14ac:dyDescent="0.25">
      <c r="A5" s="3">
        <v>4</v>
      </c>
      <c r="B5" s="3" t="s">
        <v>213</v>
      </c>
      <c r="C5" s="3" t="s">
        <v>214</v>
      </c>
      <c r="D5" s="3" t="s">
        <v>20</v>
      </c>
      <c r="E5" s="3" t="s">
        <v>197</v>
      </c>
      <c r="F5" s="3" t="s">
        <v>198</v>
      </c>
      <c r="G5" s="3" t="s">
        <v>205</v>
      </c>
      <c r="H5" s="3" t="s">
        <v>28</v>
      </c>
      <c r="I5" s="3" t="s">
        <v>215</v>
      </c>
      <c r="J5" s="3" t="s">
        <v>216</v>
      </c>
      <c r="K5" s="3" t="s">
        <v>217</v>
      </c>
      <c r="L5" s="3" t="s">
        <v>207</v>
      </c>
    </row>
    <row r="6" spans="1:12" ht="18" customHeight="1" x14ac:dyDescent="0.25">
      <c r="A6" s="1">
        <v>5</v>
      </c>
      <c r="B6" s="1" t="s">
        <v>218</v>
      </c>
      <c r="C6" s="1" t="s">
        <v>219</v>
      </c>
      <c r="D6" s="1" t="s">
        <v>20</v>
      </c>
      <c r="E6" s="1" t="s">
        <v>197</v>
      </c>
      <c r="F6" s="1" t="s">
        <v>198</v>
      </c>
      <c r="G6" s="1" t="s">
        <v>220</v>
      </c>
      <c r="H6" s="1" t="s">
        <v>28</v>
      </c>
      <c r="I6" s="1" t="s">
        <v>221</v>
      </c>
      <c r="J6" s="1" t="s">
        <v>222</v>
      </c>
      <c r="K6" s="1" t="s">
        <v>223</v>
      </c>
      <c r="L6" s="1" t="s">
        <v>207</v>
      </c>
    </row>
    <row r="7" spans="1:12" ht="18" customHeight="1" x14ac:dyDescent="0.25">
      <c r="A7" s="3">
        <v>6</v>
      </c>
      <c r="B7" s="3" t="s">
        <v>224</v>
      </c>
      <c r="C7" s="3" t="s">
        <v>225</v>
      </c>
      <c r="D7" s="3" t="s">
        <v>20</v>
      </c>
      <c r="E7" s="3" t="s">
        <v>197</v>
      </c>
      <c r="F7" s="3" t="s">
        <v>198</v>
      </c>
      <c r="G7" s="3" t="s">
        <v>226</v>
      </c>
      <c r="H7" s="3" t="s">
        <v>28</v>
      </c>
      <c r="I7" s="3" t="s">
        <v>227</v>
      </c>
      <c r="J7" s="3" t="s">
        <v>228</v>
      </c>
      <c r="K7" s="3" t="s">
        <v>229</v>
      </c>
      <c r="L7" s="3" t="s">
        <v>207</v>
      </c>
    </row>
    <row r="8" spans="1:12" ht="18" customHeight="1" x14ac:dyDescent="0.25">
      <c r="A8" s="1">
        <v>7</v>
      </c>
      <c r="B8" s="1" t="s">
        <v>230</v>
      </c>
      <c r="C8" s="1" t="s">
        <v>231</v>
      </c>
      <c r="D8" s="1" t="s">
        <v>20</v>
      </c>
      <c r="E8" s="1" t="s">
        <v>197</v>
      </c>
      <c r="F8" s="1" t="s">
        <v>232</v>
      </c>
      <c r="G8" s="1" t="s">
        <v>27</v>
      </c>
      <c r="H8" s="1" t="s">
        <v>28</v>
      </c>
      <c r="I8" s="1" t="s">
        <v>233</v>
      </c>
      <c r="J8" s="1" t="s">
        <v>234</v>
      </c>
      <c r="K8" s="1" t="s">
        <v>235</v>
      </c>
      <c r="L8" s="2" t="s">
        <v>202</v>
      </c>
    </row>
    <row r="9" spans="1:12" ht="18" customHeight="1" x14ac:dyDescent="0.25">
      <c r="A9" s="3">
        <v>8</v>
      </c>
      <c r="B9" s="3" t="s">
        <v>236</v>
      </c>
      <c r="C9" s="3" t="s">
        <v>237</v>
      </c>
      <c r="D9" s="3" t="s">
        <v>20</v>
      </c>
      <c r="E9" s="3" t="s">
        <v>197</v>
      </c>
      <c r="F9" s="3" t="s">
        <v>198</v>
      </c>
      <c r="G9" s="5" t="s">
        <v>226</v>
      </c>
      <c r="H9" s="3" t="s">
        <v>28</v>
      </c>
      <c r="I9" s="3" t="s">
        <v>238</v>
      </c>
      <c r="J9" s="3" t="s">
        <v>239</v>
      </c>
      <c r="K9" s="3" t="s">
        <v>240</v>
      </c>
      <c r="L9" s="3" t="s">
        <v>207</v>
      </c>
    </row>
    <row r="10" spans="1:12" ht="18" customHeight="1" x14ac:dyDescent="0.25">
      <c r="A10" s="1">
        <v>9</v>
      </c>
      <c r="B10" s="1" t="s">
        <v>241</v>
      </c>
      <c r="C10" s="1" t="s">
        <v>242</v>
      </c>
      <c r="D10" s="1" t="s">
        <v>20</v>
      </c>
      <c r="E10" s="1" t="s">
        <v>197</v>
      </c>
      <c r="F10" s="1" t="s">
        <v>198</v>
      </c>
      <c r="G10" s="1" t="s">
        <v>226</v>
      </c>
      <c r="H10" s="1" t="s">
        <v>28</v>
      </c>
      <c r="I10" s="1" t="s">
        <v>243</v>
      </c>
      <c r="J10" s="1" t="s">
        <v>239</v>
      </c>
      <c r="K10" s="1" t="s">
        <v>240</v>
      </c>
      <c r="L10" s="2" t="s">
        <v>202</v>
      </c>
    </row>
    <row r="11" spans="1:12" ht="18" customHeight="1" x14ac:dyDescent="0.25">
      <c r="A11" s="3">
        <v>10</v>
      </c>
      <c r="B11" s="3" t="s">
        <v>244</v>
      </c>
      <c r="C11" s="3" t="s">
        <v>245</v>
      </c>
      <c r="D11" s="3" t="s">
        <v>20</v>
      </c>
      <c r="E11" s="3" t="s">
        <v>197</v>
      </c>
      <c r="F11" s="3" t="s">
        <v>198</v>
      </c>
      <c r="G11" s="3" t="s">
        <v>27</v>
      </c>
      <c r="H11" s="3" t="s">
        <v>28</v>
      </c>
      <c r="I11" s="3" t="s">
        <v>246</v>
      </c>
      <c r="J11" s="3" t="s">
        <v>247</v>
      </c>
      <c r="K11" s="3" t="s">
        <v>248</v>
      </c>
      <c r="L11" s="3" t="s">
        <v>207</v>
      </c>
    </row>
    <row r="12" spans="1:12" ht="18" customHeight="1" x14ac:dyDescent="0.25">
      <c r="A12" s="1">
        <v>11</v>
      </c>
      <c r="B12" s="1" t="s">
        <v>249</v>
      </c>
      <c r="C12" s="1" t="s">
        <v>250</v>
      </c>
      <c r="D12" s="1" t="s">
        <v>20</v>
      </c>
      <c r="E12" s="1" t="s">
        <v>197</v>
      </c>
      <c r="F12" s="1" t="s">
        <v>198</v>
      </c>
      <c r="G12" s="1" t="s">
        <v>27</v>
      </c>
      <c r="H12" s="1" t="s">
        <v>28</v>
      </c>
      <c r="I12" s="1" t="s">
        <v>251</v>
      </c>
      <c r="J12" s="1" t="s">
        <v>252</v>
      </c>
      <c r="K12" s="1" t="s">
        <v>253</v>
      </c>
      <c r="L12" s="2" t="s">
        <v>202</v>
      </c>
    </row>
    <row r="13" spans="1:12" ht="18" customHeight="1" x14ac:dyDescent="0.25">
      <c r="A13" s="3">
        <v>12</v>
      </c>
      <c r="B13" s="3" t="s">
        <v>254</v>
      </c>
      <c r="C13" s="3" t="s">
        <v>255</v>
      </c>
      <c r="D13" s="3" t="s">
        <v>20</v>
      </c>
      <c r="E13" s="3" t="s">
        <v>197</v>
      </c>
      <c r="F13" s="3" t="s">
        <v>198</v>
      </c>
      <c r="G13" s="5" t="s">
        <v>226</v>
      </c>
      <c r="H13" s="3" t="s">
        <v>28</v>
      </c>
      <c r="I13" s="3" t="s">
        <v>256</v>
      </c>
      <c r="J13" s="3" t="s">
        <v>239</v>
      </c>
      <c r="K13" s="3" t="s">
        <v>240</v>
      </c>
      <c r="L13" s="2" t="s">
        <v>202</v>
      </c>
    </row>
    <row r="14" spans="1:12" ht="18" customHeight="1" x14ac:dyDescent="0.25">
      <c r="A14" s="1">
        <v>13</v>
      </c>
      <c r="B14" s="1" t="s">
        <v>257</v>
      </c>
      <c r="C14" s="1" t="s">
        <v>258</v>
      </c>
      <c r="D14" s="1" t="s">
        <v>20</v>
      </c>
      <c r="E14" s="1" t="s">
        <v>197</v>
      </c>
      <c r="F14" s="1" t="s">
        <v>198</v>
      </c>
      <c r="G14" s="1" t="s">
        <v>259</v>
      </c>
      <c r="H14" s="1" t="s">
        <v>28</v>
      </c>
      <c r="I14" s="1" t="s">
        <v>260</v>
      </c>
      <c r="J14" s="1" t="s">
        <v>261</v>
      </c>
      <c r="K14" s="1" t="s">
        <v>262</v>
      </c>
      <c r="L14" s="1" t="s">
        <v>207</v>
      </c>
    </row>
    <row r="15" spans="1:12" ht="18" customHeight="1" x14ac:dyDescent="0.25">
      <c r="A15" s="3">
        <v>14</v>
      </c>
      <c r="B15" s="3" t="s">
        <v>263</v>
      </c>
      <c r="C15" s="3" t="s">
        <v>264</v>
      </c>
      <c r="D15" s="3" t="s">
        <v>20</v>
      </c>
      <c r="E15" s="3" t="s">
        <v>197</v>
      </c>
      <c r="F15" s="3" t="s">
        <v>198</v>
      </c>
      <c r="G15" s="3" t="s">
        <v>205</v>
      </c>
      <c r="H15" s="3" t="s">
        <v>28</v>
      </c>
      <c r="I15" s="3" t="s">
        <v>215</v>
      </c>
      <c r="J15" s="3" t="s">
        <v>216</v>
      </c>
      <c r="K15" s="3" t="s">
        <v>217</v>
      </c>
      <c r="L15" s="3" t="s">
        <v>207</v>
      </c>
    </row>
    <row r="16" spans="1:12" ht="18" customHeight="1" x14ac:dyDescent="0.25">
      <c r="A16" s="1">
        <v>15</v>
      </c>
      <c r="B16" s="1" t="s">
        <v>265</v>
      </c>
      <c r="C16" s="1" t="s">
        <v>266</v>
      </c>
      <c r="D16" s="1" t="s">
        <v>20</v>
      </c>
      <c r="E16" s="1" t="s">
        <v>197</v>
      </c>
      <c r="F16" s="1" t="s">
        <v>198</v>
      </c>
      <c r="G16" s="1" t="s">
        <v>267</v>
      </c>
      <c r="H16" s="1" t="s">
        <v>268</v>
      </c>
      <c r="I16" s="1" t="s">
        <v>269</v>
      </c>
      <c r="J16" s="1" t="s">
        <v>270</v>
      </c>
      <c r="K16" s="1" t="s">
        <v>271</v>
      </c>
      <c r="L16" s="1" t="s">
        <v>207</v>
      </c>
    </row>
    <row r="17" spans="1:12" ht="18" customHeight="1" x14ac:dyDescent="0.25">
      <c r="A17" s="3">
        <v>16</v>
      </c>
      <c r="B17" s="3" t="s">
        <v>272</v>
      </c>
      <c r="C17" s="3" t="s">
        <v>273</v>
      </c>
      <c r="D17" s="3" t="s">
        <v>20</v>
      </c>
      <c r="E17" s="3" t="s">
        <v>197</v>
      </c>
      <c r="F17" s="3" t="s">
        <v>198</v>
      </c>
      <c r="G17" s="3" t="s">
        <v>205</v>
      </c>
      <c r="H17" s="3" t="s">
        <v>28</v>
      </c>
      <c r="I17" s="3" t="s">
        <v>274</v>
      </c>
      <c r="J17" s="3" t="s">
        <v>275</v>
      </c>
      <c r="K17" s="3" t="s">
        <v>276</v>
      </c>
      <c r="L17" s="2" t="s">
        <v>202</v>
      </c>
    </row>
  </sheetData>
  <autoFilter ref="A1:L17" xr:uid="{00000000-0009-0000-0000-000002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499984740745262"/>
  </sheetPr>
  <dimension ref="A1:V37"/>
  <sheetViews>
    <sheetView tabSelected="1" topLeftCell="H4" zoomScale="85" zoomScaleNormal="85" workbookViewId="0">
      <selection activeCell="V37" sqref="V37"/>
    </sheetView>
  </sheetViews>
  <sheetFormatPr defaultColWidth="8.85546875" defaultRowHeight="18" customHeight="1" x14ac:dyDescent="0.25"/>
  <cols>
    <col min="1" max="1" width="13.28515625" style="41" bestFit="1" customWidth="1"/>
    <col min="2" max="2" width="13.85546875" style="41" bestFit="1" customWidth="1"/>
    <col min="3" max="3" width="11.85546875" style="41" bestFit="1" customWidth="1"/>
    <col min="4" max="4" width="47.7109375" style="41" bestFit="1" customWidth="1"/>
    <col min="5" max="5" width="18.28515625" style="41" bestFit="1" customWidth="1"/>
    <col min="6" max="6" width="20.140625" style="41" bestFit="1" customWidth="1"/>
    <col min="7" max="7" width="18.5703125" style="41" bestFit="1" customWidth="1"/>
    <col min="8" max="8" width="22.42578125" style="41" bestFit="1" customWidth="1"/>
    <col min="9" max="9" width="18.85546875" style="41" bestFit="1" customWidth="1"/>
    <col min="10" max="10" width="18.7109375" style="41" bestFit="1" customWidth="1"/>
    <col min="11" max="11" width="12.5703125" style="41" bestFit="1" customWidth="1"/>
    <col min="12" max="12" width="18.5703125" style="41" bestFit="1" customWidth="1"/>
    <col min="13" max="13" width="20.7109375" style="41" bestFit="1" customWidth="1"/>
    <col min="14" max="14" width="35.140625" style="56" bestFit="1" customWidth="1"/>
    <col min="15" max="15" width="19.42578125" style="41" bestFit="1" customWidth="1"/>
    <col min="16" max="16" width="14.85546875" style="41" bestFit="1" customWidth="1"/>
    <col min="17" max="17" width="17.28515625" style="41" bestFit="1" customWidth="1"/>
    <col min="18" max="18" width="23.140625" style="41" bestFit="1" customWidth="1"/>
    <col min="19" max="19" width="21.28515625" style="55" customWidth="1"/>
    <col min="20" max="20" width="39.5703125" style="41" bestFit="1" customWidth="1"/>
    <col min="21" max="21" width="12.85546875" style="41" bestFit="1" customWidth="1"/>
    <col min="22" max="22" width="9.85546875" style="57" bestFit="1" customWidth="1"/>
    <col min="23" max="23" width="8.85546875" style="41" customWidth="1"/>
    <col min="24" max="16384" width="8.85546875" style="41"/>
  </cols>
  <sheetData>
    <row r="1" spans="1:22" s="46" customFormat="1" ht="18" customHeight="1" x14ac:dyDescent="0.25">
      <c r="A1" s="4" t="s">
        <v>277</v>
      </c>
      <c r="B1" s="4" t="s">
        <v>0</v>
      </c>
      <c r="C1" s="4" t="s">
        <v>189</v>
      </c>
      <c r="D1" s="4" t="s">
        <v>278</v>
      </c>
      <c r="E1" s="4" t="s">
        <v>279</v>
      </c>
      <c r="F1" s="4" t="s">
        <v>280</v>
      </c>
      <c r="G1" s="4" t="s">
        <v>281</v>
      </c>
      <c r="H1" s="4" t="s">
        <v>282</v>
      </c>
      <c r="I1" s="4" t="s">
        <v>283</v>
      </c>
      <c r="J1" s="4" t="s">
        <v>284</v>
      </c>
      <c r="K1" s="4" t="s">
        <v>285</v>
      </c>
      <c r="L1" s="4" t="s">
        <v>286</v>
      </c>
      <c r="M1" s="4" t="s">
        <v>287</v>
      </c>
      <c r="N1" s="4" t="s">
        <v>46</v>
      </c>
      <c r="O1" s="4" t="s">
        <v>288</v>
      </c>
      <c r="P1" s="4" t="s">
        <v>289</v>
      </c>
      <c r="Q1" s="4" t="s">
        <v>290</v>
      </c>
      <c r="R1" s="4" t="s">
        <v>291</v>
      </c>
      <c r="S1" s="4" t="s">
        <v>292</v>
      </c>
      <c r="T1" s="4" t="s">
        <v>63</v>
      </c>
      <c r="U1" s="4" t="s">
        <v>293</v>
      </c>
      <c r="V1" s="4" t="s">
        <v>294</v>
      </c>
    </row>
    <row r="2" spans="1:22" ht="18" customHeight="1" x14ac:dyDescent="0.25">
      <c r="A2" s="9">
        <v>1</v>
      </c>
      <c r="B2" s="9">
        <v>1</v>
      </c>
      <c r="C2" s="9">
        <v>2</v>
      </c>
      <c r="D2" s="9" t="s">
        <v>203</v>
      </c>
      <c r="E2" s="9" t="s">
        <v>295</v>
      </c>
      <c r="F2" s="9"/>
      <c r="G2" s="9" t="s">
        <v>296</v>
      </c>
      <c r="H2" s="10" t="s">
        <v>297</v>
      </c>
      <c r="I2" s="10" t="s">
        <v>298</v>
      </c>
      <c r="J2" s="10" t="s">
        <v>28</v>
      </c>
      <c r="K2" s="10">
        <v>45127</v>
      </c>
      <c r="L2" s="10">
        <v>45371</v>
      </c>
      <c r="M2" s="10">
        <v>45371</v>
      </c>
      <c r="N2" s="24" t="s">
        <v>299</v>
      </c>
      <c r="O2" s="11">
        <v>22</v>
      </c>
      <c r="P2" s="152">
        <v>70000</v>
      </c>
      <c r="Q2" s="42" t="s">
        <v>300</v>
      </c>
      <c r="R2" s="9" t="s">
        <v>301</v>
      </c>
      <c r="S2" s="50" t="s">
        <v>302</v>
      </c>
      <c r="T2" s="9" t="s">
        <v>303</v>
      </c>
      <c r="U2" s="9">
        <f t="shared" ref="U2:U37" si="0">IF(OR(K2="",M2=""),"",M2-K2)</f>
        <v>244</v>
      </c>
      <c r="V2" s="17" t="str">
        <f t="shared" ref="V2:V19" ca="1" si="1">IF(OR(K2="",L2=""),"",IF(Q2="Ativo",L2-TODAY(),""))</f>
        <v/>
      </c>
    </row>
    <row r="3" spans="1:22" ht="18" customHeight="1" x14ac:dyDescent="0.25">
      <c r="A3" s="6">
        <v>2</v>
      </c>
      <c r="B3" s="6">
        <v>1</v>
      </c>
      <c r="C3" s="6">
        <v>15</v>
      </c>
      <c r="D3" s="6" t="s">
        <v>265</v>
      </c>
      <c r="E3" s="6" t="s">
        <v>295</v>
      </c>
      <c r="F3" s="6"/>
      <c r="G3" s="6" t="s">
        <v>296</v>
      </c>
      <c r="H3" s="7" t="s">
        <v>304</v>
      </c>
      <c r="I3" s="7" t="s">
        <v>27</v>
      </c>
      <c r="J3" s="7" t="s">
        <v>28</v>
      </c>
      <c r="K3" s="7">
        <v>45184</v>
      </c>
      <c r="L3" s="7">
        <v>45550</v>
      </c>
      <c r="M3" s="7">
        <v>45199</v>
      </c>
      <c r="N3" s="25" t="s">
        <v>305</v>
      </c>
      <c r="O3" s="8">
        <v>7</v>
      </c>
      <c r="P3" s="153">
        <v>47000</v>
      </c>
      <c r="Q3" s="44" t="s">
        <v>306</v>
      </c>
      <c r="R3" s="6" t="s">
        <v>307</v>
      </c>
      <c r="S3" s="51" t="s">
        <v>308</v>
      </c>
      <c r="T3" s="6" t="s">
        <v>309</v>
      </c>
      <c r="U3" s="5">
        <f t="shared" si="0"/>
        <v>15</v>
      </c>
      <c r="V3" s="18" t="str">
        <f t="shared" ca="1" si="1"/>
        <v/>
      </c>
    </row>
    <row r="4" spans="1:22" ht="18" customHeight="1" x14ac:dyDescent="0.25">
      <c r="A4" s="9">
        <v>3</v>
      </c>
      <c r="B4" s="9">
        <v>1</v>
      </c>
      <c r="C4" s="9">
        <v>6</v>
      </c>
      <c r="D4" s="9" t="s">
        <v>224</v>
      </c>
      <c r="E4" s="9" t="s">
        <v>310</v>
      </c>
      <c r="F4" s="9"/>
      <c r="G4" s="9" t="s">
        <v>296</v>
      </c>
      <c r="H4" s="10" t="s">
        <v>311</v>
      </c>
      <c r="I4" s="10" t="s">
        <v>312</v>
      </c>
      <c r="J4" s="10" t="s">
        <v>313</v>
      </c>
      <c r="K4" s="10">
        <v>45307</v>
      </c>
      <c r="L4" s="10">
        <v>45453</v>
      </c>
      <c r="M4" s="10">
        <v>45453</v>
      </c>
      <c r="N4" s="24" t="s">
        <v>314</v>
      </c>
      <c r="O4" s="11">
        <v>3</v>
      </c>
      <c r="P4" s="152">
        <v>32900</v>
      </c>
      <c r="Q4" s="44" t="s">
        <v>306</v>
      </c>
      <c r="R4" s="9" t="s">
        <v>315</v>
      </c>
      <c r="S4" s="52" t="s">
        <v>316</v>
      </c>
      <c r="T4" s="9" t="s">
        <v>317</v>
      </c>
      <c r="U4" s="9">
        <f t="shared" si="0"/>
        <v>146</v>
      </c>
      <c r="V4" s="17" t="str">
        <f t="shared" ca="1" si="1"/>
        <v/>
      </c>
    </row>
    <row r="5" spans="1:22" ht="18" customHeight="1" x14ac:dyDescent="0.25">
      <c r="A5" s="6">
        <v>4</v>
      </c>
      <c r="B5" s="6">
        <v>1</v>
      </c>
      <c r="C5" s="6">
        <v>3</v>
      </c>
      <c r="D5" s="6" t="s">
        <v>208</v>
      </c>
      <c r="E5" s="6" t="s">
        <v>310</v>
      </c>
      <c r="F5" s="6"/>
      <c r="G5" s="6" t="s">
        <v>296</v>
      </c>
      <c r="H5" s="7" t="s">
        <v>318</v>
      </c>
      <c r="I5" s="7" t="s">
        <v>27</v>
      </c>
      <c r="J5" s="7" t="s">
        <v>28</v>
      </c>
      <c r="K5" s="7">
        <v>45363</v>
      </c>
      <c r="L5" s="7">
        <v>45547</v>
      </c>
      <c r="M5" s="7">
        <v>45397</v>
      </c>
      <c r="N5" s="25">
        <v>23</v>
      </c>
      <c r="O5" s="8">
        <v>1</v>
      </c>
      <c r="P5" s="153">
        <v>15000</v>
      </c>
      <c r="Q5" s="44" t="s">
        <v>306</v>
      </c>
      <c r="R5" s="6" t="s">
        <v>319</v>
      </c>
      <c r="S5" s="51" t="s">
        <v>320</v>
      </c>
      <c r="T5" s="6" t="s">
        <v>321</v>
      </c>
      <c r="U5" s="5">
        <f t="shared" si="0"/>
        <v>34</v>
      </c>
      <c r="V5" s="18" t="str">
        <f t="shared" ca="1" si="1"/>
        <v/>
      </c>
    </row>
    <row r="6" spans="1:22" ht="18" customHeight="1" x14ac:dyDescent="0.25">
      <c r="A6" s="9">
        <v>5</v>
      </c>
      <c r="B6" s="9">
        <v>1</v>
      </c>
      <c r="C6" s="9">
        <v>2</v>
      </c>
      <c r="D6" s="9" t="s">
        <v>203</v>
      </c>
      <c r="E6" s="9" t="s">
        <v>310</v>
      </c>
      <c r="F6" s="9">
        <v>1</v>
      </c>
      <c r="G6" s="9" t="s">
        <v>296</v>
      </c>
      <c r="H6" s="10" t="s">
        <v>297</v>
      </c>
      <c r="I6" s="10" t="s">
        <v>298</v>
      </c>
      <c r="J6" s="10" t="s">
        <v>28</v>
      </c>
      <c r="K6" s="10">
        <v>45397</v>
      </c>
      <c r="L6" s="10">
        <v>45397</v>
      </c>
      <c r="M6" s="10">
        <v>45505</v>
      </c>
      <c r="N6" s="24" t="s">
        <v>322</v>
      </c>
      <c r="O6" s="11">
        <v>12</v>
      </c>
      <c r="P6" s="152">
        <v>63300</v>
      </c>
      <c r="Q6" s="44" t="s">
        <v>306</v>
      </c>
      <c r="R6" s="9" t="s">
        <v>315</v>
      </c>
      <c r="S6" s="52" t="s">
        <v>323</v>
      </c>
      <c r="T6" s="9" t="s">
        <v>317</v>
      </c>
      <c r="U6" s="9">
        <f t="shared" si="0"/>
        <v>108</v>
      </c>
      <c r="V6" s="17" t="str">
        <f t="shared" ca="1" si="1"/>
        <v/>
      </c>
    </row>
    <row r="7" spans="1:22" ht="18" customHeight="1" x14ac:dyDescent="0.25">
      <c r="A7" s="6">
        <v>6</v>
      </c>
      <c r="B7" s="6">
        <v>1</v>
      </c>
      <c r="C7" s="6">
        <v>1</v>
      </c>
      <c r="D7" s="6" t="s">
        <v>195</v>
      </c>
      <c r="E7" s="6" t="s">
        <v>310</v>
      </c>
      <c r="F7" s="6"/>
      <c r="G7" s="6" t="s">
        <v>296</v>
      </c>
      <c r="H7" s="7" t="s">
        <v>324</v>
      </c>
      <c r="I7" s="7" t="s">
        <v>325</v>
      </c>
      <c r="J7" s="7" t="s">
        <v>28</v>
      </c>
      <c r="K7" s="7">
        <v>45358</v>
      </c>
      <c r="L7" s="7">
        <v>45723</v>
      </c>
      <c r="M7" s="7">
        <v>45723</v>
      </c>
      <c r="N7" s="25" t="s">
        <v>326</v>
      </c>
      <c r="O7" s="8">
        <v>3</v>
      </c>
      <c r="P7" s="153">
        <v>20000</v>
      </c>
      <c r="Q7" s="42" t="s">
        <v>300</v>
      </c>
      <c r="R7" s="6" t="s">
        <v>301</v>
      </c>
      <c r="S7" s="51" t="s">
        <v>327</v>
      </c>
      <c r="T7" s="6" t="s">
        <v>328</v>
      </c>
      <c r="U7" s="5">
        <f t="shared" si="0"/>
        <v>365</v>
      </c>
      <c r="V7" s="18" t="str">
        <f t="shared" ca="1" si="1"/>
        <v/>
      </c>
    </row>
    <row r="8" spans="1:22" ht="18" customHeight="1" x14ac:dyDescent="0.25">
      <c r="A8" s="9">
        <v>7</v>
      </c>
      <c r="B8" s="9">
        <v>1</v>
      </c>
      <c r="C8" s="9">
        <v>2</v>
      </c>
      <c r="D8" s="9" t="s">
        <v>203</v>
      </c>
      <c r="E8" s="9" t="s">
        <v>310</v>
      </c>
      <c r="F8" s="9"/>
      <c r="G8" s="9" t="s">
        <v>296</v>
      </c>
      <c r="H8" s="10" t="s">
        <v>329</v>
      </c>
      <c r="I8" s="10" t="s">
        <v>205</v>
      </c>
      <c r="J8" s="10" t="s">
        <v>28</v>
      </c>
      <c r="K8" s="10">
        <v>45358</v>
      </c>
      <c r="L8" s="10">
        <v>45723</v>
      </c>
      <c r="M8" s="10">
        <v>45679</v>
      </c>
      <c r="N8" s="24">
        <v>33</v>
      </c>
      <c r="O8" s="11">
        <v>1</v>
      </c>
      <c r="P8" s="152">
        <v>2900</v>
      </c>
      <c r="Q8" s="44" t="s">
        <v>306</v>
      </c>
      <c r="R8" s="9" t="s">
        <v>330</v>
      </c>
      <c r="S8" s="52" t="s">
        <v>327</v>
      </c>
      <c r="T8" s="9" t="s">
        <v>331</v>
      </c>
      <c r="U8" s="9">
        <f t="shared" si="0"/>
        <v>321</v>
      </c>
      <c r="V8" s="17" t="str">
        <f t="shared" ca="1" si="1"/>
        <v/>
      </c>
    </row>
    <row r="9" spans="1:22" ht="18" customHeight="1" x14ac:dyDescent="0.25">
      <c r="A9" s="6">
        <v>8</v>
      </c>
      <c r="B9" s="6">
        <v>1</v>
      </c>
      <c r="C9" s="6">
        <v>4</v>
      </c>
      <c r="D9" s="6" t="s">
        <v>213</v>
      </c>
      <c r="E9" s="6" t="s">
        <v>295</v>
      </c>
      <c r="F9" s="6"/>
      <c r="G9" s="6" t="s">
        <v>296</v>
      </c>
      <c r="H9" s="7" t="s">
        <v>332</v>
      </c>
      <c r="I9" s="7" t="s">
        <v>333</v>
      </c>
      <c r="J9" s="7" t="s">
        <v>28</v>
      </c>
      <c r="K9" s="7">
        <v>45393</v>
      </c>
      <c r="L9" s="7">
        <v>45576</v>
      </c>
      <c r="M9" s="7">
        <v>45597</v>
      </c>
      <c r="N9" s="25" t="s">
        <v>334</v>
      </c>
      <c r="O9" s="8">
        <v>2</v>
      </c>
      <c r="P9" s="153">
        <v>14000</v>
      </c>
      <c r="Q9" s="44" t="s">
        <v>306</v>
      </c>
      <c r="R9" s="6" t="s">
        <v>307</v>
      </c>
      <c r="S9" s="51" t="s">
        <v>335</v>
      </c>
      <c r="T9" s="6" t="s">
        <v>336</v>
      </c>
      <c r="U9" s="5">
        <f t="shared" si="0"/>
        <v>204</v>
      </c>
      <c r="V9" s="18" t="str">
        <f t="shared" ca="1" si="1"/>
        <v/>
      </c>
    </row>
    <row r="10" spans="1:22" ht="18" customHeight="1" x14ac:dyDescent="0.25">
      <c r="A10" s="9">
        <v>9</v>
      </c>
      <c r="B10" s="9">
        <v>1</v>
      </c>
      <c r="C10" s="9">
        <v>4</v>
      </c>
      <c r="D10" s="9" t="s">
        <v>213</v>
      </c>
      <c r="E10" s="9" t="s">
        <v>295</v>
      </c>
      <c r="F10" s="9">
        <v>8</v>
      </c>
      <c r="G10" s="9" t="s">
        <v>296</v>
      </c>
      <c r="H10" s="10" t="s">
        <v>337</v>
      </c>
      <c r="I10" s="10" t="s">
        <v>333</v>
      </c>
      <c r="J10" s="10" t="s">
        <v>28</v>
      </c>
      <c r="K10" s="10">
        <v>45393</v>
      </c>
      <c r="L10" s="10">
        <v>45576</v>
      </c>
      <c r="M10" s="10">
        <v>45930</v>
      </c>
      <c r="N10" s="24" t="s">
        <v>334</v>
      </c>
      <c r="O10" s="11">
        <v>1</v>
      </c>
      <c r="P10" s="152">
        <v>9000</v>
      </c>
      <c r="Q10" s="44" t="s">
        <v>306</v>
      </c>
      <c r="R10" s="9" t="s">
        <v>330</v>
      </c>
      <c r="S10" s="50" t="s">
        <v>335</v>
      </c>
      <c r="T10" s="9" t="s">
        <v>338</v>
      </c>
      <c r="U10" s="9">
        <f t="shared" si="0"/>
        <v>537</v>
      </c>
      <c r="V10" s="17" t="str">
        <f t="shared" ca="1" si="1"/>
        <v/>
      </c>
    </row>
    <row r="11" spans="1:22" ht="18" customHeight="1" x14ac:dyDescent="0.25">
      <c r="A11" s="6">
        <v>10</v>
      </c>
      <c r="B11" s="6">
        <v>1</v>
      </c>
      <c r="C11" s="6">
        <v>9</v>
      </c>
      <c r="D11" s="6" t="s">
        <v>241</v>
      </c>
      <c r="E11" s="6" t="s">
        <v>310</v>
      </c>
      <c r="F11" s="6"/>
      <c r="G11" s="6" t="s">
        <v>296</v>
      </c>
      <c r="H11" s="7" t="s">
        <v>339</v>
      </c>
      <c r="I11" s="7" t="s">
        <v>340</v>
      </c>
      <c r="J11" s="7" t="s">
        <v>28</v>
      </c>
      <c r="K11" s="7">
        <v>45399</v>
      </c>
      <c r="L11" s="7">
        <v>45794</v>
      </c>
      <c r="M11" s="7">
        <v>45778</v>
      </c>
      <c r="N11" s="22" t="s">
        <v>341</v>
      </c>
      <c r="O11" s="8">
        <v>3</v>
      </c>
      <c r="P11" s="153">
        <v>23200</v>
      </c>
      <c r="Q11" s="42" t="s">
        <v>300</v>
      </c>
      <c r="R11" s="6" t="s">
        <v>301</v>
      </c>
      <c r="S11" s="51" t="s">
        <v>342</v>
      </c>
      <c r="T11" s="6" t="s">
        <v>303</v>
      </c>
      <c r="U11" s="5">
        <f t="shared" si="0"/>
        <v>379</v>
      </c>
      <c r="V11" s="18" t="str">
        <f t="shared" ca="1" si="1"/>
        <v/>
      </c>
    </row>
    <row r="12" spans="1:22" ht="18" customHeight="1" x14ac:dyDescent="0.25">
      <c r="A12" s="9">
        <v>11</v>
      </c>
      <c r="B12" s="9">
        <v>1</v>
      </c>
      <c r="C12" s="9">
        <v>11</v>
      </c>
      <c r="D12" s="9" t="s">
        <v>249</v>
      </c>
      <c r="E12" s="9" t="s">
        <v>310</v>
      </c>
      <c r="F12" s="9"/>
      <c r="G12" s="9" t="s">
        <v>296</v>
      </c>
      <c r="H12" s="10" t="s">
        <v>343</v>
      </c>
      <c r="I12" s="10" t="s">
        <v>344</v>
      </c>
      <c r="J12" s="10" t="s">
        <v>28</v>
      </c>
      <c r="K12" s="10">
        <v>45414</v>
      </c>
      <c r="L12" s="10">
        <v>45779</v>
      </c>
      <c r="M12" s="10">
        <v>45869</v>
      </c>
      <c r="N12" s="24" t="s">
        <v>345</v>
      </c>
      <c r="O12" s="11">
        <v>1</v>
      </c>
      <c r="P12" s="152">
        <v>14000</v>
      </c>
      <c r="Q12" s="44" t="s">
        <v>306</v>
      </c>
      <c r="R12" s="9" t="s">
        <v>330</v>
      </c>
      <c r="S12" s="50" t="s">
        <v>346</v>
      </c>
      <c r="T12" s="9" t="s">
        <v>347</v>
      </c>
      <c r="U12" s="9">
        <f t="shared" si="0"/>
        <v>455</v>
      </c>
      <c r="V12" s="17" t="str">
        <f t="shared" ca="1" si="1"/>
        <v/>
      </c>
    </row>
    <row r="13" spans="1:22" ht="18" customHeight="1" x14ac:dyDescent="0.25">
      <c r="A13" s="6">
        <v>12</v>
      </c>
      <c r="B13" s="6">
        <v>1</v>
      </c>
      <c r="C13" s="6">
        <v>1</v>
      </c>
      <c r="D13" s="6" t="s">
        <v>195</v>
      </c>
      <c r="E13" s="6" t="s">
        <v>310</v>
      </c>
      <c r="F13" s="6"/>
      <c r="G13" s="6" t="s">
        <v>296</v>
      </c>
      <c r="H13" s="7" t="s">
        <v>329</v>
      </c>
      <c r="I13" s="7" t="s">
        <v>27</v>
      </c>
      <c r="J13" s="7" t="s">
        <v>28</v>
      </c>
      <c r="K13" s="7">
        <v>45442</v>
      </c>
      <c r="L13" s="7">
        <v>45807</v>
      </c>
      <c r="M13" s="7">
        <v>45534</v>
      </c>
      <c r="N13" s="25">
        <v>17</v>
      </c>
      <c r="O13" s="8">
        <v>1</v>
      </c>
      <c r="P13" s="153">
        <v>12000</v>
      </c>
      <c r="Q13" s="44" t="s">
        <v>306</v>
      </c>
      <c r="R13" s="6" t="s">
        <v>330</v>
      </c>
      <c r="S13" s="51" t="s">
        <v>348</v>
      </c>
      <c r="T13" s="6" t="s">
        <v>349</v>
      </c>
      <c r="U13" s="5">
        <f t="shared" si="0"/>
        <v>92</v>
      </c>
      <c r="V13" s="18" t="str">
        <f t="shared" ca="1" si="1"/>
        <v/>
      </c>
    </row>
    <row r="14" spans="1:22" ht="18" customHeight="1" x14ac:dyDescent="0.25">
      <c r="A14" s="9">
        <v>13</v>
      </c>
      <c r="B14" s="9">
        <v>1</v>
      </c>
      <c r="C14" s="9">
        <v>9</v>
      </c>
      <c r="D14" s="9" t="s">
        <v>241</v>
      </c>
      <c r="E14" s="9" t="s">
        <v>310</v>
      </c>
      <c r="F14" s="9"/>
      <c r="G14" s="9" t="s">
        <v>296</v>
      </c>
      <c r="H14" s="10" t="s">
        <v>350</v>
      </c>
      <c r="I14" s="10" t="s">
        <v>340</v>
      </c>
      <c r="J14" s="10" t="s">
        <v>28</v>
      </c>
      <c r="K14" s="10">
        <v>45488</v>
      </c>
      <c r="L14" s="10">
        <v>45853</v>
      </c>
      <c r="M14" s="10">
        <v>45853</v>
      </c>
      <c r="N14" s="23">
        <v>46</v>
      </c>
      <c r="O14" s="11">
        <v>1</v>
      </c>
      <c r="P14" s="152">
        <v>7100</v>
      </c>
      <c r="Q14" s="42" t="s">
        <v>300</v>
      </c>
      <c r="R14" s="9" t="s">
        <v>301</v>
      </c>
      <c r="S14" s="50" t="s">
        <v>351</v>
      </c>
      <c r="T14" s="9" t="s">
        <v>303</v>
      </c>
      <c r="U14" s="9">
        <f t="shared" si="0"/>
        <v>365</v>
      </c>
      <c r="V14" s="17" t="str">
        <f t="shared" ca="1" si="1"/>
        <v/>
      </c>
    </row>
    <row r="15" spans="1:22" ht="18" customHeight="1" x14ac:dyDescent="0.25">
      <c r="A15" s="6">
        <v>14</v>
      </c>
      <c r="B15" s="6">
        <v>1</v>
      </c>
      <c r="C15" s="6">
        <v>11</v>
      </c>
      <c r="D15" s="6" t="s">
        <v>249</v>
      </c>
      <c r="E15" s="6" t="s">
        <v>310</v>
      </c>
      <c r="F15" s="6"/>
      <c r="G15" s="6" t="s">
        <v>296</v>
      </c>
      <c r="H15" s="7" t="s">
        <v>343</v>
      </c>
      <c r="I15" s="7" t="s">
        <v>344</v>
      </c>
      <c r="J15" s="7" t="s">
        <v>28</v>
      </c>
      <c r="K15" s="7">
        <v>45506</v>
      </c>
      <c r="L15" s="7">
        <v>45871</v>
      </c>
      <c r="M15" s="7">
        <v>45870</v>
      </c>
      <c r="N15" s="25">
        <v>24</v>
      </c>
      <c r="O15" s="8">
        <v>1</v>
      </c>
      <c r="P15" s="153">
        <v>12000</v>
      </c>
      <c r="Q15" s="42" t="s">
        <v>300</v>
      </c>
      <c r="R15" s="5" t="s">
        <v>352</v>
      </c>
      <c r="S15" s="51" t="s">
        <v>353</v>
      </c>
      <c r="T15" s="6" t="s">
        <v>354</v>
      </c>
      <c r="U15" s="5">
        <f t="shared" si="0"/>
        <v>364</v>
      </c>
      <c r="V15" s="18" t="str">
        <f t="shared" ca="1" si="1"/>
        <v/>
      </c>
    </row>
    <row r="16" spans="1:22" ht="18" customHeight="1" x14ac:dyDescent="0.25">
      <c r="A16" s="9">
        <v>15</v>
      </c>
      <c r="B16" s="9">
        <v>1</v>
      </c>
      <c r="C16" s="9">
        <v>1</v>
      </c>
      <c r="D16" s="9" t="s">
        <v>195</v>
      </c>
      <c r="E16" s="9" t="s">
        <v>310</v>
      </c>
      <c r="F16" s="9"/>
      <c r="G16" s="9" t="s">
        <v>296</v>
      </c>
      <c r="H16" s="10" t="s">
        <v>355</v>
      </c>
      <c r="I16" s="10" t="s">
        <v>356</v>
      </c>
      <c r="J16" s="10" t="s">
        <v>28</v>
      </c>
      <c r="K16" s="10">
        <v>45509</v>
      </c>
      <c r="L16" s="10">
        <v>45580</v>
      </c>
      <c r="M16" s="10">
        <v>45580</v>
      </c>
      <c r="N16" s="24" t="s">
        <v>357</v>
      </c>
      <c r="O16" s="11">
        <v>2</v>
      </c>
      <c r="P16" s="152">
        <v>16000</v>
      </c>
      <c r="Q16" s="42" t="s">
        <v>300</v>
      </c>
      <c r="R16" s="9" t="s">
        <v>301</v>
      </c>
      <c r="S16" s="50" t="s">
        <v>358</v>
      </c>
      <c r="T16" s="9" t="s">
        <v>303</v>
      </c>
      <c r="U16" s="9">
        <f t="shared" si="0"/>
        <v>71</v>
      </c>
      <c r="V16" s="17" t="str">
        <f t="shared" ca="1" si="1"/>
        <v/>
      </c>
    </row>
    <row r="17" spans="1:22" ht="18" customHeight="1" x14ac:dyDescent="0.25">
      <c r="A17" s="6">
        <v>16</v>
      </c>
      <c r="B17" s="6">
        <v>1</v>
      </c>
      <c r="C17" s="6">
        <v>7</v>
      </c>
      <c r="D17" s="6" t="s">
        <v>230</v>
      </c>
      <c r="E17" s="6" t="s">
        <v>310</v>
      </c>
      <c r="F17" s="6"/>
      <c r="G17" s="6" t="s">
        <v>296</v>
      </c>
      <c r="H17" s="7" t="s">
        <v>359</v>
      </c>
      <c r="I17" s="7" t="s">
        <v>333</v>
      </c>
      <c r="J17" s="7" t="s">
        <v>28</v>
      </c>
      <c r="K17" s="7">
        <v>45532</v>
      </c>
      <c r="L17" s="7">
        <v>45897</v>
      </c>
      <c r="M17" s="7">
        <v>45897</v>
      </c>
      <c r="N17" s="25">
        <v>47</v>
      </c>
      <c r="O17" s="8">
        <v>1</v>
      </c>
      <c r="P17" s="153">
        <v>15000</v>
      </c>
      <c r="Q17" s="42" t="s">
        <v>300</v>
      </c>
      <c r="R17" s="6" t="s">
        <v>301</v>
      </c>
      <c r="S17" s="51" t="s">
        <v>360</v>
      </c>
      <c r="T17" s="6" t="s">
        <v>354</v>
      </c>
      <c r="U17" s="5">
        <f t="shared" si="0"/>
        <v>365</v>
      </c>
      <c r="V17" s="18" t="str">
        <f t="shared" ca="1" si="1"/>
        <v/>
      </c>
    </row>
    <row r="18" spans="1:22" ht="18" customHeight="1" x14ac:dyDescent="0.25">
      <c r="A18" s="9">
        <v>17</v>
      </c>
      <c r="B18" s="9">
        <v>1</v>
      </c>
      <c r="C18" s="9">
        <v>11</v>
      </c>
      <c r="D18" s="9" t="s">
        <v>249</v>
      </c>
      <c r="E18" s="9" t="s">
        <v>310</v>
      </c>
      <c r="F18" s="9"/>
      <c r="G18" s="9" t="s">
        <v>296</v>
      </c>
      <c r="H18" s="10" t="s">
        <v>343</v>
      </c>
      <c r="I18" s="10" t="s">
        <v>344</v>
      </c>
      <c r="J18" s="10" t="s">
        <v>28</v>
      </c>
      <c r="K18" s="10">
        <v>45534</v>
      </c>
      <c r="L18" s="10">
        <v>45899</v>
      </c>
      <c r="M18" s="10">
        <v>45899</v>
      </c>
      <c r="N18" s="24">
        <v>17</v>
      </c>
      <c r="O18" s="11">
        <v>1</v>
      </c>
      <c r="P18" s="152">
        <v>10000</v>
      </c>
      <c r="Q18" s="42" t="s">
        <v>300</v>
      </c>
      <c r="R18" s="9" t="s">
        <v>352</v>
      </c>
      <c r="S18" s="50" t="s">
        <v>361</v>
      </c>
      <c r="T18" s="9" t="s">
        <v>354</v>
      </c>
      <c r="U18" s="31">
        <f t="shared" si="0"/>
        <v>365</v>
      </c>
      <c r="V18" s="17" t="str">
        <f t="shared" ca="1" si="1"/>
        <v/>
      </c>
    </row>
    <row r="19" spans="1:22" ht="18" customHeight="1" x14ac:dyDescent="0.25">
      <c r="A19" s="6">
        <v>18</v>
      </c>
      <c r="B19" s="6">
        <v>1</v>
      </c>
      <c r="C19" s="6">
        <v>10</v>
      </c>
      <c r="D19" s="6" t="s">
        <v>244</v>
      </c>
      <c r="E19" s="6" t="s">
        <v>310</v>
      </c>
      <c r="F19" s="6"/>
      <c r="G19" s="6" t="s">
        <v>296</v>
      </c>
      <c r="H19" s="7" t="s">
        <v>362</v>
      </c>
      <c r="I19" s="7" t="s">
        <v>363</v>
      </c>
      <c r="J19" s="7" t="s">
        <v>313</v>
      </c>
      <c r="K19" s="7">
        <v>45534</v>
      </c>
      <c r="L19" s="7">
        <v>45717</v>
      </c>
      <c r="M19" s="7">
        <v>45574</v>
      </c>
      <c r="N19" s="25">
        <v>20</v>
      </c>
      <c r="O19" s="8">
        <v>1</v>
      </c>
      <c r="P19" s="153">
        <v>12000</v>
      </c>
      <c r="Q19" s="44" t="s">
        <v>306</v>
      </c>
      <c r="R19" s="6" t="s">
        <v>364</v>
      </c>
      <c r="S19" s="51" t="s">
        <v>365</v>
      </c>
      <c r="T19" s="6" t="s">
        <v>366</v>
      </c>
      <c r="U19" s="26">
        <f t="shared" si="0"/>
        <v>40</v>
      </c>
      <c r="V19" s="18" t="str">
        <f t="shared" ca="1" si="1"/>
        <v/>
      </c>
    </row>
    <row r="20" spans="1:22" ht="18" customHeight="1" x14ac:dyDescent="0.25">
      <c r="A20" s="31">
        <v>19</v>
      </c>
      <c r="B20" s="31">
        <v>1</v>
      </c>
      <c r="C20" s="31">
        <v>7</v>
      </c>
      <c r="D20" s="31" t="s">
        <v>230</v>
      </c>
      <c r="E20" s="31" t="s">
        <v>310</v>
      </c>
      <c r="F20" s="31"/>
      <c r="G20" s="31" t="s">
        <v>296</v>
      </c>
      <c r="H20" s="35" t="s">
        <v>359</v>
      </c>
      <c r="I20" s="35" t="s">
        <v>367</v>
      </c>
      <c r="J20" s="35" t="s">
        <v>368</v>
      </c>
      <c r="K20" s="35">
        <v>45603</v>
      </c>
      <c r="L20" s="35">
        <v>45784</v>
      </c>
      <c r="M20" s="35">
        <v>45724</v>
      </c>
      <c r="N20" s="34">
        <v>6</v>
      </c>
      <c r="O20" s="33">
        <v>1</v>
      </c>
      <c r="P20" s="154">
        <v>12000</v>
      </c>
      <c r="Q20" s="44" t="s">
        <v>306</v>
      </c>
      <c r="R20" s="31" t="s">
        <v>330</v>
      </c>
      <c r="S20" s="53" t="s">
        <v>369</v>
      </c>
      <c r="T20" s="31" t="s">
        <v>370</v>
      </c>
      <c r="U20" s="31">
        <f t="shared" si="0"/>
        <v>121</v>
      </c>
      <c r="V20" s="32"/>
    </row>
    <row r="21" spans="1:22" ht="18" customHeight="1" x14ac:dyDescent="0.25">
      <c r="A21" s="26">
        <v>20</v>
      </c>
      <c r="B21" s="26">
        <v>1</v>
      </c>
      <c r="C21" s="26">
        <v>8</v>
      </c>
      <c r="D21" s="26" t="s">
        <v>236</v>
      </c>
      <c r="E21" s="26" t="s">
        <v>310</v>
      </c>
      <c r="F21" s="26"/>
      <c r="G21" s="26" t="s">
        <v>296</v>
      </c>
      <c r="H21" s="27" t="s">
        <v>371</v>
      </c>
      <c r="I21" s="27" t="s">
        <v>372</v>
      </c>
      <c r="J21" s="27" t="s">
        <v>28</v>
      </c>
      <c r="K21" s="27">
        <v>45576</v>
      </c>
      <c r="L21" s="27">
        <v>46306</v>
      </c>
      <c r="M21" s="27">
        <v>45901</v>
      </c>
      <c r="N21" s="36">
        <v>20</v>
      </c>
      <c r="O21" s="29">
        <v>1</v>
      </c>
      <c r="P21" s="155">
        <v>12000</v>
      </c>
      <c r="Q21" s="44" t="s">
        <v>306</v>
      </c>
      <c r="R21" s="26" t="s">
        <v>373</v>
      </c>
      <c r="S21" s="54" t="s">
        <v>374</v>
      </c>
      <c r="T21" s="26" t="s">
        <v>375</v>
      </c>
      <c r="U21" s="26">
        <f t="shared" si="0"/>
        <v>325</v>
      </c>
      <c r="V21" s="30" t="str">
        <f t="shared" ref="V21:V37" ca="1" si="2">IF(OR(K21="",L21=""),"",IF(Q21="Ativo",L21-TODAY(),""))</f>
        <v/>
      </c>
    </row>
    <row r="22" spans="1:22" ht="18" customHeight="1" x14ac:dyDescent="0.25">
      <c r="A22" s="31">
        <v>21</v>
      </c>
      <c r="B22" s="31">
        <v>1</v>
      </c>
      <c r="C22" s="31">
        <v>1</v>
      </c>
      <c r="D22" s="31" t="s">
        <v>195</v>
      </c>
      <c r="E22" s="31" t="s">
        <v>310</v>
      </c>
      <c r="F22" s="31">
        <v>15</v>
      </c>
      <c r="G22" s="31" t="s">
        <v>296</v>
      </c>
      <c r="H22" s="35" t="s">
        <v>355</v>
      </c>
      <c r="I22" s="35" t="s">
        <v>356</v>
      </c>
      <c r="J22" s="35" t="s">
        <v>28</v>
      </c>
      <c r="K22" s="35">
        <v>45580</v>
      </c>
      <c r="L22" s="35">
        <v>45703</v>
      </c>
      <c r="M22" s="35">
        <v>45703</v>
      </c>
      <c r="N22" s="34" t="s">
        <v>357</v>
      </c>
      <c r="O22" s="33">
        <v>2</v>
      </c>
      <c r="P22" s="154">
        <v>16000</v>
      </c>
      <c r="Q22" s="42" t="s">
        <v>300</v>
      </c>
      <c r="R22" s="31" t="s">
        <v>301</v>
      </c>
      <c r="S22" s="53" t="s">
        <v>376</v>
      </c>
      <c r="T22" s="31" t="s">
        <v>303</v>
      </c>
      <c r="U22" s="31">
        <f t="shared" si="0"/>
        <v>123</v>
      </c>
      <c r="V22" s="32" t="str">
        <f t="shared" ca="1" si="2"/>
        <v/>
      </c>
    </row>
    <row r="23" spans="1:22" ht="18" customHeight="1" x14ac:dyDescent="0.25">
      <c r="A23" s="26">
        <v>22</v>
      </c>
      <c r="B23" s="26">
        <v>1</v>
      </c>
      <c r="C23" s="26">
        <v>1</v>
      </c>
      <c r="D23" s="26" t="s">
        <v>195</v>
      </c>
      <c r="E23" s="26" t="s">
        <v>310</v>
      </c>
      <c r="F23" s="26">
        <v>15</v>
      </c>
      <c r="G23" s="26" t="s">
        <v>296</v>
      </c>
      <c r="H23" s="27" t="s">
        <v>355</v>
      </c>
      <c r="I23" s="27" t="s">
        <v>356</v>
      </c>
      <c r="J23" s="27" t="s">
        <v>28</v>
      </c>
      <c r="K23" s="27">
        <v>45703</v>
      </c>
      <c r="L23" s="27">
        <v>45823</v>
      </c>
      <c r="M23" s="27">
        <v>45976</v>
      </c>
      <c r="N23" s="36" t="s">
        <v>357</v>
      </c>
      <c r="O23" s="29">
        <v>2</v>
      </c>
      <c r="P23" s="155">
        <v>17000</v>
      </c>
      <c r="Q23" s="42" t="s">
        <v>300</v>
      </c>
      <c r="R23" s="26" t="s">
        <v>301</v>
      </c>
      <c r="S23" s="54" t="s">
        <v>377</v>
      </c>
      <c r="T23" s="26" t="s">
        <v>303</v>
      </c>
      <c r="U23" s="26">
        <f t="shared" si="0"/>
        <v>273</v>
      </c>
      <c r="V23" s="30" t="str">
        <f t="shared" ca="1" si="2"/>
        <v/>
      </c>
    </row>
    <row r="24" spans="1:22" ht="18" customHeight="1" x14ac:dyDescent="0.25">
      <c r="A24" s="31">
        <v>23</v>
      </c>
      <c r="B24" s="31">
        <v>1</v>
      </c>
      <c r="C24" s="31">
        <v>1</v>
      </c>
      <c r="D24" s="31" t="s">
        <v>195</v>
      </c>
      <c r="E24" s="31" t="s">
        <v>310</v>
      </c>
      <c r="F24" s="31">
        <v>6</v>
      </c>
      <c r="G24" s="31" t="s">
        <v>296</v>
      </c>
      <c r="H24" s="35" t="s">
        <v>324</v>
      </c>
      <c r="I24" s="35" t="s">
        <v>325</v>
      </c>
      <c r="J24" s="35" t="s">
        <v>28</v>
      </c>
      <c r="K24" s="35">
        <v>45748</v>
      </c>
      <c r="L24" s="35">
        <v>46113</v>
      </c>
      <c r="M24" s="35">
        <v>46113</v>
      </c>
      <c r="N24" s="34" t="s">
        <v>378</v>
      </c>
      <c r="O24" s="33">
        <v>3</v>
      </c>
      <c r="P24" s="154">
        <v>21550</v>
      </c>
      <c r="Q24" s="42" t="s">
        <v>300</v>
      </c>
      <c r="R24" s="31" t="s">
        <v>301</v>
      </c>
      <c r="S24" s="53" t="s">
        <v>379</v>
      </c>
      <c r="T24" s="31" t="s">
        <v>380</v>
      </c>
      <c r="U24" s="31">
        <f t="shared" si="0"/>
        <v>365</v>
      </c>
      <c r="V24" s="32" t="str">
        <f t="shared" ca="1" si="2"/>
        <v/>
      </c>
    </row>
    <row r="25" spans="1:22" ht="18" customHeight="1" x14ac:dyDescent="0.25">
      <c r="A25" s="26">
        <v>24</v>
      </c>
      <c r="B25" s="26">
        <v>1</v>
      </c>
      <c r="C25" s="26">
        <v>9</v>
      </c>
      <c r="D25" s="26" t="s">
        <v>241</v>
      </c>
      <c r="E25" s="26" t="s">
        <v>310</v>
      </c>
      <c r="F25" s="26">
        <v>10</v>
      </c>
      <c r="G25" s="26" t="s">
        <v>296</v>
      </c>
      <c r="H25" s="27" t="s">
        <v>350</v>
      </c>
      <c r="I25" s="27" t="s">
        <v>340</v>
      </c>
      <c r="J25" s="27" t="s">
        <v>28</v>
      </c>
      <c r="K25" s="27">
        <v>45778</v>
      </c>
      <c r="L25" s="27">
        <v>46143</v>
      </c>
      <c r="M25" s="27">
        <v>45901</v>
      </c>
      <c r="N25" s="28" t="s">
        <v>341</v>
      </c>
      <c r="O25" s="29">
        <v>3</v>
      </c>
      <c r="P25" s="155">
        <v>25520</v>
      </c>
      <c r="Q25" s="42" t="s">
        <v>300</v>
      </c>
      <c r="R25" s="26" t="s">
        <v>352</v>
      </c>
      <c r="S25" s="54" t="s">
        <v>381</v>
      </c>
      <c r="T25" s="26" t="s">
        <v>382</v>
      </c>
      <c r="U25" s="26">
        <f t="shared" si="0"/>
        <v>123</v>
      </c>
      <c r="V25" s="30" t="str">
        <f t="shared" ca="1" si="2"/>
        <v/>
      </c>
    </row>
    <row r="26" spans="1:22" ht="18" customHeight="1" x14ac:dyDescent="0.25">
      <c r="A26" s="31">
        <v>25</v>
      </c>
      <c r="B26" s="31">
        <v>1</v>
      </c>
      <c r="C26" s="31">
        <v>9</v>
      </c>
      <c r="D26" s="31" t="s">
        <v>241</v>
      </c>
      <c r="E26" s="31" t="s">
        <v>310</v>
      </c>
      <c r="F26" s="31">
        <v>13</v>
      </c>
      <c r="G26" s="31" t="s">
        <v>296</v>
      </c>
      <c r="H26" s="35" t="s">
        <v>350</v>
      </c>
      <c r="I26" s="35" t="s">
        <v>340</v>
      </c>
      <c r="J26" s="35" t="s">
        <v>28</v>
      </c>
      <c r="K26" s="35">
        <v>45853</v>
      </c>
      <c r="L26" s="35">
        <v>46143</v>
      </c>
      <c r="M26" s="35">
        <v>45901</v>
      </c>
      <c r="N26" s="37">
        <v>46</v>
      </c>
      <c r="O26" s="33">
        <v>1</v>
      </c>
      <c r="P26" s="154">
        <v>7810</v>
      </c>
      <c r="Q26" s="42" t="s">
        <v>300</v>
      </c>
      <c r="R26" s="31" t="s">
        <v>352</v>
      </c>
      <c r="S26" s="53" t="s">
        <v>383</v>
      </c>
      <c r="T26" s="31" t="s">
        <v>382</v>
      </c>
      <c r="U26" s="31">
        <f t="shared" si="0"/>
        <v>48</v>
      </c>
      <c r="V26" s="32" t="str">
        <f t="shared" ca="1" si="2"/>
        <v/>
      </c>
    </row>
    <row r="27" spans="1:22" ht="18" customHeight="1" x14ac:dyDescent="0.25">
      <c r="A27" s="26">
        <v>26</v>
      </c>
      <c r="B27" s="26">
        <v>3</v>
      </c>
      <c r="C27" s="26">
        <v>11</v>
      </c>
      <c r="D27" s="26" t="s">
        <v>249</v>
      </c>
      <c r="E27" s="26" t="s">
        <v>310</v>
      </c>
      <c r="F27" s="26" t="s">
        <v>384</v>
      </c>
      <c r="G27" s="26" t="s">
        <v>296</v>
      </c>
      <c r="H27" s="27" t="s">
        <v>343</v>
      </c>
      <c r="I27" s="27" t="s">
        <v>344</v>
      </c>
      <c r="J27" s="27" t="s">
        <v>28</v>
      </c>
      <c r="K27" s="27">
        <v>45870</v>
      </c>
      <c r="L27" s="27">
        <v>46235</v>
      </c>
      <c r="M27" s="27"/>
      <c r="N27" s="36" t="s">
        <v>385</v>
      </c>
      <c r="O27" s="29">
        <v>2</v>
      </c>
      <c r="P27" s="155">
        <v>27500</v>
      </c>
      <c r="Q27" s="43" t="s">
        <v>202</v>
      </c>
      <c r="R27" s="26"/>
      <c r="S27" s="54" t="s">
        <v>386</v>
      </c>
      <c r="T27" s="26" t="s">
        <v>387</v>
      </c>
      <c r="U27" s="26" t="str">
        <f t="shared" si="0"/>
        <v/>
      </c>
      <c r="V27" s="30">
        <f t="shared" ca="1" si="2"/>
        <v>83</v>
      </c>
    </row>
    <row r="28" spans="1:22" ht="18" customHeight="1" x14ac:dyDescent="0.25">
      <c r="A28" s="31">
        <v>27</v>
      </c>
      <c r="B28" s="31">
        <v>3</v>
      </c>
      <c r="C28" s="31">
        <v>7</v>
      </c>
      <c r="D28" s="31" t="s">
        <v>230</v>
      </c>
      <c r="E28" s="31" t="s">
        <v>310</v>
      </c>
      <c r="F28" s="31">
        <v>16</v>
      </c>
      <c r="G28" s="31" t="s">
        <v>296</v>
      </c>
      <c r="H28" s="35" t="s">
        <v>359</v>
      </c>
      <c r="I28" s="35" t="s">
        <v>333</v>
      </c>
      <c r="J28" s="35" t="s">
        <v>28</v>
      </c>
      <c r="K28" s="35">
        <v>45897</v>
      </c>
      <c r="L28" s="35">
        <v>46022</v>
      </c>
      <c r="M28" s="35">
        <v>46022</v>
      </c>
      <c r="N28" s="34">
        <v>47</v>
      </c>
      <c r="O28" s="33">
        <v>1</v>
      </c>
      <c r="P28" s="154">
        <v>18500</v>
      </c>
      <c r="Q28" s="42" t="s">
        <v>300</v>
      </c>
      <c r="R28" s="31" t="s">
        <v>301</v>
      </c>
      <c r="S28" s="53" t="s">
        <v>388</v>
      </c>
      <c r="T28" s="31" t="s">
        <v>380</v>
      </c>
      <c r="U28" s="31">
        <f t="shared" si="0"/>
        <v>125</v>
      </c>
      <c r="V28" s="32" t="str">
        <f t="shared" ca="1" si="2"/>
        <v/>
      </c>
    </row>
    <row r="29" spans="1:22" ht="18" customHeight="1" x14ac:dyDescent="0.25">
      <c r="A29" s="26">
        <v>28</v>
      </c>
      <c r="B29" s="26">
        <v>3</v>
      </c>
      <c r="C29" s="26">
        <v>12</v>
      </c>
      <c r="D29" s="26" t="s">
        <v>254</v>
      </c>
      <c r="E29" s="26" t="s">
        <v>310</v>
      </c>
      <c r="F29" s="26">
        <v>19</v>
      </c>
      <c r="G29" s="26" t="s">
        <v>296</v>
      </c>
      <c r="H29" s="27" t="s">
        <v>371</v>
      </c>
      <c r="I29" s="27" t="s">
        <v>372</v>
      </c>
      <c r="J29" s="27" t="s">
        <v>28</v>
      </c>
      <c r="K29" s="27">
        <v>45901</v>
      </c>
      <c r="L29" s="27">
        <v>46266</v>
      </c>
      <c r="M29" s="27"/>
      <c r="N29" s="36">
        <v>20</v>
      </c>
      <c r="O29" s="29">
        <v>1</v>
      </c>
      <c r="P29" s="155">
        <v>12550</v>
      </c>
      <c r="Q29" s="43" t="s">
        <v>202</v>
      </c>
      <c r="R29" s="26"/>
      <c r="S29" s="54" t="s">
        <v>389</v>
      </c>
      <c r="T29" s="26" t="s">
        <v>387</v>
      </c>
      <c r="U29" s="26" t="str">
        <f t="shared" si="0"/>
        <v/>
      </c>
      <c r="V29" s="30">
        <f t="shared" ca="1" si="2"/>
        <v>114</v>
      </c>
    </row>
    <row r="30" spans="1:22" ht="18" customHeight="1" x14ac:dyDescent="0.25">
      <c r="A30" s="31">
        <v>29</v>
      </c>
      <c r="B30" s="31">
        <v>3</v>
      </c>
      <c r="C30" s="31">
        <v>9</v>
      </c>
      <c r="D30" s="31" t="s">
        <v>241</v>
      </c>
      <c r="E30" s="31" t="s">
        <v>310</v>
      </c>
      <c r="F30" s="31" t="s">
        <v>390</v>
      </c>
      <c r="G30" s="31" t="s">
        <v>296</v>
      </c>
      <c r="H30" s="35" t="s">
        <v>350</v>
      </c>
      <c r="I30" s="35" t="s">
        <v>340</v>
      </c>
      <c r="J30" s="35" t="s">
        <v>28</v>
      </c>
      <c r="K30" s="35">
        <v>45901</v>
      </c>
      <c r="L30" s="35">
        <v>46143</v>
      </c>
      <c r="M30" s="35">
        <v>46143</v>
      </c>
      <c r="N30" s="37" t="s">
        <v>391</v>
      </c>
      <c r="O30" s="33">
        <v>4</v>
      </c>
      <c r="P30" s="154">
        <v>33330</v>
      </c>
      <c r="Q30" s="42" t="s">
        <v>300</v>
      </c>
      <c r="R30" s="31"/>
      <c r="S30" s="53" t="s">
        <v>392</v>
      </c>
      <c r="T30" s="31" t="s">
        <v>387</v>
      </c>
      <c r="U30" s="31">
        <f t="shared" si="0"/>
        <v>242</v>
      </c>
      <c r="V30" s="32" t="str">
        <f t="shared" ca="1" si="2"/>
        <v/>
      </c>
    </row>
    <row r="31" spans="1:22" ht="18" customHeight="1" x14ac:dyDescent="0.25">
      <c r="A31" s="26">
        <v>30</v>
      </c>
      <c r="B31" s="26">
        <v>1</v>
      </c>
      <c r="C31" s="26">
        <v>13</v>
      </c>
      <c r="D31" s="26" t="s">
        <v>257</v>
      </c>
      <c r="E31" s="26" t="s">
        <v>310</v>
      </c>
      <c r="F31" s="26"/>
      <c r="G31" s="26" t="s">
        <v>296</v>
      </c>
      <c r="H31" s="27" t="s">
        <v>393</v>
      </c>
      <c r="I31" s="27" t="s">
        <v>394</v>
      </c>
      <c r="J31" s="27" t="s">
        <v>28</v>
      </c>
      <c r="K31" s="27">
        <v>45968</v>
      </c>
      <c r="L31" s="27">
        <v>46149</v>
      </c>
      <c r="M31" s="27">
        <v>45994</v>
      </c>
      <c r="N31" s="36">
        <v>6</v>
      </c>
      <c r="O31" s="29">
        <v>1</v>
      </c>
      <c r="P31" s="155">
        <v>14000</v>
      </c>
      <c r="Q31" s="44" t="s">
        <v>306</v>
      </c>
      <c r="R31" s="26" t="s">
        <v>307</v>
      </c>
      <c r="S31" s="54" t="s">
        <v>395</v>
      </c>
      <c r="T31" s="26" t="s">
        <v>396</v>
      </c>
      <c r="U31" s="26">
        <f t="shared" si="0"/>
        <v>26</v>
      </c>
      <c r="V31" s="30" t="str">
        <f t="shared" ca="1" si="2"/>
        <v/>
      </c>
    </row>
    <row r="32" spans="1:22" ht="18" customHeight="1" x14ac:dyDescent="0.25">
      <c r="A32" s="31">
        <v>31</v>
      </c>
      <c r="B32" s="31">
        <v>1</v>
      </c>
      <c r="C32" s="31">
        <v>1</v>
      </c>
      <c r="D32" s="31" t="s">
        <v>195</v>
      </c>
      <c r="E32" s="31" t="s">
        <v>310</v>
      </c>
      <c r="F32" s="31">
        <v>15</v>
      </c>
      <c r="G32" s="31" t="s">
        <v>296</v>
      </c>
      <c r="H32" s="35" t="s">
        <v>355</v>
      </c>
      <c r="I32" s="35" t="s">
        <v>356</v>
      </c>
      <c r="J32" s="35" t="s">
        <v>28</v>
      </c>
      <c r="K32" s="35">
        <v>45976</v>
      </c>
      <c r="L32" s="35">
        <v>46157</v>
      </c>
      <c r="M32" s="35">
        <v>46077</v>
      </c>
      <c r="N32" s="34" t="s">
        <v>357</v>
      </c>
      <c r="O32" s="33">
        <v>2</v>
      </c>
      <c r="P32" s="154">
        <v>22100</v>
      </c>
      <c r="Q32" s="44" t="s">
        <v>306</v>
      </c>
      <c r="R32" s="31" t="s">
        <v>330</v>
      </c>
      <c r="S32" s="53" t="s">
        <v>397</v>
      </c>
      <c r="T32" s="31" t="s">
        <v>398</v>
      </c>
      <c r="U32" s="31">
        <f t="shared" si="0"/>
        <v>101</v>
      </c>
      <c r="V32" s="32" t="str">
        <f t="shared" ca="1" si="2"/>
        <v/>
      </c>
    </row>
    <row r="33" spans="1:22" ht="18" customHeight="1" x14ac:dyDescent="0.25">
      <c r="A33" s="26">
        <v>32</v>
      </c>
      <c r="B33" s="26">
        <v>1</v>
      </c>
      <c r="C33" s="26">
        <v>16</v>
      </c>
      <c r="D33" s="26" t="s">
        <v>272</v>
      </c>
      <c r="E33" s="26" t="s">
        <v>310</v>
      </c>
      <c r="F33" s="26"/>
      <c r="G33" s="26" t="s">
        <v>296</v>
      </c>
      <c r="H33" s="27" t="s">
        <v>324</v>
      </c>
      <c r="I33" s="27" t="s">
        <v>325</v>
      </c>
      <c r="J33" s="27" t="s">
        <v>28</v>
      </c>
      <c r="K33" s="27">
        <v>46062</v>
      </c>
      <c r="L33" s="27">
        <v>46243</v>
      </c>
      <c r="M33" s="27"/>
      <c r="N33" s="36">
        <v>39</v>
      </c>
      <c r="O33" s="29">
        <v>1</v>
      </c>
      <c r="P33" s="155">
        <v>9500</v>
      </c>
      <c r="Q33" s="43" t="s">
        <v>202</v>
      </c>
      <c r="R33" s="26"/>
      <c r="S33" s="54" t="s">
        <v>399</v>
      </c>
      <c r="T33" s="26" t="s">
        <v>400</v>
      </c>
      <c r="U33" s="26" t="str">
        <f t="shared" si="0"/>
        <v/>
      </c>
      <c r="V33" s="30">
        <f t="shared" ca="1" si="2"/>
        <v>91</v>
      </c>
    </row>
    <row r="34" spans="1:22" ht="18" customHeight="1" x14ac:dyDescent="0.25">
      <c r="A34" s="31">
        <v>33</v>
      </c>
      <c r="B34" s="31">
        <v>3</v>
      </c>
      <c r="C34" s="31">
        <v>7</v>
      </c>
      <c r="D34" s="31" t="s">
        <v>230</v>
      </c>
      <c r="E34" s="31" t="s">
        <v>310</v>
      </c>
      <c r="F34" s="31">
        <v>16</v>
      </c>
      <c r="G34" s="31" t="s">
        <v>296</v>
      </c>
      <c r="H34" s="35" t="s">
        <v>359</v>
      </c>
      <c r="I34" s="35" t="s">
        <v>333</v>
      </c>
      <c r="J34" s="35" t="s">
        <v>28</v>
      </c>
      <c r="K34" s="35">
        <v>46082</v>
      </c>
      <c r="L34" s="35">
        <v>46447</v>
      </c>
      <c r="M34" s="35"/>
      <c r="N34" s="34">
        <v>47</v>
      </c>
      <c r="O34" s="33">
        <v>1</v>
      </c>
      <c r="P34" s="154">
        <v>20550</v>
      </c>
      <c r="Q34" s="43" t="s">
        <v>202</v>
      </c>
      <c r="R34" s="31"/>
      <c r="S34" s="53" t="s">
        <v>401</v>
      </c>
      <c r="T34" s="31" t="s">
        <v>402</v>
      </c>
      <c r="U34" s="31" t="str">
        <f t="shared" si="0"/>
        <v/>
      </c>
      <c r="V34" s="32">
        <f t="shared" ca="1" si="2"/>
        <v>295</v>
      </c>
    </row>
    <row r="35" spans="1:22" ht="18" customHeight="1" x14ac:dyDescent="0.25">
      <c r="A35" s="26">
        <v>34</v>
      </c>
      <c r="B35" s="26">
        <v>3</v>
      </c>
      <c r="C35" s="26">
        <v>9</v>
      </c>
      <c r="D35" s="26" t="s">
        <v>241</v>
      </c>
      <c r="E35" s="26" t="s">
        <v>310</v>
      </c>
      <c r="F35" s="26"/>
      <c r="G35" s="26" t="s">
        <v>296</v>
      </c>
      <c r="H35" s="27" t="s">
        <v>350</v>
      </c>
      <c r="I35" s="27" t="s">
        <v>340</v>
      </c>
      <c r="J35" s="27" t="s">
        <v>28</v>
      </c>
      <c r="K35" s="27">
        <v>46083</v>
      </c>
      <c r="L35" s="27">
        <v>46448</v>
      </c>
      <c r="M35" s="27"/>
      <c r="N35" s="28">
        <v>41</v>
      </c>
      <c r="O35" s="29">
        <v>1</v>
      </c>
      <c r="P35" s="155">
        <v>9550</v>
      </c>
      <c r="Q35" s="43" t="s">
        <v>202</v>
      </c>
      <c r="R35" s="26"/>
      <c r="S35" s="54" t="s">
        <v>403</v>
      </c>
      <c r="T35" s="26" t="s">
        <v>404</v>
      </c>
      <c r="U35" s="26" t="str">
        <f t="shared" si="0"/>
        <v/>
      </c>
      <c r="V35" s="30">
        <f t="shared" ca="1" si="2"/>
        <v>296</v>
      </c>
    </row>
    <row r="36" spans="1:22" ht="18" customHeight="1" x14ac:dyDescent="0.25">
      <c r="A36" s="31">
        <v>35</v>
      </c>
      <c r="B36" s="31">
        <v>1</v>
      </c>
      <c r="C36" s="31">
        <v>1</v>
      </c>
      <c r="D36" s="31" t="s">
        <v>195</v>
      </c>
      <c r="E36" s="31" t="s">
        <v>310</v>
      </c>
      <c r="F36" s="31">
        <v>6</v>
      </c>
      <c r="G36" s="31" t="s">
        <v>296</v>
      </c>
      <c r="H36" s="35" t="s">
        <v>324</v>
      </c>
      <c r="I36" s="35" t="s">
        <v>325</v>
      </c>
      <c r="J36" s="35" t="s">
        <v>28</v>
      </c>
      <c r="K36" s="35">
        <v>46088</v>
      </c>
      <c r="L36" s="35">
        <v>46453</v>
      </c>
      <c r="M36" s="35"/>
      <c r="N36" s="34" t="s">
        <v>378</v>
      </c>
      <c r="O36" s="33">
        <v>3</v>
      </c>
      <c r="P36" s="154">
        <v>25500</v>
      </c>
      <c r="Q36" s="43" t="s">
        <v>202</v>
      </c>
      <c r="R36" s="31"/>
      <c r="S36" s="53" t="s">
        <v>405</v>
      </c>
      <c r="T36" s="31" t="s">
        <v>402</v>
      </c>
      <c r="U36" s="31" t="str">
        <f t="shared" si="0"/>
        <v/>
      </c>
      <c r="V36" s="32">
        <f t="shared" ca="1" si="2"/>
        <v>301</v>
      </c>
    </row>
    <row r="37" spans="1:22" ht="18" customHeight="1" x14ac:dyDescent="0.25">
      <c r="A37" s="26">
        <v>36</v>
      </c>
      <c r="B37" s="26">
        <v>3</v>
      </c>
      <c r="C37" s="26">
        <v>9</v>
      </c>
      <c r="D37" s="26" t="s">
        <v>241</v>
      </c>
      <c r="E37" s="26" t="s">
        <v>310</v>
      </c>
      <c r="F37" s="26" t="s">
        <v>390</v>
      </c>
      <c r="G37" s="26" t="s">
        <v>296</v>
      </c>
      <c r="H37" s="27" t="s">
        <v>350</v>
      </c>
      <c r="I37" s="27" t="s">
        <v>340</v>
      </c>
      <c r="J37" s="27" t="s">
        <v>28</v>
      </c>
      <c r="K37" s="27">
        <v>46143</v>
      </c>
      <c r="L37" s="27">
        <v>46508</v>
      </c>
      <c r="M37" s="27"/>
      <c r="N37" s="28" t="s">
        <v>391</v>
      </c>
      <c r="O37" s="29">
        <v>4</v>
      </c>
      <c r="P37" s="155">
        <v>38000</v>
      </c>
      <c r="Q37" s="43" t="s">
        <v>202</v>
      </c>
      <c r="R37" s="26"/>
      <c r="S37" s="54" t="s">
        <v>406</v>
      </c>
      <c r="T37" s="26" t="s">
        <v>407</v>
      </c>
      <c r="U37" s="26" t="str">
        <f t="shared" si="0"/>
        <v/>
      </c>
      <c r="V37" s="30">
        <f t="shared" ca="1" si="2"/>
        <v>356</v>
      </c>
    </row>
  </sheetData>
  <autoFilter ref="A1:V37" xr:uid="{00000000-0009-0000-0000-000003000000}"/>
  <conditionalFormatting sqref="V2:V1048576">
    <cfRule type="expression" dxfId="11" priority="1">
      <formula>AND(V2&lt;&gt;"",V2&lt;30)</formula>
    </cfRule>
  </conditionalFormatting>
  <hyperlinks>
    <hyperlink ref="S2" r:id="rId1" xr:uid="{00000000-0004-0000-0300-000000000000}"/>
    <hyperlink ref="S3" r:id="rId2" xr:uid="{00000000-0004-0000-0300-000001000000}"/>
    <hyperlink ref="S4" r:id="rId3" xr:uid="{00000000-0004-0000-0300-000002000000}"/>
    <hyperlink ref="S5" r:id="rId4" xr:uid="{00000000-0004-0000-0300-000003000000}"/>
    <hyperlink ref="S9" r:id="rId5" xr:uid="{00000000-0004-0000-0300-000004000000}"/>
    <hyperlink ref="S10" r:id="rId6" xr:uid="{00000000-0004-0000-0300-000005000000}"/>
    <hyperlink ref="S11" r:id="rId7" xr:uid="{00000000-0004-0000-0300-000006000000}"/>
    <hyperlink ref="S12" r:id="rId8" xr:uid="{00000000-0004-0000-0300-000007000000}"/>
    <hyperlink ref="S13" r:id="rId9" xr:uid="{00000000-0004-0000-0300-000008000000}"/>
    <hyperlink ref="S14" r:id="rId10" xr:uid="{00000000-0004-0000-0300-000009000000}"/>
    <hyperlink ref="S15" r:id="rId11" xr:uid="{00000000-0004-0000-0300-00000A000000}"/>
    <hyperlink ref="S16" r:id="rId12" xr:uid="{00000000-0004-0000-0300-00000B000000}"/>
    <hyperlink ref="S17" r:id="rId13" xr:uid="{00000000-0004-0000-0300-00000C000000}"/>
    <hyperlink ref="S18" r:id="rId14" xr:uid="{00000000-0004-0000-0300-00000D000000}"/>
    <hyperlink ref="S19" r:id="rId15" xr:uid="{00000000-0004-0000-0300-00000E000000}"/>
    <hyperlink ref="S20" r:id="rId16" xr:uid="{00000000-0004-0000-0300-00000F000000}"/>
    <hyperlink ref="S21" r:id="rId17" display="../../../../../../:b:/s/REDE2/IQAr33YYbT6_Sa8q7wOdLs1YASgHPWykPAj1BmZ0BKXS-1k?e=b5NTFB" xr:uid="{00000000-0004-0000-0300-000010000000}"/>
    <hyperlink ref="S22" r:id="rId18" display="../../../../../../:b:/s/REDE2/IQD2DqYB6pgWT730pNShDbiOAQXYzR74MQLSps7yZwnvdrA?e=lqvLoL" xr:uid="{00000000-0004-0000-0300-000011000000}"/>
    <hyperlink ref="S23" r:id="rId19" display="../../../../../../:b:/s/REDE2/IQD0dEYbnAOySbUPObTQIANaAX6c7hXQ3Ixw4MM0ER3NZFA?e=GBrwMN" xr:uid="{00000000-0004-0000-0300-000012000000}"/>
    <hyperlink ref="S24" r:id="rId20" display="../../../../../../:b:/s/REDE2/IQCJ57E2qan-QZK5OB73Z8uMAWP4quMBMYOIiHk03yFGwoo?e=YFNKBj" xr:uid="{00000000-0004-0000-0300-000013000000}"/>
    <hyperlink ref="S25" r:id="rId21" display="../../../../../../:b:/s/REDE2/IQCvLS9eMW8dS7TbX-QcJgK2AZS-xlLONJ1OzYztOf21hKs?e=qDPagJ" xr:uid="{00000000-0004-0000-0300-000014000000}"/>
    <hyperlink ref="S26" r:id="rId22" display="../../../../../../:b:/s/REDE2/IQAeOn9ZZhVdR5sJlx8qX3FcAa2xcM9SitZlQ7nDZAEg9Vo?e=5lBh0c" xr:uid="{00000000-0004-0000-0300-000015000000}"/>
    <hyperlink ref="S27" r:id="rId23" display="../../../../../../:b:/s/REDE2/IQCNgoKfLm2oRreXv0zjLxteAf9dAUe_jVWLTVXQ_46INQg?e=iXftse" xr:uid="{00000000-0004-0000-0300-000016000000}"/>
    <hyperlink ref="S28" r:id="rId24" display="../../../../../../:b:/s/REDE2/IQDJsGjxmpf9SbcAhN5ogMDyAVtsU1Z2iVxCSSJOL--IHRA?e=fS0Nl9" xr:uid="{00000000-0004-0000-0300-000017000000}"/>
    <hyperlink ref="S29" r:id="rId25" display="../../../../../../:b:/s/REDE2/IQD5kBKcXmMLTZ-S3VZ7eAyRAaJ47EE2Wfp4Yk5axEgdmbw?e=gWUM8j" xr:uid="{00000000-0004-0000-0300-000018000000}"/>
    <hyperlink ref="S30" r:id="rId26" display="../../../../../../:b:/s/REDE2/IQA1s36eLaGbQJ8AMo3DJ6KOAZ8aHMNeyjKltRZx1lPBnMY?e=XK1nhd" xr:uid="{00000000-0004-0000-0300-000019000000}"/>
    <hyperlink ref="S31" r:id="rId27" display="../../../../../../:b:/s/REDE2/IQDyi5gm6H45TZFFVTmE7tFaAWLm0FkNB9hC7d6T_j24NFw?e=949mMb" xr:uid="{00000000-0004-0000-0300-00001A000000}"/>
    <hyperlink ref="S32" r:id="rId28" display="../../../../../../:b:/s/REDE2/IQCo5YTbGMBuSpC0wWGKeP-bASenVCgVCS4DfViu36VWDaM?e=pAodyH" xr:uid="{00000000-0004-0000-0300-00001B000000}"/>
    <hyperlink ref="S33" r:id="rId29" display="../../../../../../:b:/s/REDE2/IQBlPRI8nPI2R5UArr-zp034AeZ-PczysSAwlXtdi2NvZhA?e=mBXOuZ" xr:uid="{00000000-0004-0000-0300-00001C000000}"/>
    <hyperlink ref="S34" r:id="rId30" display="../../../../../../:b:/s/REDE2/IQDUswWcSBSpRq6rS4aYREl4AfokpIDbJSIMdbxRjyWdIaE?e=UYQ87U" xr:uid="{00000000-0004-0000-0300-00001D000000}"/>
    <hyperlink ref="S35" r:id="rId31" display="../../../../../../:b:/s/REDE2/IQC5dubiYHTJQpLQy8RrzAADAU00NbiUIg1uUr26ik6aV1U?e=Q8XiQG" xr:uid="{00000000-0004-0000-0300-00001E000000}"/>
    <hyperlink ref="S36" r:id="rId32" display="../../../../../../:b:/s/REDE2/IQBHkQYfJkUiR4cuzdC7cQSZAf5h-2zvw1h6gnIX-lPzRDw?e=4s9j2Z" xr:uid="{00000000-0004-0000-0300-00001F000000}"/>
    <hyperlink ref="S37" r:id="rId33" display="../../../../../../:b:/s/REDE2/IQBYRC__US3nTpUymE3P9CWhAd1mSqpBgEO8PT1OEiaGZvg?e=6p9tXg" xr:uid="{00000000-0004-0000-0300-00002000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1"/>
  <sheetViews>
    <sheetView topLeftCell="A219" zoomScale="85" zoomScaleNormal="85" workbookViewId="0">
      <selection activeCell="L232" sqref="L232"/>
    </sheetView>
  </sheetViews>
  <sheetFormatPr defaultColWidth="9" defaultRowHeight="18" customHeight="1" x14ac:dyDescent="0.25"/>
  <cols>
    <col min="1" max="1" width="15.42578125" style="41" bestFit="1" customWidth="1"/>
    <col min="2" max="2" width="7.42578125" style="41" bestFit="1" customWidth="1"/>
    <col min="3" max="3" width="12.140625" style="41" bestFit="1" customWidth="1"/>
    <col min="4" max="4" width="13.28515625" style="41" bestFit="1" customWidth="1"/>
    <col min="5" max="5" width="9.7109375" style="41" bestFit="1" customWidth="1"/>
    <col min="6" max="6" width="13.28515625" style="41" bestFit="1" customWidth="1"/>
    <col min="7" max="7" width="18.42578125" style="41" bestFit="1" customWidth="1"/>
    <col min="8" max="8" width="13.28515625" style="41" bestFit="1" customWidth="1"/>
    <col min="9" max="9" width="10.7109375" style="41" bestFit="1" customWidth="1"/>
    <col min="10" max="10" width="13.7109375" style="41" bestFit="1" customWidth="1"/>
    <col min="11" max="11" width="9.85546875" style="41" bestFit="1" customWidth="1"/>
    <col min="12" max="12" width="13.5703125" style="41" bestFit="1" customWidth="1"/>
    <col min="13" max="13" width="18.140625" style="41" hidden="1" customWidth="1"/>
    <col min="14" max="14" width="9" style="41" customWidth="1"/>
    <col min="15" max="16384" width="9" style="41"/>
  </cols>
  <sheetData>
    <row r="1" spans="1:13" ht="18" customHeight="1" x14ac:dyDescent="0.25">
      <c r="A1" s="19" t="s">
        <v>408</v>
      </c>
      <c r="B1" s="19" t="s">
        <v>409</v>
      </c>
      <c r="C1" s="19" t="s">
        <v>46</v>
      </c>
      <c r="D1" s="19" t="s">
        <v>0</v>
      </c>
      <c r="E1" s="19" t="s">
        <v>47</v>
      </c>
      <c r="F1" s="19" t="s">
        <v>50</v>
      </c>
      <c r="G1" s="19" t="s">
        <v>56</v>
      </c>
      <c r="H1" s="19" t="s">
        <v>277</v>
      </c>
      <c r="I1" s="19" t="s">
        <v>410</v>
      </c>
      <c r="J1" s="19" t="s">
        <v>411</v>
      </c>
      <c r="K1" s="19" t="s">
        <v>412</v>
      </c>
      <c r="L1" s="19" t="s">
        <v>413</v>
      </c>
      <c r="M1" s="19" t="s">
        <v>414</v>
      </c>
    </row>
    <row r="2" spans="1:13" ht="18" customHeight="1" x14ac:dyDescent="0.25">
      <c r="A2" s="59">
        <v>1</v>
      </c>
      <c r="B2" s="58">
        <v>45658</v>
      </c>
      <c r="C2" s="59">
        <v>24</v>
      </c>
      <c r="D2" s="59">
        <v>1</v>
      </c>
      <c r="E2" s="59" t="s">
        <v>141</v>
      </c>
      <c r="F2" s="59" t="s">
        <v>415</v>
      </c>
      <c r="G2" s="59" t="s">
        <v>86</v>
      </c>
      <c r="H2" s="59">
        <v>11</v>
      </c>
      <c r="I2" s="156">
        <f>12000/30</f>
        <v>400</v>
      </c>
      <c r="J2" s="59">
        <v>30</v>
      </c>
      <c r="K2" s="59">
        <f t="shared" ref="K2:K33" si="0">IF(J2="", 0, 30 - J2)</f>
        <v>0</v>
      </c>
      <c r="L2" s="156">
        <f t="shared" ref="L2:L19" si="1">I2*J2</f>
        <v>12000</v>
      </c>
      <c r="M2" s="59" t="s">
        <v>344</v>
      </c>
    </row>
    <row r="3" spans="1:13" ht="18" customHeight="1" x14ac:dyDescent="0.25">
      <c r="A3" s="62">
        <v>2</v>
      </c>
      <c r="B3" s="61">
        <v>45658</v>
      </c>
      <c r="C3" s="62">
        <v>17</v>
      </c>
      <c r="D3" s="62">
        <v>1</v>
      </c>
      <c r="E3" s="62" t="s">
        <v>119</v>
      </c>
      <c r="F3" s="62" t="s">
        <v>416</v>
      </c>
      <c r="G3" s="62" t="s">
        <v>122</v>
      </c>
      <c r="H3" s="62">
        <v>17</v>
      </c>
      <c r="I3" s="157">
        <f>10000/30</f>
        <v>333.33333333333331</v>
      </c>
      <c r="J3" s="62">
        <v>30</v>
      </c>
      <c r="K3" s="62">
        <f t="shared" si="0"/>
        <v>0</v>
      </c>
      <c r="L3" s="157">
        <f t="shared" si="1"/>
        <v>10000</v>
      </c>
      <c r="M3" s="62" t="s">
        <v>344</v>
      </c>
    </row>
    <row r="4" spans="1:13" ht="18" customHeight="1" x14ac:dyDescent="0.25">
      <c r="A4" s="59">
        <v>3</v>
      </c>
      <c r="B4" s="58">
        <v>45658</v>
      </c>
      <c r="C4" s="59">
        <v>20</v>
      </c>
      <c r="D4" s="59">
        <v>1</v>
      </c>
      <c r="E4" s="59" t="s">
        <v>128</v>
      </c>
      <c r="F4" s="59" t="s">
        <v>417</v>
      </c>
      <c r="G4" s="59" t="s">
        <v>122</v>
      </c>
      <c r="H4" s="59">
        <v>20</v>
      </c>
      <c r="I4" s="156">
        <f>12000/30</f>
        <v>400</v>
      </c>
      <c r="J4" s="59">
        <v>30</v>
      </c>
      <c r="K4" s="59">
        <f t="shared" si="0"/>
        <v>0</v>
      </c>
      <c r="L4" s="156">
        <f t="shared" si="1"/>
        <v>12000</v>
      </c>
      <c r="M4" s="59" t="s">
        <v>372</v>
      </c>
    </row>
    <row r="5" spans="1:13" ht="18" customHeight="1" x14ac:dyDescent="0.25">
      <c r="A5" s="62">
        <v>4</v>
      </c>
      <c r="B5" s="61">
        <v>45658</v>
      </c>
      <c r="C5" s="62">
        <v>43</v>
      </c>
      <c r="D5" s="62">
        <v>1</v>
      </c>
      <c r="E5" s="62" t="s">
        <v>169</v>
      </c>
      <c r="F5" s="62" t="s">
        <v>418</v>
      </c>
      <c r="G5" s="62" t="s">
        <v>93</v>
      </c>
      <c r="H5" s="62">
        <v>10</v>
      </c>
      <c r="I5" s="157">
        <f>7100/30</f>
        <v>236.66666666666666</v>
      </c>
      <c r="J5" s="62">
        <v>30</v>
      </c>
      <c r="K5" s="62">
        <f t="shared" si="0"/>
        <v>0</v>
      </c>
      <c r="L5" s="157">
        <f t="shared" si="1"/>
        <v>7100</v>
      </c>
      <c r="M5" s="62" t="s">
        <v>340</v>
      </c>
    </row>
    <row r="6" spans="1:13" ht="18" customHeight="1" x14ac:dyDescent="0.25">
      <c r="A6" s="59">
        <v>5</v>
      </c>
      <c r="B6" s="58">
        <v>45658</v>
      </c>
      <c r="C6" s="59">
        <v>42</v>
      </c>
      <c r="D6" s="59">
        <v>1</v>
      </c>
      <c r="E6" s="59" t="s">
        <v>167</v>
      </c>
      <c r="F6" s="59" t="s">
        <v>418</v>
      </c>
      <c r="G6" s="59" t="s">
        <v>93</v>
      </c>
      <c r="H6" s="59">
        <v>10</v>
      </c>
      <c r="I6" s="156">
        <f>7100/30</f>
        <v>236.66666666666666</v>
      </c>
      <c r="J6" s="59">
        <v>30</v>
      </c>
      <c r="K6" s="59">
        <f t="shared" si="0"/>
        <v>0</v>
      </c>
      <c r="L6" s="156">
        <f t="shared" si="1"/>
        <v>7100</v>
      </c>
      <c r="M6" s="59" t="s">
        <v>340</v>
      </c>
    </row>
    <row r="7" spans="1:13" ht="18" customHeight="1" x14ac:dyDescent="0.25">
      <c r="A7" s="62">
        <v>6</v>
      </c>
      <c r="B7" s="61">
        <v>45658</v>
      </c>
      <c r="C7" s="62">
        <v>46</v>
      </c>
      <c r="D7" s="62">
        <v>1</v>
      </c>
      <c r="E7" s="62" t="s">
        <v>173</v>
      </c>
      <c r="F7" s="62" t="s">
        <v>418</v>
      </c>
      <c r="G7" s="62" t="s">
        <v>93</v>
      </c>
      <c r="H7" s="62">
        <v>13</v>
      </c>
      <c r="I7" s="157">
        <f>7100/30</f>
        <v>236.66666666666666</v>
      </c>
      <c r="J7" s="62">
        <v>30</v>
      </c>
      <c r="K7" s="62">
        <f t="shared" si="0"/>
        <v>0</v>
      </c>
      <c r="L7" s="157">
        <f t="shared" si="1"/>
        <v>7100</v>
      </c>
      <c r="M7" s="62" t="s">
        <v>340</v>
      </c>
    </row>
    <row r="8" spans="1:13" ht="18" customHeight="1" x14ac:dyDescent="0.25">
      <c r="A8" s="59">
        <v>7</v>
      </c>
      <c r="B8" s="58">
        <v>45658</v>
      </c>
      <c r="C8" s="59">
        <v>34</v>
      </c>
      <c r="D8" s="59">
        <v>1</v>
      </c>
      <c r="E8" s="59" t="s">
        <v>155</v>
      </c>
      <c r="F8" s="59" t="s">
        <v>419</v>
      </c>
      <c r="G8" s="59" t="s">
        <v>182</v>
      </c>
      <c r="H8" s="59">
        <v>10</v>
      </c>
      <c r="I8" s="156">
        <f>9000/30</f>
        <v>300</v>
      </c>
      <c r="J8" s="59">
        <v>30</v>
      </c>
      <c r="K8" s="59">
        <f t="shared" si="0"/>
        <v>0</v>
      </c>
      <c r="L8" s="156">
        <f t="shared" si="1"/>
        <v>9000</v>
      </c>
      <c r="M8" s="59" t="s">
        <v>340</v>
      </c>
    </row>
    <row r="9" spans="1:13" ht="18" customHeight="1" x14ac:dyDescent="0.25">
      <c r="A9" s="62">
        <v>8</v>
      </c>
      <c r="B9" s="61">
        <v>45658</v>
      </c>
      <c r="C9" s="62">
        <v>45</v>
      </c>
      <c r="D9" s="62">
        <v>1</v>
      </c>
      <c r="E9" s="62" t="s">
        <v>172</v>
      </c>
      <c r="F9" s="62" t="s">
        <v>418</v>
      </c>
      <c r="G9" s="62" t="s">
        <v>93</v>
      </c>
      <c r="H9" s="62">
        <v>6</v>
      </c>
      <c r="I9" s="157">
        <f>6500/30</f>
        <v>216.66666666666666</v>
      </c>
      <c r="J9" s="62">
        <v>30</v>
      </c>
      <c r="K9" s="62">
        <f t="shared" si="0"/>
        <v>0</v>
      </c>
      <c r="L9" s="157">
        <f t="shared" si="1"/>
        <v>6500</v>
      </c>
      <c r="M9" s="62" t="s">
        <v>325</v>
      </c>
    </row>
    <row r="10" spans="1:13" ht="18" customHeight="1" x14ac:dyDescent="0.25">
      <c r="A10" s="59">
        <v>9</v>
      </c>
      <c r="B10" s="58">
        <v>45658</v>
      </c>
      <c r="C10" s="59">
        <v>44</v>
      </c>
      <c r="D10" s="59">
        <v>1</v>
      </c>
      <c r="E10" s="59" t="s">
        <v>170</v>
      </c>
      <c r="F10" s="59" t="s">
        <v>418</v>
      </c>
      <c r="G10" s="59" t="s">
        <v>93</v>
      </c>
      <c r="H10" s="59">
        <v>6</v>
      </c>
      <c r="I10" s="156">
        <f>6500/30</f>
        <v>216.66666666666666</v>
      </c>
      <c r="J10" s="59">
        <v>30</v>
      </c>
      <c r="K10" s="59">
        <f t="shared" si="0"/>
        <v>0</v>
      </c>
      <c r="L10" s="156">
        <f t="shared" si="1"/>
        <v>6500</v>
      </c>
      <c r="M10" s="59" t="s">
        <v>325</v>
      </c>
    </row>
    <row r="11" spans="1:13" ht="18" customHeight="1" x14ac:dyDescent="0.25">
      <c r="A11" s="62">
        <v>10</v>
      </c>
      <c r="B11" s="61">
        <v>45658</v>
      </c>
      <c r="C11" s="62">
        <v>40</v>
      </c>
      <c r="D11" s="62">
        <v>1</v>
      </c>
      <c r="E11" s="62" t="s">
        <v>165</v>
      </c>
      <c r="F11" s="62" t="s">
        <v>418</v>
      </c>
      <c r="G11" s="62" t="s">
        <v>159</v>
      </c>
      <c r="H11" s="62">
        <v>6</v>
      </c>
      <c r="I11" s="157">
        <f>7000/30</f>
        <v>233.33333333333334</v>
      </c>
      <c r="J11" s="62">
        <v>30</v>
      </c>
      <c r="K11" s="62">
        <f t="shared" si="0"/>
        <v>0</v>
      </c>
      <c r="L11" s="157">
        <f t="shared" si="1"/>
        <v>7000</v>
      </c>
      <c r="M11" s="62" t="s">
        <v>325</v>
      </c>
    </row>
    <row r="12" spans="1:13" ht="18" customHeight="1" x14ac:dyDescent="0.25">
      <c r="A12" s="59">
        <v>11</v>
      </c>
      <c r="B12" s="58">
        <v>45658</v>
      </c>
      <c r="C12" s="59">
        <v>41</v>
      </c>
      <c r="D12" s="59">
        <v>1</v>
      </c>
      <c r="E12" s="59" t="s">
        <v>166</v>
      </c>
      <c r="F12" s="59" t="s">
        <v>418</v>
      </c>
      <c r="G12" s="59" t="s">
        <v>159</v>
      </c>
      <c r="H12" s="59">
        <v>21</v>
      </c>
      <c r="I12" s="156">
        <f>8000/30</f>
        <v>266.66666666666669</v>
      </c>
      <c r="J12" s="59">
        <v>28</v>
      </c>
      <c r="K12" s="59">
        <f t="shared" si="0"/>
        <v>2</v>
      </c>
      <c r="L12" s="156">
        <f t="shared" si="1"/>
        <v>7466.666666666667</v>
      </c>
      <c r="M12" s="59" t="s">
        <v>356</v>
      </c>
    </row>
    <row r="13" spans="1:13" ht="18" customHeight="1" x14ac:dyDescent="0.25">
      <c r="A13" s="62">
        <v>12</v>
      </c>
      <c r="B13" s="61">
        <v>45658</v>
      </c>
      <c r="C13" s="62">
        <v>39</v>
      </c>
      <c r="D13" s="62">
        <v>1</v>
      </c>
      <c r="E13" s="62" t="s">
        <v>162</v>
      </c>
      <c r="F13" s="62" t="s">
        <v>418</v>
      </c>
      <c r="G13" s="62" t="s">
        <v>159</v>
      </c>
      <c r="H13" s="62">
        <v>21</v>
      </c>
      <c r="I13" s="157">
        <f>8000/30</f>
        <v>266.66666666666669</v>
      </c>
      <c r="J13" s="62">
        <v>30</v>
      </c>
      <c r="K13" s="62">
        <f t="shared" si="0"/>
        <v>0</v>
      </c>
      <c r="L13" s="157">
        <f t="shared" si="1"/>
        <v>8000.0000000000009</v>
      </c>
      <c r="M13" s="62" t="s">
        <v>356</v>
      </c>
    </row>
    <row r="14" spans="1:13" ht="18" customHeight="1" x14ac:dyDescent="0.25">
      <c r="A14" s="59">
        <v>13</v>
      </c>
      <c r="B14" s="58">
        <v>45658</v>
      </c>
      <c r="C14" s="59">
        <v>47</v>
      </c>
      <c r="D14" s="59">
        <v>1</v>
      </c>
      <c r="E14" s="59" t="s">
        <v>174</v>
      </c>
      <c r="F14" s="59" t="s">
        <v>420</v>
      </c>
      <c r="G14" s="59" t="s">
        <v>421</v>
      </c>
      <c r="H14" s="59">
        <v>16</v>
      </c>
      <c r="I14" s="156">
        <f>15000/30</f>
        <v>500</v>
      </c>
      <c r="J14" s="59">
        <v>30</v>
      </c>
      <c r="K14" s="59">
        <f t="shared" si="0"/>
        <v>0</v>
      </c>
      <c r="L14" s="156">
        <f t="shared" si="1"/>
        <v>15000</v>
      </c>
      <c r="M14" s="59" t="s">
        <v>333</v>
      </c>
    </row>
    <row r="15" spans="1:13" ht="18" customHeight="1" x14ac:dyDescent="0.25">
      <c r="A15" s="62">
        <v>14</v>
      </c>
      <c r="B15" s="61">
        <v>45658</v>
      </c>
      <c r="C15" s="62">
        <v>33</v>
      </c>
      <c r="D15" s="62">
        <v>1</v>
      </c>
      <c r="E15" s="62" t="s">
        <v>154</v>
      </c>
      <c r="F15" s="62" t="s">
        <v>422</v>
      </c>
      <c r="G15" s="62" t="s">
        <v>423</v>
      </c>
      <c r="H15" s="62">
        <v>7</v>
      </c>
      <c r="I15" s="157">
        <f>2900/30</f>
        <v>96.666666666666671</v>
      </c>
      <c r="J15" s="62">
        <v>22</v>
      </c>
      <c r="K15" s="62">
        <f t="shared" si="0"/>
        <v>8</v>
      </c>
      <c r="L15" s="157">
        <f t="shared" si="1"/>
        <v>2126.666666666667</v>
      </c>
      <c r="M15" s="62" t="s">
        <v>205</v>
      </c>
    </row>
    <row r="16" spans="1:13" ht="18" customHeight="1" x14ac:dyDescent="0.25">
      <c r="A16" s="59">
        <v>15</v>
      </c>
      <c r="B16" s="58">
        <v>45658</v>
      </c>
      <c r="C16" s="59">
        <v>6</v>
      </c>
      <c r="D16" s="59">
        <v>1</v>
      </c>
      <c r="E16" s="59" t="s">
        <v>85</v>
      </c>
      <c r="F16" s="59" t="s">
        <v>424</v>
      </c>
      <c r="G16" s="59" t="s">
        <v>86</v>
      </c>
      <c r="H16" s="59">
        <v>19</v>
      </c>
      <c r="I16" s="156">
        <f>12000/30</f>
        <v>400</v>
      </c>
      <c r="J16" s="59">
        <v>22</v>
      </c>
      <c r="K16" s="59">
        <f t="shared" si="0"/>
        <v>8</v>
      </c>
      <c r="L16" s="156">
        <f t="shared" si="1"/>
        <v>8800</v>
      </c>
      <c r="M16" s="59" t="s">
        <v>333</v>
      </c>
    </row>
    <row r="17" spans="1:13" ht="18" customHeight="1" x14ac:dyDescent="0.25">
      <c r="A17" s="62">
        <v>16</v>
      </c>
      <c r="B17" s="61">
        <v>45658</v>
      </c>
      <c r="C17" s="62">
        <v>7</v>
      </c>
      <c r="D17" s="62">
        <v>1</v>
      </c>
      <c r="E17" s="62" t="s">
        <v>91</v>
      </c>
      <c r="F17" s="62" t="s">
        <v>425</v>
      </c>
      <c r="G17" s="62" t="s">
        <v>426</v>
      </c>
      <c r="H17" s="62"/>
      <c r="I17" s="157">
        <v>0</v>
      </c>
      <c r="J17" s="62">
        <v>0</v>
      </c>
      <c r="K17" s="62">
        <f t="shared" si="0"/>
        <v>30</v>
      </c>
      <c r="L17" s="157">
        <f t="shared" si="1"/>
        <v>0</v>
      </c>
      <c r="M17" s="62" t="s">
        <v>412</v>
      </c>
    </row>
    <row r="18" spans="1:13" ht="18" customHeight="1" x14ac:dyDescent="0.25">
      <c r="A18" s="62">
        <v>18</v>
      </c>
      <c r="B18" s="61">
        <v>45689</v>
      </c>
      <c r="C18" s="62">
        <v>24</v>
      </c>
      <c r="D18" s="62">
        <v>1</v>
      </c>
      <c r="E18" s="62" t="s">
        <v>141</v>
      </c>
      <c r="F18" s="62" t="s">
        <v>415</v>
      </c>
      <c r="G18" s="62" t="s">
        <v>86</v>
      </c>
      <c r="H18" s="62">
        <v>11</v>
      </c>
      <c r="I18" s="157">
        <f>12000/30</f>
        <v>400</v>
      </c>
      <c r="J18" s="62">
        <v>30</v>
      </c>
      <c r="K18" s="62">
        <f t="shared" si="0"/>
        <v>0</v>
      </c>
      <c r="L18" s="157">
        <f t="shared" si="1"/>
        <v>12000</v>
      </c>
      <c r="M18" s="62" t="s">
        <v>344</v>
      </c>
    </row>
    <row r="19" spans="1:13" ht="18" customHeight="1" x14ac:dyDescent="0.25">
      <c r="A19" s="59">
        <v>19</v>
      </c>
      <c r="B19" s="58">
        <v>45689</v>
      </c>
      <c r="C19" s="59">
        <v>17</v>
      </c>
      <c r="D19" s="59">
        <v>1</v>
      </c>
      <c r="E19" s="59" t="s">
        <v>119</v>
      </c>
      <c r="F19" s="59" t="s">
        <v>416</v>
      </c>
      <c r="G19" s="59" t="s">
        <v>122</v>
      </c>
      <c r="H19" s="59">
        <v>17</v>
      </c>
      <c r="I19" s="156">
        <f>10000/30</f>
        <v>333.33333333333331</v>
      </c>
      <c r="J19" s="59">
        <v>30</v>
      </c>
      <c r="K19" s="59">
        <f t="shared" si="0"/>
        <v>0</v>
      </c>
      <c r="L19" s="156">
        <f t="shared" si="1"/>
        <v>10000</v>
      </c>
      <c r="M19" s="59" t="s">
        <v>344</v>
      </c>
    </row>
    <row r="20" spans="1:13" ht="18" customHeight="1" x14ac:dyDescent="0.25">
      <c r="A20" s="62">
        <v>20</v>
      </c>
      <c r="B20" s="61">
        <v>45689</v>
      </c>
      <c r="C20" s="62">
        <v>20</v>
      </c>
      <c r="D20" s="62">
        <v>1</v>
      </c>
      <c r="E20" s="62" t="s">
        <v>128</v>
      </c>
      <c r="F20" s="62" t="s">
        <v>417</v>
      </c>
      <c r="G20" s="62" t="s">
        <v>122</v>
      </c>
      <c r="H20" s="62">
        <v>20</v>
      </c>
      <c r="I20" s="157">
        <f>12000/30</f>
        <v>400</v>
      </c>
      <c r="J20" s="62">
        <v>28</v>
      </c>
      <c r="K20" s="62">
        <f t="shared" si="0"/>
        <v>2</v>
      </c>
      <c r="L20" s="157">
        <v>11100</v>
      </c>
      <c r="M20" s="62" t="s">
        <v>372</v>
      </c>
    </row>
    <row r="21" spans="1:13" ht="18" customHeight="1" x14ac:dyDescent="0.25">
      <c r="A21" s="59">
        <v>21</v>
      </c>
      <c r="B21" s="58">
        <v>45689</v>
      </c>
      <c r="C21" s="59">
        <v>43</v>
      </c>
      <c r="D21" s="59">
        <v>1</v>
      </c>
      <c r="E21" s="59" t="s">
        <v>169</v>
      </c>
      <c r="F21" s="59" t="s">
        <v>418</v>
      </c>
      <c r="G21" s="59" t="s">
        <v>93</v>
      </c>
      <c r="H21" s="59">
        <v>10</v>
      </c>
      <c r="I21" s="156">
        <f>7100/30</f>
        <v>236.66666666666666</v>
      </c>
      <c r="J21" s="59">
        <v>30</v>
      </c>
      <c r="K21" s="59">
        <f t="shared" si="0"/>
        <v>0</v>
      </c>
      <c r="L21" s="156">
        <f t="shared" ref="L21:L64" si="2">I21*J21</f>
        <v>7100</v>
      </c>
      <c r="M21" s="59" t="s">
        <v>340</v>
      </c>
    </row>
    <row r="22" spans="1:13" ht="18" customHeight="1" x14ac:dyDescent="0.25">
      <c r="A22" s="62">
        <v>22</v>
      </c>
      <c r="B22" s="61">
        <v>45689</v>
      </c>
      <c r="C22" s="62">
        <v>42</v>
      </c>
      <c r="D22" s="62">
        <v>1</v>
      </c>
      <c r="E22" s="62" t="s">
        <v>167</v>
      </c>
      <c r="F22" s="62" t="s">
        <v>418</v>
      </c>
      <c r="G22" s="62" t="s">
        <v>93</v>
      </c>
      <c r="H22" s="62">
        <v>10</v>
      </c>
      <c r="I22" s="157">
        <f>7100/30</f>
        <v>236.66666666666666</v>
      </c>
      <c r="J22" s="62">
        <v>30</v>
      </c>
      <c r="K22" s="62">
        <f t="shared" si="0"/>
        <v>0</v>
      </c>
      <c r="L22" s="157">
        <f t="shared" si="2"/>
        <v>7100</v>
      </c>
      <c r="M22" s="62" t="s">
        <v>340</v>
      </c>
    </row>
    <row r="23" spans="1:13" ht="18" customHeight="1" x14ac:dyDescent="0.25">
      <c r="A23" s="59">
        <v>23</v>
      </c>
      <c r="B23" s="58">
        <v>45689</v>
      </c>
      <c r="C23" s="59">
        <v>46</v>
      </c>
      <c r="D23" s="59">
        <v>1</v>
      </c>
      <c r="E23" s="59" t="s">
        <v>173</v>
      </c>
      <c r="F23" s="59" t="s">
        <v>418</v>
      </c>
      <c r="G23" s="59" t="s">
        <v>93</v>
      </c>
      <c r="H23" s="59">
        <v>13</v>
      </c>
      <c r="I23" s="156">
        <f>7100/30</f>
        <v>236.66666666666666</v>
      </c>
      <c r="J23" s="59">
        <v>30</v>
      </c>
      <c r="K23" s="59">
        <f t="shared" si="0"/>
        <v>0</v>
      </c>
      <c r="L23" s="156">
        <f t="shared" si="2"/>
        <v>7100</v>
      </c>
      <c r="M23" s="59" t="s">
        <v>340</v>
      </c>
    </row>
    <row r="24" spans="1:13" ht="18" customHeight="1" x14ac:dyDescent="0.25">
      <c r="A24" s="62">
        <v>24</v>
      </c>
      <c r="B24" s="61">
        <v>45689</v>
      </c>
      <c r="C24" s="62">
        <v>34</v>
      </c>
      <c r="D24" s="62">
        <v>1</v>
      </c>
      <c r="E24" s="62" t="s">
        <v>155</v>
      </c>
      <c r="F24" s="62" t="s">
        <v>419</v>
      </c>
      <c r="G24" s="62" t="s">
        <v>182</v>
      </c>
      <c r="H24" s="62">
        <v>10</v>
      </c>
      <c r="I24" s="157">
        <f>9000/30</f>
        <v>300</v>
      </c>
      <c r="J24" s="62">
        <v>30</v>
      </c>
      <c r="K24" s="62">
        <f t="shared" si="0"/>
        <v>0</v>
      </c>
      <c r="L24" s="157">
        <f t="shared" si="2"/>
        <v>9000</v>
      </c>
      <c r="M24" s="62" t="s">
        <v>340</v>
      </c>
    </row>
    <row r="25" spans="1:13" ht="18" customHeight="1" x14ac:dyDescent="0.25">
      <c r="A25" s="59">
        <v>25</v>
      </c>
      <c r="B25" s="58">
        <v>45689</v>
      </c>
      <c r="C25" s="59">
        <v>45</v>
      </c>
      <c r="D25" s="59">
        <v>1</v>
      </c>
      <c r="E25" s="59" t="s">
        <v>172</v>
      </c>
      <c r="F25" s="59" t="s">
        <v>418</v>
      </c>
      <c r="G25" s="59" t="s">
        <v>93</v>
      </c>
      <c r="H25" s="59">
        <v>6</v>
      </c>
      <c r="I25" s="156">
        <f>6500/30</f>
        <v>216.66666666666666</v>
      </c>
      <c r="J25" s="59">
        <v>30</v>
      </c>
      <c r="K25" s="59">
        <f t="shared" si="0"/>
        <v>0</v>
      </c>
      <c r="L25" s="156">
        <f t="shared" si="2"/>
        <v>6500</v>
      </c>
      <c r="M25" s="59" t="s">
        <v>325</v>
      </c>
    </row>
    <row r="26" spans="1:13" ht="18" customHeight="1" x14ac:dyDescent="0.25">
      <c r="A26" s="62">
        <v>26</v>
      </c>
      <c r="B26" s="61">
        <v>45689</v>
      </c>
      <c r="C26" s="62">
        <v>44</v>
      </c>
      <c r="D26" s="62">
        <v>1</v>
      </c>
      <c r="E26" s="62" t="s">
        <v>170</v>
      </c>
      <c r="F26" s="62" t="s">
        <v>418</v>
      </c>
      <c r="G26" s="62" t="s">
        <v>93</v>
      </c>
      <c r="H26" s="62">
        <v>6</v>
      </c>
      <c r="I26" s="157">
        <f>6500/30</f>
        <v>216.66666666666666</v>
      </c>
      <c r="J26" s="62">
        <v>30</v>
      </c>
      <c r="K26" s="62">
        <f t="shared" si="0"/>
        <v>0</v>
      </c>
      <c r="L26" s="157">
        <f t="shared" si="2"/>
        <v>6500</v>
      </c>
      <c r="M26" s="62" t="s">
        <v>325</v>
      </c>
    </row>
    <row r="27" spans="1:13" ht="18" customHeight="1" x14ac:dyDescent="0.25">
      <c r="A27" s="59">
        <v>27</v>
      </c>
      <c r="B27" s="58">
        <v>45689</v>
      </c>
      <c r="C27" s="59">
        <v>40</v>
      </c>
      <c r="D27" s="59">
        <v>1</v>
      </c>
      <c r="E27" s="59" t="s">
        <v>165</v>
      </c>
      <c r="F27" s="59" t="s">
        <v>418</v>
      </c>
      <c r="G27" s="59" t="s">
        <v>159</v>
      </c>
      <c r="H27" s="59">
        <v>6</v>
      </c>
      <c r="I27" s="156">
        <f>7000/30</f>
        <v>233.33333333333334</v>
      </c>
      <c r="J27" s="59">
        <v>30</v>
      </c>
      <c r="K27" s="59">
        <f t="shared" si="0"/>
        <v>0</v>
      </c>
      <c r="L27" s="156">
        <f t="shared" si="2"/>
        <v>7000</v>
      </c>
      <c r="M27" s="59" t="s">
        <v>325</v>
      </c>
    </row>
    <row r="28" spans="1:13" ht="18" customHeight="1" x14ac:dyDescent="0.25">
      <c r="A28" s="62">
        <v>28</v>
      </c>
      <c r="B28" s="61">
        <v>45689</v>
      </c>
      <c r="C28" s="62">
        <v>41</v>
      </c>
      <c r="D28" s="62">
        <v>1</v>
      </c>
      <c r="E28" s="62" t="s">
        <v>166</v>
      </c>
      <c r="F28" s="62" t="s">
        <v>418</v>
      </c>
      <c r="G28" s="62" t="s">
        <v>159</v>
      </c>
      <c r="H28" s="62">
        <v>21</v>
      </c>
      <c r="I28" s="157">
        <f>8000/30</f>
        <v>266.66666666666669</v>
      </c>
      <c r="J28" s="62">
        <v>30</v>
      </c>
      <c r="K28" s="62">
        <f t="shared" si="0"/>
        <v>0</v>
      </c>
      <c r="L28" s="157">
        <f t="shared" si="2"/>
        <v>8000.0000000000009</v>
      </c>
      <c r="M28" s="62" t="s">
        <v>356</v>
      </c>
    </row>
    <row r="29" spans="1:13" ht="18" customHeight="1" x14ac:dyDescent="0.25">
      <c r="A29" s="59">
        <v>29</v>
      </c>
      <c r="B29" s="58">
        <v>45689</v>
      </c>
      <c r="C29" s="59">
        <v>39</v>
      </c>
      <c r="D29" s="59">
        <v>1</v>
      </c>
      <c r="E29" s="59" t="s">
        <v>162</v>
      </c>
      <c r="F29" s="59" t="s">
        <v>418</v>
      </c>
      <c r="G29" s="59" t="s">
        <v>159</v>
      </c>
      <c r="H29" s="59">
        <v>21</v>
      </c>
      <c r="I29" s="156">
        <f>8000/30</f>
        <v>266.66666666666669</v>
      </c>
      <c r="J29" s="59">
        <v>30</v>
      </c>
      <c r="K29" s="59">
        <f t="shared" si="0"/>
        <v>0</v>
      </c>
      <c r="L29" s="156">
        <f t="shared" si="2"/>
        <v>8000.0000000000009</v>
      </c>
      <c r="M29" s="59" t="s">
        <v>356</v>
      </c>
    </row>
    <row r="30" spans="1:13" ht="18" customHeight="1" x14ac:dyDescent="0.25">
      <c r="A30" s="62">
        <v>30</v>
      </c>
      <c r="B30" s="61">
        <v>45689</v>
      </c>
      <c r="C30" s="62">
        <v>47</v>
      </c>
      <c r="D30" s="62">
        <v>1</v>
      </c>
      <c r="E30" s="62" t="s">
        <v>174</v>
      </c>
      <c r="F30" s="62" t="s">
        <v>420</v>
      </c>
      <c r="G30" s="62" t="s">
        <v>421</v>
      </c>
      <c r="H30" s="62">
        <v>16</v>
      </c>
      <c r="I30" s="157">
        <f>15000/30</f>
        <v>500</v>
      </c>
      <c r="J30" s="62">
        <v>30</v>
      </c>
      <c r="K30" s="62">
        <f t="shared" si="0"/>
        <v>0</v>
      </c>
      <c r="L30" s="157">
        <f t="shared" si="2"/>
        <v>15000</v>
      </c>
      <c r="M30" s="62" t="s">
        <v>333</v>
      </c>
    </row>
    <row r="31" spans="1:13" ht="18" customHeight="1" x14ac:dyDescent="0.25">
      <c r="A31" s="59">
        <v>31</v>
      </c>
      <c r="B31" s="58">
        <v>45689</v>
      </c>
      <c r="C31" s="59">
        <v>6</v>
      </c>
      <c r="D31" s="59">
        <v>1</v>
      </c>
      <c r="E31" s="59" t="s">
        <v>85</v>
      </c>
      <c r="F31" s="59" t="s">
        <v>424</v>
      </c>
      <c r="G31" s="59" t="s">
        <v>86</v>
      </c>
      <c r="H31" s="59">
        <v>19</v>
      </c>
      <c r="I31" s="156">
        <f>12000/30</f>
        <v>400</v>
      </c>
      <c r="J31" s="59">
        <v>30</v>
      </c>
      <c r="K31" s="59">
        <f t="shared" si="0"/>
        <v>0</v>
      </c>
      <c r="L31" s="156">
        <f t="shared" si="2"/>
        <v>12000</v>
      </c>
      <c r="M31" s="59" t="s">
        <v>333</v>
      </c>
    </row>
    <row r="32" spans="1:13" ht="18" customHeight="1" x14ac:dyDescent="0.25">
      <c r="A32" s="62">
        <v>32</v>
      </c>
      <c r="B32" s="61">
        <v>45689</v>
      </c>
      <c r="C32" s="62">
        <v>7</v>
      </c>
      <c r="D32" s="62">
        <v>1</v>
      </c>
      <c r="E32" s="62" t="s">
        <v>91</v>
      </c>
      <c r="F32" s="62" t="s">
        <v>425</v>
      </c>
      <c r="G32" s="62" t="s">
        <v>426</v>
      </c>
      <c r="H32" s="62"/>
      <c r="I32" s="157">
        <v>0</v>
      </c>
      <c r="J32" s="62">
        <v>0</v>
      </c>
      <c r="K32" s="62">
        <f t="shared" si="0"/>
        <v>30</v>
      </c>
      <c r="L32" s="157">
        <f t="shared" si="2"/>
        <v>0</v>
      </c>
      <c r="M32" s="62" t="s">
        <v>412</v>
      </c>
    </row>
    <row r="33" spans="1:13" ht="18" customHeight="1" x14ac:dyDescent="0.25">
      <c r="A33" s="59">
        <v>33</v>
      </c>
      <c r="B33" s="58">
        <v>45717</v>
      </c>
      <c r="C33" s="59">
        <v>24</v>
      </c>
      <c r="D33" s="59">
        <v>1</v>
      </c>
      <c r="E33" s="59" t="s">
        <v>141</v>
      </c>
      <c r="F33" s="59" t="s">
        <v>415</v>
      </c>
      <c r="G33" s="59" t="s">
        <v>86</v>
      </c>
      <c r="H33" s="59">
        <v>11</v>
      </c>
      <c r="I33" s="156">
        <f>12000/30</f>
        <v>400</v>
      </c>
      <c r="J33" s="59">
        <v>30</v>
      </c>
      <c r="K33" s="59">
        <f t="shared" si="0"/>
        <v>0</v>
      </c>
      <c r="L33" s="156">
        <f t="shared" si="2"/>
        <v>12000</v>
      </c>
      <c r="M33" s="59" t="s">
        <v>344</v>
      </c>
    </row>
    <row r="34" spans="1:13" ht="18" customHeight="1" x14ac:dyDescent="0.25">
      <c r="A34" s="62">
        <v>34</v>
      </c>
      <c r="B34" s="61">
        <v>45717</v>
      </c>
      <c r="C34" s="62">
        <v>17</v>
      </c>
      <c r="D34" s="62">
        <v>1</v>
      </c>
      <c r="E34" s="62" t="s">
        <v>119</v>
      </c>
      <c r="F34" s="62" t="s">
        <v>416</v>
      </c>
      <c r="G34" s="62" t="s">
        <v>122</v>
      </c>
      <c r="H34" s="62">
        <v>17</v>
      </c>
      <c r="I34" s="157">
        <f>10000/30</f>
        <v>333.33333333333331</v>
      </c>
      <c r="J34" s="62">
        <v>30</v>
      </c>
      <c r="K34" s="62">
        <f t="shared" ref="K34:K65" si="3">IF(J34="", 0, 30 - J34)</f>
        <v>0</v>
      </c>
      <c r="L34" s="157">
        <f t="shared" si="2"/>
        <v>10000</v>
      </c>
      <c r="M34" s="62" t="s">
        <v>344</v>
      </c>
    </row>
    <row r="35" spans="1:13" ht="18" customHeight="1" x14ac:dyDescent="0.25">
      <c r="A35" s="59">
        <v>35</v>
      </c>
      <c r="B35" s="58">
        <v>45717</v>
      </c>
      <c r="C35" s="59">
        <v>20</v>
      </c>
      <c r="D35" s="59">
        <v>1</v>
      </c>
      <c r="E35" s="59" t="s">
        <v>128</v>
      </c>
      <c r="F35" s="59" t="s">
        <v>417</v>
      </c>
      <c r="G35" s="59" t="s">
        <v>122</v>
      </c>
      <c r="H35" s="59">
        <v>20</v>
      </c>
      <c r="I35" s="156">
        <f>12000/30</f>
        <v>400</v>
      </c>
      <c r="J35" s="59">
        <v>30</v>
      </c>
      <c r="K35" s="59">
        <f t="shared" si="3"/>
        <v>0</v>
      </c>
      <c r="L35" s="156">
        <f t="shared" si="2"/>
        <v>12000</v>
      </c>
      <c r="M35" s="59" t="s">
        <v>372</v>
      </c>
    </row>
    <row r="36" spans="1:13" ht="18" customHeight="1" x14ac:dyDescent="0.25">
      <c r="A36" s="62">
        <v>36</v>
      </c>
      <c r="B36" s="61">
        <v>45717</v>
      </c>
      <c r="C36" s="62">
        <v>43</v>
      </c>
      <c r="D36" s="62">
        <v>1</v>
      </c>
      <c r="E36" s="62" t="s">
        <v>169</v>
      </c>
      <c r="F36" s="62" t="s">
        <v>418</v>
      </c>
      <c r="G36" s="62" t="s">
        <v>93</v>
      </c>
      <c r="H36" s="62">
        <v>10</v>
      </c>
      <c r="I36" s="157">
        <f>7100/30</f>
        <v>236.66666666666666</v>
      </c>
      <c r="J36" s="62">
        <v>30</v>
      </c>
      <c r="K36" s="62">
        <f t="shared" si="3"/>
        <v>0</v>
      </c>
      <c r="L36" s="157">
        <f t="shared" si="2"/>
        <v>7100</v>
      </c>
      <c r="M36" s="62" t="s">
        <v>340</v>
      </c>
    </row>
    <row r="37" spans="1:13" ht="18" customHeight="1" x14ac:dyDescent="0.25">
      <c r="A37" s="59">
        <v>37</v>
      </c>
      <c r="B37" s="58">
        <v>45717</v>
      </c>
      <c r="C37" s="59">
        <v>42</v>
      </c>
      <c r="D37" s="59">
        <v>1</v>
      </c>
      <c r="E37" s="59" t="s">
        <v>167</v>
      </c>
      <c r="F37" s="59" t="s">
        <v>418</v>
      </c>
      <c r="G37" s="59" t="s">
        <v>93</v>
      </c>
      <c r="H37" s="59">
        <v>10</v>
      </c>
      <c r="I37" s="156">
        <f>7100/30</f>
        <v>236.66666666666666</v>
      </c>
      <c r="J37" s="59">
        <v>30</v>
      </c>
      <c r="K37" s="59">
        <f t="shared" si="3"/>
        <v>0</v>
      </c>
      <c r="L37" s="156">
        <f t="shared" si="2"/>
        <v>7100</v>
      </c>
      <c r="M37" s="59" t="s">
        <v>340</v>
      </c>
    </row>
    <row r="38" spans="1:13" ht="18" customHeight="1" x14ac:dyDescent="0.25">
      <c r="A38" s="62">
        <v>38</v>
      </c>
      <c r="B38" s="61">
        <v>45717</v>
      </c>
      <c r="C38" s="62">
        <v>46</v>
      </c>
      <c r="D38" s="62">
        <v>1</v>
      </c>
      <c r="E38" s="62" t="s">
        <v>173</v>
      </c>
      <c r="F38" s="62" t="s">
        <v>418</v>
      </c>
      <c r="G38" s="62" t="s">
        <v>93</v>
      </c>
      <c r="H38" s="62">
        <v>13</v>
      </c>
      <c r="I38" s="157">
        <f>7100/30</f>
        <v>236.66666666666666</v>
      </c>
      <c r="J38" s="62">
        <v>30</v>
      </c>
      <c r="K38" s="62">
        <f t="shared" si="3"/>
        <v>0</v>
      </c>
      <c r="L38" s="157">
        <f t="shared" si="2"/>
        <v>7100</v>
      </c>
      <c r="M38" s="62" t="s">
        <v>340</v>
      </c>
    </row>
    <row r="39" spans="1:13" ht="18" customHeight="1" x14ac:dyDescent="0.25">
      <c r="A39" s="59">
        <v>39</v>
      </c>
      <c r="B39" s="58">
        <v>45717</v>
      </c>
      <c r="C39" s="59">
        <v>34</v>
      </c>
      <c r="D39" s="59">
        <v>1</v>
      </c>
      <c r="E39" s="59" t="s">
        <v>155</v>
      </c>
      <c r="F39" s="59" t="s">
        <v>419</v>
      </c>
      <c r="G39" s="59" t="s">
        <v>182</v>
      </c>
      <c r="H39" s="59">
        <v>10</v>
      </c>
      <c r="I39" s="156">
        <f>9000/30</f>
        <v>300</v>
      </c>
      <c r="J39" s="59">
        <v>30</v>
      </c>
      <c r="K39" s="59">
        <f t="shared" si="3"/>
        <v>0</v>
      </c>
      <c r="L39" s="156">
        <f t="shared" si="2"/>
        <v>9000</v>
      </c>
      <c r="M39" s="59" t="s">
        <v>340</v>
      </c>
    </row>
    <row r="40" spans="1:13" ht="18" customHeight="1" x14ac:dyDescent="0.25">
      <c r="A40" s="62">
        <v>40</v>
      </c>
      <c r="B40" s="61">
        <v>45717</v>
      </c>
      <c r="C40" s="62">
        <v>45</v>
      </c>
      <c r="D40" s="62">
        <v>1</v>
      </c>
      <c r="E40" s="62" t="s">
        <v>172</v>
      </c>
      <c r="F40" s="62" t="s">
        <v>418</v>
      </c>
      <c r="G40" s="62" t="s">
        <v>93</v>
      </c>
      <c r="H40" s="62">
        <v>6</v>
      </c>
      <c r="I40" s="157">
        <f>6500/30</f>
        <v>216.66666666666666</v>
      </c>
      <c r="J40" s="62">
        <v>30</v>
      </c>
      <c r="K40" s="62">
        <f t="shared" si="3"/>
        <v>0</v>
      </c>
      <c r="L40" s="157">
        <f t="shared" si="2"/>
        <v>6500</v>
      </c>
      <c r="M40" s="62" t="s">
        <v>325</v>
      </c>
    </row>
    <row r="41" spans="1:13" ht="18" customHeight="1" x14ac:dyDescent="0.25">
      <c r="A41" s="59">
        <v>41</v>
      </c>
      <c r="B41" s="58">
        <v>45717</v>
      </c>
      <c r="C41" s="59">
        <v>44</v>
      </c>
      <c r="D41" s="59">
        <v>1</v>
      </c>
      <c r="E41" s="59" t="s">
        <v>170</v>
      </c>
      <c r="F41" s="59" t="s">
        <v>418</v>
      </c>
      <c r="G41" s="59" t="s">
        <v>93</v>
      </c>
      <c r="H41" s="59">
        <v>6</v>
      </c>
      <c r="I41" s="156">
        <f>6500/30</f>
        <v>216.66666666666666</v>
      </c>
      <c r="J41" s="59">
        <v>30</v>
      </c>
      <c r="K41" s="59">
        <f t="shared" si="3"/>
        <v>0</v>
      </c>
      <c r="L41" s="156">
        <f t="shared" si="2"/>
        <v>6500</v>
      </c>
      <c r="M41" s="59" t="s">
        <v>325</v>
      </c>
    </row>
    <row r="42" spans="1:13" s="69" customFormat="1" ht="18" customHeight="1" x14ac:dyDescent="0.25">
      <c r="A42" s="62">
        <v>42</v>
      </c>
      <c r="B42" s="68">
        <v>45717</v>
      </c>
      <c r="C42" s="66">
        <v>40</v>
      </c>
      <c r="D42" s="66">
        <v>1</v>
      </c>
      <c r="E42" s="66" t="s">
        <v>165</v>
      </c>
      <c r="F42" s="66" t="s">
        <v>418</v>
      </c>
      <c r="G42" s="66" t="s">
        <v>159</v>
      </c>
      <c r="H42" s="66">
        <v>23</v>
      </c>
      <c r="I42" s="158">
        <f>7000/30</f>
        <v>233.33333333333334</v>
      </c>
      <c r="J42" s="66">
        <v>30</v>
      </c>
      <c r="K42" s="66">
        <f t="shared" si="3"/>
        <v>0</v>
      </c>
      <c r="L42" s="158">
        <f t="shared" si="2"/>
        <v>7000</v>
      </c>
      <c r="M42" s="66" t="s">
        <v>325</v>
      </c>
    </row>
    <row r="43" spans="1:13" ht="18" customHeight="1" x14ac:dyDescent="0.25">
      <c r="A43" s="59">
        <v>43</v>
      </c>
      <c r="B43" s="58">
        <v>45717</v>
      </c>
      <c r="C43" s="59">
        <v>41</v>
      </c>
      <c r="D43" s="59">
        <v>1</v>
      </c>
      <c r="E43" s="59" t="s">
        <v>166</v>
      </c>
      <c r="F43" s="59" t="s">
        <v>418</v>
      </c>
      <c r="G43" s="59" t="s">
        <v>159</v>
      </c>
      <c r="H43" s="59">
        <v>22</v>
      </c>
      <c r="I43" s="156">
        <f>8500/30</f>
        <v>283.33333333333331</v>
      </c>
      <c r="J43" s="59">
        <v>30</v>
      </c>
      <c r="K43" s="59">
        <f t="shared" si="3"/>
        <v>0</v>
      </c>
      <c r="L43" s="156">
        <f t="shared" si="2"/>
        <v>8500</v>
      </c>
      <c r="M43" s="59" t="s">
        <v>356</v>
      </c>
    </row>
    <row r="44" spans="1:13" s="69" customFormat="1" ht="18" customHeight="1" x14ac:dyDescent="0.25">
      <c r="A44" s="62">
        <v>44</v>
      </c>
      <c r="B44" s="68">
        <v>45717</v>
      </c>
      <c r="C44" s="66">
        <v>39</v>
      </c>
      <c r="D44" s="66">
        <v>1</v>
      </c>
      <c r="E44" s="66" t="s">
        <v>162</v>
      </c>
      <c r="F44" s="66" t="s">
        <v>418</v>
      </c>
      <c r="G44" s="66" t="s">
        <v>159</v>
      </c>
      <c r="H44" s="66">
        <v>22</v>
      </c>
      <c r="I44" s="158">
        <f>8500/30</f>
        <v>283.33333333333331</v>
      </c>
      <c r="J44" s="66">
        <v>30</v>
      </c>
      <c r="K44" s="66">
        <f t="shared" si="3"/>
        <v>0</v>
      </c>
      <c r="L44" s="158">
        <f t="shared" si="2"/>
        <v>8500</v>
      </c>
      <c r="M44" s="66" t="s">
        <v>356</v>
      </c>
    </row>
    <row r="45" spans="1:13" ht="18" customHeight="1" x14ac:dyDescent="0.25">
      <c r="A45" s="59">
        <v>45</v>
      </c>
      <c r="B45" s="58">
        <v>45717</v>
      </c>
      <c r="C45" s="59">
        <v>47</v>
      </c>
      <c r="D45" s="59">
        <v>1</v>
      </c>
      <c r="E45" s="59" t="s">
        <v>174</v>
      </c>
      <c r="F45" s="59" t="s">
        <v>420</v>
      </c>
      <c r="G45" s="59" t="s">
        <v>421</v>
      </c>
      <c r="H45" s="59">
        <v>16</v>
      </c>
      <c r="I45" s="156">
        <f>15000/30</f>
        <v>500</v>
      </c>
      <c r="J45" s="59">
        <v>30</v>
      </c>
      <c r="K45" s="59">
        <f t="shared" si="3"/>
        <v>0</v>
      </c>
      <c r="L45" s="156">
        <f t="shared" si="2"/>
        <v>15000</v>
      </c>
      <c r="M45" s="59" t="s">
        <v>333</v>
      </c>
    </row>
    <row r="46" spans="1:13" ht="18" customHeight="1" x14ac:dyDescent="0.25">
      <c r="A46" s="62">
        <v>46</v>
      </c>
      <c r="B46" s="61">
        <v>45717</v>
      </c>
      <c r="C46" s="62">
        <v>6</v>
      </c>
      <c r="D46" s="62">
        <v>1</v>
      </c>
      <c r="E46" s="62" t="s">
        <v>85</v>
      </c>
      <c r="F46" s="62" t="s">
        <v>424</v>
      </c>
      <c r="G46" s="62" t="s">
        <v>86</v>
      </c>
      <c r="H46" s="62">
        <v>19</v>
      </c>
      <c r="I46" s="157">
        <f>12000/30</f>
        <v>400</v>
      </c>
      <c r="J46" s="62">
        <v>8</v>
      </c>
      <c r="K46" s="62">
        <f t="shared" si="3"/>
        <v>22</v>
      </c>
      <c r="L46" s="157">
        <f t="shared" si="2"/>
        <v>3200</v>
      </c>
      <c r="M46" s="62" t="s">
        <v>333</v>
      </c>
    </row>
    <row r="47" spans="1:13" ht="18" customHeight="1" x14ac:dyDescent="0.25">
      <c r="A47" s="62">
        <v>47</v>
      </c>
      <c r="B47" s="61">
        <v>45717</v>
      </c>
      <c r="C47" s="62">
        <v>7</v>
      </c>
      <c r="D47" s="62">
        <v>1</v>
      </c>
      <c r="E47" s="62" t="s">
        <v>91</v>
      </c>
      <c r="F47" s="62" t="s">
        <v>425</v>
      </c>
      <c r="G47" s="62" t="s">
        <v>426</v>
      </c>
      <c r="H47" s="62"/>
      <c r="I47" s="157">
        <v>0</v>
      </c>
      <c r="J47" s="62">
        <v>0</v>
      </c>
      <c r="K47" s="62">
        <f t="shared" si="3"/>
        <v>30</v>
      </c>
      <c r="L47" s="157">
        <f t="shared" si="2"/>
        <v>0</v>
      </c>
      <c r="M47" s="62" t="s">
        <v>412</v>
      </c>
    </row>
    <row r="48" spans="1:13" ht="18" customHeight="1" x14ac:dyDescent="0.25">
      <c r="A48" s="59">
        <v>48</v>
      </c>
      <c r="B48" s="58">
        <v>45748</v>
      </c>
      <c r="C48" s="59">
        <v>24</v>
      </c>
      <c r="D48" s="59">
        <v>1</v>
      </c>
      <c r="E48" s="59" t="s">
        <v>141</v>
      </c>
      <c r="F48" s="59" t="s">
        <v>415</v>
      </c>
      <c r="G48" s="59" t="s">
        <v>86</v>
      </c>
      <c r="H48" s="59">
        <v>11</v>
      </c>
      <c r="I48" s="156">
        <f>12000/30</f>
        <v>400</v>
      </c>
      <c r="J48" s="59">
        <v>30</v>
      </c>
      <c r="K48" s="59">
        <f t="shared" si="3"/>
        <v>0</v>
      </c>
      <c r="L48" s="156">
        <f t="shared" si="2"/>
        <v>12000</v>
      </c>
      <c r="M48" s="59" t="s">
        <v>344</v>
      </c>
    </row>
    <row r="49" spans="1:13" ht="18" customHeight="1" x14ac:dyDescent="0.25">
      <c r="A49" s="62">
        <v>49</v>
      </c>
      <c r="B49" s="61">
        <v>45748</v>
      </c>
      <c r="C49" s="62">
        <v>17</v>
      </c>
      <c r="D49" s="62">
        <v>1</v>
      </c>
      <c r="E49" s="62" t="s">
        <v>119</v>
      </c>
      <c r="F49" s="62" t="s">
        <v>416</v>
      </c>
      <c r="G49" s="62" t="s">
        <v>122</v>
      </c>
      <c r="H49" s="62">
        <v>17</v>
      </c>
      <c r="I49" s="157">
        <f>10000/30</f>
        <v>333.33333333333331</v>
      </c>
      <c r="J49" s="62">
        <v>30</v>
      </c>
      <c r="K49" s="62">
        <f t="shared" si="3"/>
        <v>0</v>
      </c>
      <c r="L49" s="157">
        <f t="shared" si="2"/>
        <v>10000</v>
      </c>
      <c r="M49" s="62" t="s">
        <v>344</v>
      </c>
    </row>
    <row r="50" spans="1:13" ht="18" customHeight="1" x14ac:dyDescent="0.25">
      <c r="A50" s="59">
        <v>50</v>
      </c>
      <c r="B50" s="58">
        <v>45748</v>
      </c>
      <c r="C50" s="59">
        <v>20</v>
      </c>
      <c r="D50" s="59">
        <v>1</v>
      </c>
      <c r="E50" s="59" t="s">
        <v>128</v>
      </c>
      <c r="F50" s="59" t="s">
        <v>417</v>
      </c>
      <c r="G50" s="59" t="s">
        <v>122</v>
      </c>
      <c r="H50" s="59">
        <v>20</v>
      </c>
      <c r="I50" s="156">
        <f>12000/30</f>
        <v>400</v>
      </c>
      <c r="J50" s="59">
        <v>30</v>
      </c>
      <c r="K50" s="59">
        <f t="shared" si="3"/>
        <v>0</v>
      </c>
      <c r="L50" s="156">
        <f t="shared" si="2"/>
        <v>12000</v>
      </c>
      <c r="M50" s="59" t="s">
        <v>372</v>
      </c>
    </row>
    <row r="51" spans="1:13" ht="18" customHeight="1" x14ac:dyDescent="0.25">
      <c r="A51" s="62">
        <v>51</v>
      </c>
      <c r="B51" s="61">
        <v>45748</v>
      </c>
      <c r="C51" s="62">
        <v>43</v>
      </c>
      <c r="D51" s="62">
        <v>1</v>
      </c>
      <c r="E51" s="62" t="s">
        <v>169</v>
      </c>
      <c r="F51" s="62" t="s">
        <v>418</v>
      </c>
      <c r="G51" s="62" t="s">
        <v>93</v>
      </c>
      <c r="H51" s="62">
        <v>10</v>
      </c>
      <c r="I51" s="157">
        <f>7100/30</f>
        <v>236.66666666666666</v>
      </c>
      <c r="J51" s="62">
        <v>30</v>
      </c>
      <c r="K51" s="62">
        <f t="shared" si="3"/>
        <v>0</v>
      </c>
      <c r="L51" s="157">
        <f t="shared" si="2"/>
        <v>7100</v>
      </c>
      <c r="M51" s="62" t="s">
        <v>340</v>
      </c>
    </row>
    <row r="52" spans="1:13" ht="18" customHeight="1" x14ac:dyDescent="0.25">
      <c r="A52" s="59">
        <v>52</v>
      </c>
      <c r="B52" s="67">
        <v>45748</v>
      </c>
      <c r="C52" s="65">
        <v>42</v>
      </c>
      <c r="D52" s="65">
        <v>1</v>
      </c>
      <c r="E52" s="65" t="s">
        <v>167</v>
      </c>
      <c r="F52" s="65" t="s">
        <v>418</v>
      </c>
      <c r="G52" s="65" t="s">
        <v>93</v>
      </c>
      <c r="H52" s="65">
        <v>10</v>
      </c>
      <c r="I52" s="159">
        <f>7100/30</f>
        <v>236.66666666666666</v>
      </c>
      <c r="J52" s="65">
        <v>30</v>
      </c>
      <c r="K52" s="65">
        <f t="shared" si="3"/>
        <v>0</v>
      </c>
      <c r="L52" s="159">
        <f t="shared" si="2"/>
        <v>7100</v>
      </c>
      <c r="M52" s="65" t="s">
        <v>340</v>
      </c>
    </row>
    <row r="53" spans="1:13" s="69" customFormat="1" ht="18" customHeight="1" x14ac:dyDescent="0.25">
      <c r="A53" s="62">
        <v>53</v>
      </c>
      <c r="B53" s="68">
        <v>45748</v>
      </c>
      <c r="C53" s="66">
        <v>46</v>
      </c>
      <c r="D53" s="66">
        <v>1</v>
      </c>
      <c r="E53" s="66" t="s">
        <v>173</v>
      </c>
      <c r="F53" s="66" t="s">
        <v>418</v>
      </c>
      <c r="G53" s="66" t="s">
        <v>93</v>
      </c>
      <c r="H53" s="66">
        <v>13</v>
      </c>
      <c r="I53" s="158">
        <f>7100/30</f>
        <v>236.66666666666666</v>
      </c>
      <c r="J53" s="66">
        <v>30</v>
      </c>
      <c r="K53" s="66">
        <f t="shared" si="3"/>
        <v>0</v>
      </c>
      <c r="L53" s="158">
        <f t="shared" si="2"/>
        <v>7100</v>
      </c>
      <c r="M53" s="66" t="s">
        <v>340</v>
      </c>
    </row>
    <row r="54" spans="1:13" ht="18" customHeight="1" x14ac:dyDescent="0.25">
      <c r="A54" s="59">
        <v>54</v>
      </c>
      <c r="B54" s="67">
        <v>45748</v>
      </c>
      <c r="C54" s="65">
        <v>34</v>
      </c>
      <c r="D54" s="65">
        <v>1</v>
      </c>
      <c r="E54" s="65" t="s">
        <v>155</v>
      </c>
      <c r="F54" s="65" t="s">
        <v>419</v>
      </c>
      <c r="G54" s="65" t="s">
        <v>182</v>
      </c>
      <c r="H54" s="65">
        <v>10</v>
      </c>
      <c r="I54" s="159">
        <f>9000/30</f>
        <v>300</v>
      </c>
      <c r="J54" s="65">
        <v>30</v>
      </c>
      <c r="K54" s="65">
        <f t="shared" si="3"/>
        <v>0</v>
      </c>
      <c r="L54" s="159">
        <f t="shared" si="2"/>
        <v>9000</v>
      </c>
      <c r="M54" s="65" t="s">
        <v>340</v>
      </c>
    </row>
    <row r="55" spans="1:13" ht="18" customHeight="1" x14ac:dyDescent="0.25">
      <c r="A55" s="62">
        <v>55</v>
      </c>
      <c r="B55" s="61">
        <v>45748</v>
      </c>
      <c r="C55" s="62">
        <v>45</v>
      </c>
      <c r="D55" s="62">
        <v>1</v>
      </c>
      <c r="E55" s="62" t="s">
        <v>172</v>
      </c>
      <c r="F55" s="62" t="s">
        <v>418</v>
      </c>
      <c r="G55" s="62" t="s">
        <v>93</v>
      </c>
      <c r="H55" s="62">
        <v>23</v>
      </c>
      <c r="I55" s="157">
        <f>7000/30</f>
        <v>233.33333333333334</v>
      </c>
      <c r="J55" s="62">
        <v>30</v>
      </c>
      <c r="K55" s="62">
        <f t="shared" si="3"/>
        <v>0</v>
      </c>
      <c r="L55" s="157">
        <f t="shared" si="2"/>
        <v>7000</v>
      </c>
      <c r="M55" s="62" t="s">
        <v>325</v>
      </c>
    </row>
    <row r="56" spans="1:13" ht="18" customHeight="1" x14ac:dyDescent="0.25">
      <c r="A56" s="59">
        <v>56</v>
      </c>
      <c r="B56" s="58">
        <v>45748</v>
      </c>
      <c r="C56" s="59">
        <v>44</v>
      </c>
      <c r="D56" s="59">
        <v>1</v>
      </c>
      <c r="E56" s="59" t="s">
        <v>170</v>
      </c>
      <c r="F56" s="59" t="s">
        <v>418</v>
      </c>
      <c r="G56" s="59" t="s">
        <v>93</v>
      </c>
      <c r="H56" s="59">
        <v>23</v>
      </c>
      <c r="I56" s="156">
        <f>7000/30</f>
        <v>233.33333333333334</v>
      </c>
      <c r="J56" s="59">
        <v>30</v>
      </c>
      <c r="K56" s="59">
        <f t="shared" si="3"/>
        <v>0</v>
      </c>
      <c r="L56" s="156">
        <f t="shared" si="2"/>
        <v>7000</v>
      </c>
      <c r="M56" s="59" t="s">
        <v>325</v>
      </c>
    </row>
    <row r="57" spans="1:13" ht="18" customHeight="1" x14ac:dyDescent="0.25">
      <c r="A57" s="62">
        <v>57</v>
      </c>
      <c r="B57" s="61">
        <v>45748</v>
      </c>
      <c r="C57" s="62">
        <v>40</v>
      </c>
      <c r="D57" s="62">
        <v>1</v>
      </c>
      <c r="E57" s="62" t="s">
        <v>165</v>
      </c>
      <c r="F57" s="62" t="s">
        <v>418</v>
      </c>
      <c r="G57" s="62" t="s">
        <v>159</v>
      </c>
      <c r="H57" s="62">
        <v>23</v>
      </c>
      <c r="I57" s="157">
        <f>7550/30</f>
        <v>251.66666666666666</v>
      </c>
      <c r="J57" s="62">
        <v>30</v>
      </c>
      <c r="K57" s="62">
        <f t="shared" si="3"/>
        <v>0</v>
      </c>
      <c r="L57" s="157">
        <f t="shared" si="2"/>
        <v>7550</v>
      </c>
      <c r="M57" s="62" t="s">
        <v>325</v>
      </c>
    </row>
    <row r="58" spans="1:13" ht="18" customHeight="1" x14ac:dyDescent="0.25">
      <c r="A58" s="59">
        <v>58</v>
      </c>
      <c r="B58" s="58">
        <v>45748</v>
      </c>
      <c r="C58" s="59">
        <v>41</v>
      </c>
      <c r="D58" s="59">
        <v>1</v>
      </c>
      <c r="E58" s="59" t="s">
        <v>166</v>
      </c>
      <c r="F58" s="59" t="s">
        <v>418</v>
      </c>
      <c r="G58" s="59" t="s">
        <v>159</v>
      </c>
      <c r="H58" s="59">
        <v>22</v>
      </c>
      <c r="I58" s="156">
        <f>8500/30</f>
        <v>283.33333333333331</v>
      </c>
      <c r="J58" s="59">
        <v>30</v>
      </c>
      <c r="K58" s="59">
        <f t="shared" si="3"/>
        <v>0</v>
      </c>
      <c r="L58" s="156">
        <f t="shared" si="2"/>
        <v>8500</v>
      </c>
      <c r="M58" s="59" t="s">
        <v>356</v>
      </c>
    </row>
    <row r="59" spans="1:13" ht="18" customHeight="1" x14ac:dyDescent="0.25">
      <c r="A59" s="62">
        <v>59</v>
      </c>
      <c r="B59" s="61">
        <v>45748</v>
      </c>
      <c r="C59" s="62">
        <v>39</v>
      </c>
      <c r="D59" s="62">
        <v>1</v>
      </c>
      <c r="E59" s="62" t="s">
        <v>162</v>
      </c>
      <c r="F59" s="62" t="s">
        <v>418</v>
      </c>
      <c r="G59" s="62" t="s">
        <v>159</v>
      </c>
      <c r="H59" s="62">
        <v>22</v>
      </c>
      <c r="I59" s="157">
        <f>8500/30</f>
        <v>283.33333333333331</v>
      </c>
      <c r="J59" s="62">
        <v>30</v>
      </c>
      <c r="K59" s="62">
        <f t="shared" si="3"/>
        <v>0</v>
      </c>
      <c r="L59" s="157">
        <f t="shared" si="2"/>
        <v>8500</v>
      </c>
      <c r="M59" s="62" t="s">
        <v>356</v>
      </c>
    </row>
    <row r="60" spans="1:13" ht="18" customHeight="1" x14ac:dyDescent="0.25">
      <c r="A60" s="59">
        <v>60</v>
      </c>
      <c r="B60" s="58">
        <v>45748</v>
      </c>
      <c r="C60" s="59">
        <v>47</v>
      </c>
      <c r="D60" s="59">
        <v>1</v>
      </c>
      <c r="E60" s="59" t="s">
        <v>174</v>
      </c>
      <c r="F60" s="59" t="s">
        <v>420</v>
      </c>
      <c r="G60" s="59" t="s">
        <v>421</v>
      </c>
      <c r="H60" s="59">
        <v>16</v>
      </c>
      <c r="I60" s="156">
        <f>15000/30</f>
        <v>500</v>
      </c>
      <c r="J60" s="59">
        <v>30</v>
      </c>
      <c r="K60" s="59">
        <f t="shared" si="3"/>
        <v>0</v>
      </c>
      <c r="L60" s="156">
        <f t="shared" si="2"/>
        <v>15000</v>
      </c>
      <c r="M60" s="59" t="s">
        <v>333</v>
      </c>
    </row>
    <row r="61" spans="1:13" ht="18" customHeight="1" x14ac:dyDescent="0.25">
      <c r="A61" s="62">
        <v>61</v>
      </c>
      <c r="B61" s="61">
        <v>45748</v>
      </c>
      <c r="C61" s="62">
        <v>6</v>
      </c>
      <c r="D61" s="62">
        <v>1</v>
      </c>
      <c r="E61" s="62" t="s">
        <v>85</v>
      </c>
      <c r="F61" s="62" t="s">
        <v>424</v>
      </c>
      <c r="G61" s="62" t="s">
        <v>86</v>
      </c>
      <c r="H61" s="62">
        <v>14</v>
      </c>
      <c r="I61" s="157">
        <f>12000/30</f>
        <v>400</v>
      </c>
      <c r="J61" s="62">
        <v>5</v>
      </c>
      <c r="K61" s="62">
        <f t="shared" si="3"/>
        <v>25</v>
      </c>
      <c r="L61" s="157">
        <f t="shared" si="2"/>
        <v>2000</v>
      </c>
      <c r="M61" s="62" t="s">
        <v>344</v>
      </c>
    </row>
    <row r="62" spans="1:13" ht="18" customHeight="1" x14ac:dyDescent="0.25">
      <c r="A62" s="59">
        <v>62</v>
      </c>
      <c r="B62" s="58">
        <v>45748</v>
      </c>
      <c r="C62" s="59">
        <v>7</v>
      </c>
      <c r="D62" s="59">
        <v>1</v>
      </c>
      <c r="E62" s="59" t="s">
        <v>91</v>
      </c>
      <c r="F62" s="59" t="s">
        <v>425</v>
      </c>
      <c r="G62" s="59" t="s">
        <v>426</v>
      </c>
      <c r="H62" s="59"/>
      <c r="I62" s="156">
        <v>0</v>
      </c>
      <c r="J62" s="59">
        <v>0</v>
      </c>
      <c r="K62" s="59">
        <f t="shared" si="3"/>
        <v>30</v>
      </c>
      <c r="L62" s="156">
        <f t="shared" si="2"/>
        <v>0</v>
      </c>
      <c r="M62" s="59" t="s">
        <v>412</v>
      </c>
    </row>
    <row r="63" spans="1:13" ht="18" customHeight="1" x14ac:dyDescent="0.25">
      <c r="A63" s="62">
        <v>63</v>
      </c>
      <c r="B63" s="58">
        <v>45778</v>
      </c>
      <c r="C63" s="62">
        <v>24</v>
      </c>
      <c r="D63" s="62">
        <v>1</v>
      </c>
      <c r="E63" s="62" t="s">
        <v>141</v>
      </c>
      <c r="F63" s="62" t="s">
        <v>415</v>
      </c>
      <c r="G63" s="62" t="s">
        <v>86</v>
      </c>
      <c r="H63" s="62">
        <v>11</v>
      </c>
      <c r="I63" s="157">
        <f>12000/30</f>
        <v>400</v>
      </c>
      <c r="J63" s="62">
        <v>15</v>
      </c>
      <c r="K63" s="62">
        <f t="shared" si="3"/>
        <v>15</v>
      </c>
      <c r="L63" s="157">
        <f t="shared" si="2"/>
        <v>6000</v>
      </c>
      <c r="M63" s="62" t="s">
        <v>344</v>
      </c>
    </row>
    <row r="64" spans="1:13" ht="18" customHeight="1" x14ac:dyDescent="0.25">
      <c r="A64" s="59">
        <v>64</v>
      </c>
      <c r="B64" s="58">
        <v>45778</v>
      </c>
      <c r="C64" s="59">
        <v>17</v>
      </c>
      <c r="D64" s="59">
        <v>1</v>
      </c>
      <c r="E64" s="59" t="s">
        <v>119</v>
      </c>
      <c r="F64" s="59" t="s">
        <v>416</v>
      </c>
      <c r="G64" s="59" t="s">
        <v>122</v>
      </c>
      <c r="H64" s="59">
        <v>17</v>
      </c>
      <c r="I64" s="156">
        <f>10000/30</f>
        <v>333.33333333333331</v>
      </c>
      <c r="J64" s="59">
        <v>30</v>
      </c>
      <c r="K64" s="59">
        <f t="shared" si="3"/>
        <v>0</v>
      </c>
      <c r="L64" s="156">
        <f t="shared" si="2"/>
        <v>10000</v>
      </c>
      <c r="M64" s="59" t="s">
        <v>344</v>
      </c>
    </row>
    <row r="65" spans="1:13" ht="18" customHeight="1" x14ac:dyDescent="0.25">
      <c r="A65" s="62">
        <v>65</v>
      </c>
      <c r="B65" s="61">
        <v>45778</v>
      </c>
      <c r="C65" s="62">
        <v>20</v>
      </c>
      <c r="D65" s="62">
        <v>1</v>
      </c>
      <c r="E65" s="62" t="s">
        <v>128</v>
      </c>
      <c r="F65" s="62" t="s">
        <v>417</v>
      </c>
      <c r="G65" s="62" t="s">
        <v>122</v>
      </c>
      <c r="H65" s="62">
        <v>20</v>
      </c>
      <c r="I65" s="157">
        <f>12000/30</f>
        <v>400</v>
      </c>
      <c r="J65" s="62">
        <v>23</v>
      </c>
      <c r="K65" s="62">
        <f t="shared" si="3"/>
        <v>7</v>
      </c>
      <c r="L65" s="157">
        <v>9333.34</v>
      </c>
      <c r="M65" s="62" t="s">
        <v>372</v>
      </c>
    </row>
    <row r="66" spans="1:13" ht="18" customHeight="1" x14ac:dyDescent="0.25">
      <c r="A66" s="59">
        <v>66</v>
      </c>
      <c r="B66" s="58">
        <v>45778</v>
      </c>
      <c r="C66" s="59">
        <v>43</v>
      </c>
      <c r="D66" s="59">
        <v>1</v>
      </c>
      <c r="E66" s="59" t="s">
        <v>169</v>
      </c>
      <c r="F66" s="59" t="s">
        <v>418</v>
      </c>
      <c r="G66" s="59" t="s">
        <v>93</v>
      </c>
      <c r="H66" s="59">
        <v>24</v>
      </c>
      <c r="I66" s="156">
        <f>7810/30</f>
        <v>260.33333333333331</v>
      </c>
      <c r="J66" s="59">
        <v>30</v>
      </c>
      <c r="K66" s="59">
        <f t="shared" ref="K66:K97" si="4">IF(J66="", 0, 30 - J66)</f>
        <v>0</v>
      </c>
      <c r="L66" s="156">
        <f t="shared" ref="L66:L79" si="5">I66*J66</f>
        <v>7809.9999999999991</v>
      </c>
      <c r="M66" s="59" t="s">
        <v>340</v>
      </c>
    </row>
    <row r="67" spans="1:13" ht="18" customHeight="1" x14ac:dyDescent="0.25">
      <c r="A67" s="62">
        <v>67</v>
      </c>
      <c r="B67" s="61">
        <v>45778</v>
      </c>
      <c r="C67" s="62">
        <v>42</v>
      </c>
      <c r="D67" s="62">
        <v>1</v>
      </c>
      <c r="E67" s="62" t="s">
        <v>167</v>
      </c>
      <c r="F67" s="62" t="s">
        <v>418</v>
      </c>
      <c r="G67" s="62" t="s">
        <v>93</v>
      </c>
      <c r="H67" s="62">
        <v>24</v>
      </c>
      <c r="I67" s="157">
        <f>7810/30</f>
        <v>260.33333333333331</v>
      </c>
      <c r="J67" s="62">
        <v>30</v>
      </c>
      <c r="K67" s="62">
        <f t="shared" si="4"/>
        <v>0</v>
      </c>
      <c r="L67" s="157">
        <f t="shared" si="5"/>
        <v>7809.9999999999991</v>
      </c>
      <c r="M67" s="62" t="s">
        <v>340</v>
      </c>
    </row>
    <row r="68" spans="1:13" ht="18" customHeight="1" x14ac:dyDescent="0.25">
      <c r="A68" s="59">
        <v>68</v>
      </c>
      <c r="B68" s="58">
        <v>45778</v>
      </c>
      <c r="C68" s="59">
        <v>46</v>
      </c>
      <c r="D68" s="59">
        <v>1</v>
      </c>
      <c r="E68" s="59" t="s">
        <v>173</v>
      </c>
      <c r="F68" s="59" t="s">
        <v>418</v>
      </c>
      <c r="G68" s="59" t="s">
        <v>93</v>
      </c>
      <c r="H68" s="59">
        <v>13</v>
      </c>
      <c r="I68" s="156">
        <f>7100/30</f>
        <v>236.66666666666666</v>
      </c>
      <c r="J68" s="59">
        <v>30</v>
      </c>
      <c r="K68" s="59">
        <f t="shared" si="4"/>
        <v>0</v>
      </c>
      <c r="L68" s="156">
        <f t="shared" si="5"/>
        <v>7100</v>
      </c>
      <c r="M68" s="59" t="s">
        <v>340</v>
      </c>
    </row>
    <row r="69" spans="1:13" ht="18" customHeight="1" x14ac:dyDescent="0.25">
      <c r="A69" s="62">
        <v>69</v>
      </c>
      <c r="B69" s="61">
        <v>45778</v>
      </c>
      <c r="C69" s="62">
        <v>34</v>
      </c>
      <c r="D69" s="62">
        <v>1</v>
      </c>
      <c r="E69" s="62" t="s">
        <v>155</v>
      </c>
      <c r="F69" s="62" t="s">
        <v>419</v>
      </c>
      <c r="G69" s="62" t="s">
        <v>182</v>
      </c>
      <c r="H69" s="62">
        <v>24</v>
      </c>
      <c r="I69" s="157">
        <f>9900/30</f>
        <v>330</v>
      </c>
      <c r="J69" s="62">
        <v>30</v>
      </c>
      <c r="K69" s="62">
        <f t="shared" si="4"/>
        <v>0</v>
      </c>
      <c r="L69" s="157">
        <f t="shared" si="5"/>
        <v>9900</v>
      </c>
      <c r="M69" s="62" t="s">
        <v>340</v>
      </c>
    </row>
    <row r="70" spans="1:13" ht="18" customHeight="1" x14ac:dyDescent="0.25">
      <c r="A70" s="59">
        <v>70</v>
      </c>
      <c r="B70" s="58">
        <v>45778</v>
      </c>
      <c r="C70" s="59">
        <v>45</v>
      </c>
      <c r="D70" s="59">
        <v>1</v>
      </c>
      <c r="E70" s="59" t="s">
        <v>172</v>
      </c>
      <c r="F70" s="59" t="s">
        <v>418</v>
      </c>
      <c r="G70" s="59" t="s">
        <v>93</v>
      </c>
      <c r="H70" s="59">
        <v>23</v>
      </c>
      <c r="I70" s="156">
        <f>7000/30</f>
        <v>233.33333333333334</v>
      </c>
      <c r="J70" s="59">
        <v>30</v>
      </c>
      <c r="K70" s="59">
        <f t="shared" si="4"/>
        <v>0</v>
      </c>
      <c r="L70" s="156">
        <f t="shared" si="5"/>
        <v>7000</v>
      </c>
      <c r="M70" s="59" t="s">
        <v>325</v>
      </c>
    </row>
    <row r="71" spans="1:13" ht="18" customHeight="1" x14ac:dyDescent="0.25">
      <c r="A71" s="62">
        <v>71</v>
      </c>
      <c r="B71" s="61">
        <v>45778</v>
      </c>
      <c r="C71" s="62">
        <v>44</v>
      </c>
      <c r="D71" s="62">
        <v>1</v>
      </c>
      <c r="E71" s="62" t="s">
        <v>170</v>
      </c>
      <c r="F71" s="62" t="s">
        <v>418</v>
      </c>
      <c r="G71" s="62" t="s">
        <v>93</v>
      </c>
      <c r="H71" s="62">
        <v>23</v>
      </c>
      <c r="I71" s="157">
        <f>7000/30</f>
        <v>233.33333333333334</v>
      </c>
      <c r="J71" s="62">
        <v>30</v>
      </c>
      <c r="K71" s="62">
        <f t="shared" si="4"/>
        <v>0</v>
      </c>
      <c r="L71" s="157">
        <f t="shared" si="5"/>
        <v>7000</v>
      </c>
      <c r="M71" s="62" t="s">
        <v>325</v>
      </c>
    </row>
    <row r="72" spans="1:13" ht="18" customHeight="1" x14ac:dyDescent="0.25">
      <c r="A72" s="59">
        <v>72</v>
      </c>
      <c r="B72" s="58">
        <v>45778</v>
      </c>
      <c r="C72" s="59">
        <v>40</v>
      </c>
      <c r="D72" s="59">
        <v>1</v>
      </c>
      <c r="E72" s="59" t="s">
        <v>165</v>
      </c>
      <c r="F72" s="59" t="s">
        <v>418</v>
      </c>
      <c r="G72" s="59" t="s">
        <v>159</v>
      </c>
      <c r="H72" s="59">
        <v>23</v>
      </c>
      <c r="I72" s="156">
        <f>7550/30</f>
        <v>251.66666666666666</v>
      </c>
      <c r="J72" s="59">
        <v>30</v>
      </c>
      <c r="K72" s="59">
        <f t="shared" si="4"/>
        <v>0</v>
      </c>
      <c r="L72" s="156">
        <f t="shared" si="5"/>
        <v>7550</v>
      </c>
      <c r="M72" s="59" t="s">
        <v>325</v>
      </c>
    </row>
    <row r="73" spans="1:13" ht="18" customHeight="1" x14ac:dyDescent="0.25">
      <c r="A73" s="62">
        <v>73</v>
      </c>
      <c r="B73" s="61">
        <v>45778</v>
      </c>
      <c r="C73" s="62">
        <v>41</v>
      </c>
      <c r="D73" s="62">
        <v>1</v>
      </c>
      <c r="E73" s="62" t="s">
        <v>166</v>
      </c>
      <c r="F73" s="62" t="s">
        <v>418</v>
      </c>
      <c r="G73" s="62" t="s">
        <v>159</v>
      </c>
      <c r="H73" s="62">
        <v>22</v>
      </c>
      <c r="I73" s="157">
        <f>8500/30</f>
        <v>283.33333333333331</v>
      </c>
      <c r="J73" s="62">
        <v>30</v>
      </c>
      <c r="K73" s="62">
        <f t="shared" si="4"/>
        <v>0</v>
      </c>
      <c r="L73" s="157">
        <f t="shared" si="5"/>
        <v>8500</v>
      </c>
      <c r="M73" s="62" t="s">
        <v>356</v>
      </c>
    </row>
    <row r="74" spans="1:13" ht="18" customHeight="1" x14ac:dyDescent="0.25">
      <c r="A74" s="59">
        <v>74</v>
      </c>
      <c r="B74" s="58">
        <v>45778</v>
      </c>
      <c r="C74" s="59">
        <v>39</v>
      </c>
      <c r="D74" s="59">
        <v>1</v>
      </c>
      <c r="E74" s="59" t="s">
        <v>162</v>
      </c>
      <c r="F74" s="59" t="s">
        <v>418</v>
      </c>
      <c r="G74" s="59" t="s">
        <v>159</v>
      </c>
      <c r="H74" s="59">
        <v>22</v>
      </c>
      <c r="I74" s="156">
        <f>8500/30</f>
        <v>283.33333333333331</v>
      </c>
      <c r="J74" s="59">
        <v>30</v>
      </c>
      <c r="K74" s="59">
        <f t="shared" si="4"/>
        <v>0</v>
      </c>
      <c r="L74" s="156">
        <f t="shared" si="5"/>
        <v>8500</v>
      </c>
      <c r="M74" s="59" t="s">
        <v>356</v>
      </c>
    </row>
    <row r="75" spans="1:13" ht="18" customHeight="1" x14ac:dyDescent="0.25">
      <c r="A75" s="62">
        <v>75</v>
      </c>
      <c r="B75" s="61">
        <v>45778</v>
      </c>
      <c r="C75" s="62">
        <v>47</v>
      </c>
      <c r="D75" s="62">
        <v>1</v>
      </c>
      <c r="E75" s="62" t="s">
        <v>174</v>
      </c>
      <c r="F75" s="62" t="s">
        <v>420</v>
      </c>
      <c r="G75" s="62" t="s">
        <v>421</v>
      </c>
      <c r="H75" s="62">
        <v>16</v>
      </c>
      <c r="I75" s="157">
        <f>15000/30</f>
        <v>500</v>
      </c>
      <c r="J75" s="62">
        <v>30</v>
      </c>
      <c r="K75" s="62">
        <f t="shared" si="4"/>
        <v>0</v>
      </c>
      <c r="L75" s="157">
        <f t="shared" si="5"/>
        <v>15000</v>
      </c>
      <c r="M75" s="62" t="s">
        <v>333</v>
      </c>
    </row>
    <row r="76" spans="1:13" ht="18" customHeight="1" x14ac:dyDescent="0.25">
      <c r="A76" s="59">
        <v>76</v>
      </c>
      <c r="B76" s="58">
        <v>45778</v>
      </c>
      <c r="C76" s="59">
        <v>7</v>
      </c>
      <c r="D76" s="59">
        <v>1</v>
      </c>
      <c r="E76" s="59" t="s">
        <v>91</v>
      </c>
      <c r="F76" s="59" t="s">
        <v>425</v>
      </c>
      <c r="G76" s="59" t="s">
        <v>426</v>
      </c>
      <c r="H76" s="59"/>
      <c r="I76" s="156">
        <v>0</v>
      </c>
      <c r="J76" s="59">
        <v>0</v>
      </c>
      <c r="K76" s="59">
        <f t="shared" si="4"/>
        <v>30</v>
      </c>
      <c r="L76" s="156">
        <f t="shared" si="5"/>
        <v>0</v>
      </c>
      <c r="M76" s="59" t="s">
        <v>412</v>
      </c>
    </row>
    <row r="77" spans="1:13" ht="18" customHeight="1" x14ac:dyDescent="0.25">
      <c r="A77" s="62">
        <v>77</v>
      </c>
      <c r="B77" s="61">
        <v>45778</v>
      </c>
      <c r="C77" s="62">
        <v>6</v>
      </c>
      <c r="D77" s="62">
        <v>1</v>
      </c>
      <c r="E77" s="62" t="s">
        <v>85</v>
      </c>
      <c r="F77" s="62" t="s">
        <v>424</v>
      </c>
      <c r="G77" s="62" t="s">
        <v>86</v>
      </c>
      <c r="H77" s="62"/>
      <c r="I77" s="157">
        <v>0</v>
      </c>
      <c r="J77" s="62">
        <v>0</v>
      </c>
      <c r="K77" s="62">
        <f t="shared" si="4"/>
        <v>30</v>
      </c>
      <c r="L77" s="157">
        <f t="shared" si="5"/>
        <v>0</v>
      </c>
      <c r="M77" s="62" t="s">
        <v>412</v>
      </c>
    </row>
    <row r="78" spans="1:13" ht="18" customHeight="1" x14ac:dyDescent="0.25">
      <c r="A78" s="59">
        <v>78</v>
      </c>
      <c r="B78" s="58">
        <v>45809</v>
      </c>
      <c r="C78" s="59">
        <v>24</v>
      </c>
      <c r="D78" s="59">
        <v>1</v>
      </c>
      <c r="E78" s="59" t="s">
        <v>141</v>
      </c>
      <c r="F78" s="59" t="s">
        <v>415</v>
      </c>
      <c r="G78" s="59" t="s">
        <v>86</v>
      </c>
      <c r="H78" s="59">
        <v>11</v>
      </c>
      <c r="I78" s="156">
        <f>12000/30</f>
        <v>400</v>
      </c>
      <c r="J78" s="59">
        <v>10</v>
      </c>
      <c r="K78" s="59">
        <f t="shared" si="4"/>
        <v>20</v>
      </c>
      <c r="L78" s="156">
        <f t="shared" si="5"/>
        <v>4000</v>
      </c>
      <c r="M78" s="59" t="s">
        <v>344</v>
      </c>
    </row>
    <row r="79" spans="1:13" ht="18" customHeight="1" x14ac:dyDescent="0.25">
      <c r="A79" s="62">
        <v>79</v>
      </c>
      <c r="B79" s="61">
        <v>45809</v>
      </c>
      <c r="C79" s="62">
        <v>17</v>
      </c>
      <c r="D79" s="62">
        <v>1</v>
      </c>
      <c r="E79" s="62" t="s">
        <v>119</v>
      </c>
      <c r="F79" s="62" t="s">
        <v>416</v>
      </c>
      <c r="G79" s="62" t="s">
        <v>122</v>
      </c>
      <c r="H79" s="62">
        <v>17</v>
      </c>
      <c r="I79" s="157">
        <f>10000/30</f>
        <v>333.33333333333331</v>
      </c>
      <c r="J79" s="62">
        <v>30</v>
      </c>
      <c r="K79" s="62">
        <f t="shared" si="4"/>
        <v>0</v>
      </c>
      <c r="L79" s="157">
        <f t="shared" si="5"/>
        <v>10000</v>
      </c>
      <c r="M79" s="62" t="s">
        <v>344</v>
      </c>
    </row>
    <row r="80" spans="1:13" ht="18" customHeight="1" x14ac:dyDescent="0.25">
      <c r="A80" s="59">
        <v>80</v>
      </c>
      <c r="B80" s="58">
        <v>45809</v>
      </c>
      <c r="C80" s="59">
        <v>20</v>
      </c>
      <c r="D80" s="59">
        <v>1</v>
      </c>
      <c r="E80" s="59" t="s">
        <v>128</v>
      </c>
      <c r="F80" s="59" t="s">
        <v>417</v>
      </c>
      <c r="G80" s="59" t="s">
        <v>122</v>
      </c>
      <c r="H80" s="59">
        <v>20</v>
      </c>
      <c r="I80" s="156">
        <f>12000/30</f>
        <v>400</v>
      </c>
      <c r="J80" s="59">
        <v>23</v>
      </c>
      <c r="K80" s="59">
        <f t="shared" si="4"/>
        <v>7</v>
      </c>
      <c r="L80" s="156">
        <v>9334.34</v>
      </c>
      <c r="M80" s="59" t="s">
        <v>372</v>
      </c>
    </row>
    <row r="81" spans="1:13" ht="18" customHeight="1" x14ac:dyDescent="0.25">
      <c r="A81" s="62">
        <v>81</v>
      </c>
      <c r="B81" s="61">
        <v>45809</v>
      </c>
      <c r="C81" s="62">
        <v>43</v>
      </c>
      <c r="D81" s="62">
        <v>1</v>
      </c>
      <c r="E81" s="62" t="s">
        <v>169</v>
      </c>
      <c r="F81" s="62" t="s">
        <v>418</v>
      </c>
      <c r="G81" s="62" t="s">
        <v>93</v>
      </c>
      <c r="H81" s="62">
        <v>24</v>
      </c>
      <c r="I81" s="157">
        <f>7810/30</f>
        <v>260.33333333333331</v>
      </c>
      <c r="J81" s="62">
        <v>30</v>
      </c>
      <c r="K81" s="62">
        <f t="shared" si="4"/>
        <v>0</v>
      </c>
      <c r="L81" s="157">
        <f t="shared" ref="L81:L93" si="6">I81*J81</f>
        <v>7809.9999999999991</v>
      </c>
      <c r="M81" s="62" t="s">
        <v>340</v>
      </c>
    </row>
    <row r="82" spans="1:13" ht="18" customHeight="1" x14ac:dyDescent="0.25">
      <c r="A82" s="59">
        <v>82</v>
      </c>
      <c r="B82" s="58">
        <v>45809</v>
      </c>
      <c r="C82" s="59">
        <v>42</v>
      </c>
      <c r="D82" s="59">
        <v>1</v>
      </c>
      <c r="E82" s="59" t="s">
        <v>167</v>
      </c>
      <c r="F82" s="59" t="s">
        <v>418</v>
      </c>
      <c r="G82" s="59" t="s">
        <v>93</v>
      </c>
      <c r="H82" s="59">
        <v>24</v>
      </c>
      <c r="I82" s="156">
        <f>7810/30</f>
        <v>260.33333333333331</v>
      </c>
      <c r="J82" s="59">
        <v>30</v>
      </c>
      <c r="K82" s="59">
        <f t="shared" si="4"/>
        <v>0</v>
      </c>
      <c r="L82" s="156">
        <f t="shared" si="6"/>
        <v>7809.9999999999991</v>
      </c>
      <c r="M82" s="59" t="s">
        <v>340</v>
      </c>
    </row>
    <row r="83" spans="1:13" ht="18" customHeight="1" x14ac:dyDescent="0.25">
      <c r="A83" s="62">
        <v>83</v>
      </c>
      <c r="B83" s="61">
        <v>45809</v>
      </c>
      <c r="C83" s="62">
        <v>46</v>
      </c>
      <c r="D83" s="62">
        <v>1</v>
      </c>
      <c r="E83" s="62" t="s">
        <v>173</v>
      </c>
      <c r="F83" s="62" t="s">
        <v>418</v>
      </c>
      <c r="G83" s="62" t="s">
        <v>93</v>
      </c>
      <c r="H83" s="62">
        <v>13</v>
      </c>
      <c r="I83" s="157">
        <f>7100/30</f>
        <v>236.66666666666666</v>
      </c>
      <c r="J83" s="62">
        <v>30</v>
      </c>
      <c r="K83" s="62">
        <f t="shared" si="4"/>
        <v>0</v>
      </c>
      <c r="L83" s="157">
        <f t="shared" si="6"/>
        <v>7100</v>
      </c>
      <c r="M83" s="62" t="s">
        <v>340</v>
      </c>
    </row>
    <row r="84" spans="1:13" ht="18" customHeight="1" x14ac:dyDescent="0.25">
      <c r="A84" s="59">
        <v>84</v>
      </c>
      <c r="B84" s="58">
        <v>45809</v>
      </c>
      <c r="C84" s="59">
        <v>34</v>
      </c>
      <c r="D84" s="59">
        <v>1</v>
      </c>
      <c r="E84" s="59" t="s">
        <v>155</v>
      </c>
      <c r="F84" s="59" t="s">
        <v>419</v>
      </c>
      <c r="G84" s="59" t="s">
        <v>182</v>
      </c>
      <c r="H84" s="59">
        <v>24</v>
      </c>
      <c r="I84" s="156">
        <f>9900/30</f>
        <v>330</v>
      </c>
      <c r="J84" s="59">
        <v>30</v>
      </c>
      <c r="K84" s="59">
        <f t="shared" si="4"/>
        <v>0</v>
      </c>
      <c r="L84" s="156">
        <f t="shared" si="6"/>
        <v>9900</v>
      </c>
      <c r="M84" s="59" t="s">
        <v>340</v>
      </c>
    </row>
    <row r="85" spans="1:13" ht="18" customHeight="1" x14ac:dyDescent="0.25">
      <c r="A85" s="62">
        <v>85</v>
      </c>
      <c r="B85" s="61">
        <v>45809</v>
      </c>
      <c r="C85" s="62">
        <v>45</v>
      </c>
      <c r="D85" s="62">
        <v>1</v>
      </c>
      <c r="E85" s="62" t="s">
        <v>172</v>
      </c>
      <c r="F85" s="62" t="s">
        <v>418</v>
      </c>
      <c r="G85" s="62" t="s">
        <v>93</v>
      </c>
      <c r="H85" s="62">
        <v>23</v>
      </c>
      <c r="I85" s="157">
        <f>7000/30</f>
        <v>233.33333333333334</v>
      </c>
      <c r="J85" s="62">
        <v>30</v>
      </c>
      <c r="K85" s="62">
        <f t="shared" si="4"/>
        <v>0</v>
      </c>
      <c r="L85" s="157">
        <f t="shared" si="6"/>
        <v>7000</v>
      </c>
      <c r="M85" s="62" t="s">
        <v>325</v>
      </c>
    </row>
    <row r="86" spans="1:13" ht="18" customHeight="1" x14ac:dyDescent="0.25">
      <c r="A86" s="59">
        <v>86</v>
      </c>
      <c r="B86" s="58">
        <v>45809</v>
      </c>
      <c r="C86" s="59">
        <v>44</v>
      </c>
      <c r="D86" s="59">
        <v>1</v>
      </c>
      <c r="E86" s="59" t="s">
        <v>170</v>
      </c>
      <c r="F86" s="59" t="s">
        <v>418</v>
      </c>
      <c r="G86" s="59" t="s">
        <v>93</v>
      </c>
      <c r="H86" s="59">
        <v>23</v>
      </c>
      <c r="I86" s="156">
        <f>7000/30</f>
        <v>233.33333333333334</v>
      </c>
      <c r="J86" s="59">
        <v>30</v>
      </c>
      <c r="K86" s="59">
        <f t="shared" si="4"/>
        <v>0</v>
      </c>
      <c r="L86" s="156">
        <f t="shared" si="6"/>
        <v>7000</v>
      </c>
      <c r="M86" s="59" t="s">
        <v>325</v>
      </c>
    </row>
    <row r="87" spans="1:13" ht="18" customHeight="1" x14ac:dyDescent="0.25">
      <c r="A87" s="62">
        <v>87</v>
      </c>
      <c r="B87" s="61">
        <v>45809</v>
      </c>
      <c r="C87" s="62">
        <v>40</v>
      </c>
      <c r="D87" s="62">
        <v>1</v>
      </c>
      <c r="E87" s="62" t="s">
        <v>165</v>
      </c>
      <c r="F87" s="62" t="s">
        <v>418</v>
      </c>
      <c r="G87" s="62" t="s">
        <v>159</v>
      </c>
      <c r="H87" s="62">
        <v>23</v>
      </c>
      <c r="I87" s="157">
        <f>7550/30</f>
        <v>251.66666666666666</v>
      </c>
      <c r="J87" s="62">
        <v>30</v>
      </c>
      <c r="K87" s="62">
        <f t="shared" si="4"/>
        <v>0</v>
      </c>
      <c r="L87" s="157">
        <f t="shared" si="6"/>
        <v>7550</v>
      </c>
      <c r="M87" s="62" t="s">
        <v>325</v>
      </c>
    </row>
    <row r="88" spans="1:13" ht="18" customHeight="1" x14ac:dyDescent="0.25">
      <c r="A88" s="59">
        <v>88</v>
      </c>
      <c r="B88" s="58">
        <v>45809</v>
      </c>
      <c r="C88" s="59">
        <v>41</v>
      </c>
      <c r="D88" s="59">
        <v>1</v>
      </c>
      <c r="E88" s="59" t="s">
        <v>166</v>
      </c>
      <c r="F88" s="59" t="s">
        <v>418</v>
      </c>
      <c r="G88" s="59" t="s">
        <v>159</v>
      </c>
      <c r="H88" s="59">
        <v>22</v>
      </c>
      <c r="I88" s="156">
        <f>8500/30</f>
        <v>283.33333333333331</v>
      </c>
      <c r="J88" s="59">
        <v>18</v>
      </c>
      <c r="K88" s="59">
        <f t="shared" si="4"/>
        <v>12</v>
      </c>
      <c r="L88" s="156">
        <f t="shared" si="6"/>
        <v>5100</v>
      </c>
      <c r="M88" s="59" t="s">
        <v>356</v>
      </c>
    </row>
    <row r="89" spans="1:13" ht="18" customHeight="1" x14ac:dyDescent="0.25">
      <c r="A89" s="62">
        <v>89</v>
      </c>
      <c r="B89" s="61">
        <v>45809</v>
      </c>
      <c r="C89" s="62">
        <v>39</v>
      </c>
      <c r="D89" s="62">
        <v>1</v>
      </c>
      <c r="E89" s="62" t="s">
        <v>162</v>
      </c>
      <c r="F89" s="62" t="s">
        <v>418</v>
      </c>
      <c r="G89" s="62" t="s">
        <v>159</v>
      </c>
      <c r="H89" s="62">
        <v>22</v>
      </c>
      <c r="I89" s="157">
        <f>8500/30</f>
        <v>283.33333333333331</v>
      </c>
      <c r="J89" s="62">
        <v>16</v>
      </c>
      <c r="K89" s="62">
        <f t="shared" si="4"/>
        <v>14</v>
      </c>
      <c r="L89" s="157">
        <f t="shared" si="6"/>
        <v>4533.333333333333</v>
      </c>
      <c r="M89" s="62" t="s">
        <v>356</v>
      </c>
    </row>
    <row r="90" spans="1:13" ht="18" customHeight="1" x14ac:dyDescent="0.25">
      <c r="A90" s="59">
        <v>90</v>
      </c>
      <c r="B90" s="58">
        <v>45809</v>
      </c>
      <c r="C90" s="59">
        <v>47</v>
      </c>
      <c r="D90" s="59">
        <v>1</v>
      </c>
      <c r="E90" s="59" t="s">
        <v>174</v>
      </c>
      <c r="F90" s="59" t="s">
        <v>420</v>
      </c>
      <c r="G90" s="59" t="s">
        <v>421</v>
      </c>
      <c r="H90" s="59">
        <v>16</v>
      </c>
      <c r="I90" s="156">
        <f>15000/30</f>
        <v>500</v>
      </c>
      <c r="J90" s="59">
        <v>30</v>
      </c>
      <c r="K90" s="59">
        <f t="shared" si="4"/>
        <v>0</v>
      </c>
      <c r="L90" s="156">
        <f t="shared" si="6"/>
        <v>15000</v>
      </c>
      <c r="M90" s="59" t="s">
        <v>333</v>
      </c>
    </row>
    <row r="91" spans="1:13" ht="18" customHeight="1" x14ac:dyDescent="0.25">
      <c r="A91" s="62">
        <v>91</v>
      </c>
      <c r="B91" s="61">
        <v>45809</v>
      </c>
      <c r="C91" s="62">
        <v>6</v>
      </c>
      <c r="D91" s="62">
        <v>1</v>
      </c>
      <c r="E91" s="62" t="s">
        <v>85</v>
      </c>
      <c r="F91" s="62" t="s">
        <v>424</v>
      </c>
      <c r="G91" s="62" t="s">
        <v>86</v>
      </c>
      <c r="H91" s="62">
        <v>14</v>
      </c>
      <c r="I91" s="157">
        <f>12000/30</f>
        <v>400</v>
      </c>
      <c r="J91" s="62">
        <v>8</v>
      </c>
      <c r="K91" s="62">
        <f t="shared" si="4"/>
        <v>22</v>
      </c>
      <c r="L91" s="157">
        <f t="shared" si="6"/>
        <v>3200</v>
      </c>
      <c r="M91" s="62" t="s">
        <v>344</v>
      </c>
    </row>
    <row r="92" spans="1:13" ht="18" customHeight="1" x14ac:dyDescent="0.25">
      <c r="A92" s="59">
        <v>92</v>
      </c>
      <c r="B92" s="58">
        <v>45839</v>
      </c>
      <c r="C92" s="59">
        <v>24</v>
      </c>
      <c r="D92" s="59">
        <v>1</v>
      </c>
      <c r="E92" s="59" t="s">
        <v>141</v>
      </c>
      <c r="F92" s="59" t="s">
        <v>415</v>
      </c>
      <c r="G92" s="59" t="s">
        <v>86</v>
      </c>
      <c r="H92" s="59">
        <v>11</v>
      </c>
      <c r="I92" s="156">
        <f>12000/30</f>
        <v>400</v>
      </c>
      <c r="J92" s="59">
        <v>25</v>
      </c>
      <c r="K92" s="59">
        <f t="shared" si="4"/>
        <v>5</v>
      </c>
      <c r="L92" s="156">
        <f t="shared" si="6"/>
        <v>10000</v>
      </c>
      <c r="M92" s="59" t="s">
        <v>344</v>
      </c>
    </row>
    <row r="93" spans="1:13" ht="18" customHeight="1" x14ac:dyDescent="0.25">
      <c r="A93" s="62">
        <v>93</v>
      </c>
      <c r="B93" s="61">
        <v>45839</v>
      </c>
      <c r="C93" s="62">
        <v>17</v>
      </c>
      <c r="D93" s="62">
        <v>1</v>
      </c>
      <c r="E93" s="62" t="s">
        <v>119</v>
      </c>
      <c r="F93" s="62" t="s">
        <v>416</v>
      </c>
      <c r="G93" s="62" t="s">
        <v>122</v>
      </c>
      <c r="H93" s="62">
        <v>17</v>
      </c>
      <c r="I93" s="157">
        <f>10000/30</f>
        <v>333.33333333333331</v>
      </c>
      <c r="J93" s="62">
        <v>30</v>
      </c>
      <c r="K93" s="62">
        <f t="shared" si="4"/>
        <v>0</v>
      </c>
      <c r="L93" s="157">
        <f t="shared" si="6"/>
        <v>10000</v>
      </c>
      <c r="M93" s="62" t="s">
        <v>344</v>
      </c>
    </row>
    <row r="94" spans="1:13" ht="18" customHeight="1" x14ac:dyDescent="0.25">
      <c r="A94" s="59">
        <v>94</v>
      </c>
      <c r="B94" s="58">
        <v>45839</v>
      </c>
      <c r="C94" s="59">
        <v>20</v>
      </c>
      <c r="D94" s="59">
        <v>1</v>
      </c>
      <c r="E94" s="59" t="s">
        <v>128</v>
      </c>
      <c r="F94" s="59" t="s">
        <v>417</v>
      </c>
      <c r="G94" s="59" t="s">
        <v>122</v>
      </c>
      <c r="H94" s="59">
        <v>20</v>
      </c>
      <c r="I94" s="156">
        <f>12000/30</f>
        <v>400</v>
      </c>
      <c r="J94" s="59">
        <v>23</v>
      </c>
      <c r="K94" s="59">
        <f t="shared" si="4"/>
        <v>7</v>
      </c>
      <c r="L94" s="156">
        <v>9333.32</v>
      </c>
      <c r="M94" s="59" t="s">
        <v>372</v>
      </c>
    </row>
    <row r="95" spans="1:13" ht="18" customHeight="1" x14ac:dyDescent="0.25">
      <c r="A95" s="62">
        <v>95</v>
      </c>
      <c r="B95" s="61">
        <v>45839</v>
      </c>
      <c r="C95" s="62">
        <v>43</v>
      </c>
      <c r="D95" s="62">
        <v>1</v>
      </c>
      <c r="E95" s="62" t="s">
        <v>169</v>
      </c>
      <c r="F95" s="62" t="s">
        <v>418</v>
      </c>
      <c r="G95" s="62" t="s">
        <v>93</v>
      </c>
      <c r="H95" s="62">
        <v>24</v>
      </c>
      <c r="I95" s="157">
        <f>7810/30</f>
        <v>260.33333333333331</v>
      </c>
      <c r="J95" s="62">
        <v>30</v>
      </c>
      <c r="K95" s="62">
        <f t="shared" si="4"/>
        <v>0</v>
      </c>
      <c r="L95" s="157">
        <f t="shared" ref="L95:L122" si="7">I95*J95</f>
        <v>7809.9999999999991</v>
      </c>
      <c r="M95" s="62" t="s">
        <v>340</v>
      </c>
    </row>
    <row r="96" spans="1:13" ht="18" customHeight="1" x14ac:dyDescent="0.25">
      <c r="A96" s="59">
        <v>96</v>
      </c>
      <c r="B96" s="58">
        <v>45839</v>
      </c>
      <c r="C96" s="59">
        <v>42</v>
      </c>
      <c r="D96" s="59">
        <v>1</v>
      </c>
      <c r="E96" s="59" t="s">
        <v>167</v>
      </c>
      <c r="F96" s="59" t="s">
        <v>418</v>
      </c>
      <c r="G96" s="59" t="s">
        <v>93</v>
      </c>
      <c r="H96" s="59">
        <v>24</v>
      </c>
      <c r="I96" s="156">
        <f>7810/30</f>
        <v>260.33333333333331</v>
      </c>
      <c r="J96" s="59">
        <v>30</v>
      </c>
      <c r="K96" s="59">
        <f t="shared" si="4"/>
        <v>0</v>
      </c>
      <c r="L96" s="156">
        <f t="shared" si="7"/>
        <v>7809.9999999999991</v>
      </c>
      <c r="M96" s="59" t="s">
        <v>340</v>
      </c>
    </row>
    <row r="97" spans="1:13" ht="18" customHeight="1" x14ac:dyDescent="0.25">
      <c r="A97" s="62">
        <v>97</v>
      </c>
      <c r="B97" s="61">
        <v>45839</v>
      </c>
      <c r="C97" s="62">
        <v>46</v>
      </c>
      <c r="D97" s="62">
        <v>1</v>
      </c>
      <c r="E97" s="62" t="s">
        <v>173</v>
      </c>
      <c r="F97" s="62" t="s">
        <v>418</v>
      </c>
      <c r="G97" s="62" t="s">
        <v>93</v>
      </c>
      <c r="H97" s="62">
        <v>25</v>
      </c>
      <c r="I97" s="157">
        <f>7810/30</f>
        <v>260.33333333333331</v>
      </c>
      <c r="J97" s="62">
        <v>30</v>
      </c>
      <c r="K97" s="62">
        <f t="shared" si="4"/>
        <v>0</v>
      </c>
      <c r="L97" s="157">
        <f t="shared" si="7"/>
        <v>7809.9999999999991</v>
      </c>
      <c r="M97" s="62" t="s">
        <v>340</v>
      </c>
    </row>
    <row r="98" spans="1:13" ht="18" customHeight="1" x14ac:dyDescent="0.25">
      <c r="A98" s="59">
        <v>98</v>
      </c>
      <c r="B98" s="58">
        <v>45839</v>
      </c>
      <c r="C98" s="59">
        <v>34</v>
      </c>
      <c r="D98" s="59">
        <v>1</v>
      </c>
      <c r="E98" s="59" t="s">
        <v>155</v>
      </c>
      <c r="F98" s="59" t="s">
        <v>419</v>
      </c>
      <c r="G98" s="59" t="s">
        <v>182</v>
      </c>
      <c r="H98" s="59">
        <v>24</v>
      </c>
      <c r="I98" s="156">
        <f>9900/30</f>
        <v>330</v>
      </c>
      <c r="J98" s="59">
        <v>30</v>
      </c>
      <c r="K98" s="59">
        <f t="shared" ref="K98:K122" si="8">IF(J98="", 0, 30 - J98)</f>
        <v>0</v>
      </c>
      <c r="L98" s="156">
        <f t="shared" si="7"/>
        <v>9900</v>
      </c>
      <c r="M98" s="59" t="s">
        <v>340</v>
      </c>
    </row>
    <row r="99" spans="1:13" ht="18" customHeight="1" x14ac:dyDescent="0.25">
      <c r="A99" s="62">
        <v>99</v>
      </c>
      <c r="B99" s="61">
        <v>45839</v>
      </c>
      <c r="C99" s="62">
        <v>45</v>
      </c>
      <c r="D99" s="62">
        <v>1</v>
      </c>
      <c r="E99" s="62" t="s">
        <v>172</v>
      </c>
      <c r="F99" s="62" t="s">
        <v>418</v>
      </c>
      <c r="G99" s="62" t="s">
        <v>93</v>
      </c>
      <c r="H99" s="62">
        <v>23</v>
      </c>
      <c r="I99" s="157">
        <f>7000/30</f>
        <v>233.33333333333334</v>
      </c>
      <c r="J99" s="62">
        <v>30</v>
      </c>
      <c r="K99" s="62">
        <f t="shared" si="8"/>
        <v>0</v>
      </c>
      <c r="L99" s="157">
        <f t="shared" si="7"/>
        <v>7000</v>
      </c>
      <c r="M99" s="62" t="s">
        <v>325</v>
      </c>
    </row>
    <row r="100" spans="1:13" ht="18" customHeight="1" x14ac:dyDescent="0.25">
      <c r="A100" s="59">
        <v>100</v>
      </c>
      <c r="B100" s="58">
        <v>45839</v>
      </c>
      <c r="C100" s="59">
        <v>44</v>
      </c>
      <c r="D100" s="59">
        <v>1</v>
      </c>
      <c r="E100" s="59" t="s">
        <v>170</v>
      </c>
      <c r="F100" s="59" t="s">
        <v>418</v>
      </c>
      <c r="G100" s="59" t="s">
        <v>93</v>
      </c>
      <c r="H100" s="59">
        <v>23</v>
      </c>
      <c r="I100" s="156">
        <f>7000/30</f>
        <v>233.33333333333334</v>
      </c>
      <c r="J100" s="59">
        <v>30</v>
      </c>
      <c r="K100" s="59">
        <f t="shared" si="8"/>
        <v>0</v>
      </c>
      <c r="L100" s="156">
        <f t="shared" si="7"/>
        <v>7000</v>
      </c>
      <c r="M100" s="59" t="s">
        <v>325</v>
      </c>
    </row>
    <row r="101" spans="1:13" ht="18" customHeight="1" x14ac:dyDescent="0.25">
      <c r="A101" s="62">
        <v>101</v>
      </c>
      <c r="B101" s="61">
        <v>45839</v>
      </c>
      <c r="C101" s="62">
        <v>40</v>
      </c>
      <c r="D101" s="62">
        <v>1</v>
      </c>
      <c r="E101" s="62" t="s">
        <v>165</v>
      </c>
      <c r="F101" s="62" t="s">
        <v>418</v>
      </c>
      <c r="G101" s="62" t="s">
        <v>159</v>
      </c>
      <c r="H101" s="62">
        <v>23</v>
      </c>
      <c r="I101" s="157">
        <f>7550/30</f>
        <v>251.66666666666666</v>
      </c>
      <c r="J101" s="62">
        <v>30</v>
      </c>
      <c r="K101" s="62">
        <f t="shared" si="8"/>
        <v>0</v>
      </c>
      <c r="L101" s="157">
        <f t="shared" si="7"/>
        <v>7550</v>
      </c>
      <c r="M101" s="62" t="s">
        <v>325</v>
      </c>
    </row>
    <row r="102" spans="1:13" ht="18" customHeight="1" x14ac:dyDescent="0.25">
      <c r="A102" s="59">
        <v>102</v>
      </c>
      <c r="B102" s="58">
        <v>45839</v>
      </c>
      <c r="C102" s="59">
        <v>41</v>
      </c>
      <c r="D102" s="59">
        <v>1</v>
      </c>
      <c r="E102" s="59" t="s">
        <v>166</v>
      </c>
      <c r="F102" s="59" t="s">
        <v>418</v>
      </c>
      <c r="G102" s="59" t="s">
        <v>159</v>
      </c>
      <c r="H102" s="59">
        <v>22</v>
      </c>
      <c r="I102" s="156">
        <f>8500/30</f>
        <v>283.33333333333331</v>
      </c>
      <c r="J102" s="59">
        <v>30</v>
      </c>
      <c r="K102" s="59">
        <f t="shared" si="8"/>
        <v>0</v>
      </c>
      <c r="L102" s="156">
        <f t="shared" si="7"/>
        <v>8500</v>
      </c>
      <c r="M102" s="59" t="s">
        <v>356</v>
      </c>
    </row>
    <row r="103" spans="1:13" ht="18" customHeight="1" x14ac:dyDescent="0.25">
      <c r="A103" s="62">
        <v>103</v>
      </c>
      <c r="B103" s="61">
        <v>45839</v>
      </c>
      <c r="C103" s="62">
        <v>39</v>
      </c>
      <c r="D103" s="62">
        <v>1</v>
      </c>
      <c r="E103" s="62" t="s">
        <v>162</v>
      </c>
      <c r="F103" s="62" t="s">
        <v>418</v>
      </c>
      <c r="G103" s="62" t="s">
        <v>159</v>
      </c>
      <c r="H103" s="62">
        <v>22</v>
      </c>
      <c r="I103" s="157">
        <f>8500/30</f>
        <v>283.33333333333331</v>
      </c>
      <c r="J103" s="62">
        <v>30</v>
      </c>
      <c r="K103" s="62">
        <f t="shared" si="8"/>
        <v>0</v>
      </c>
      <c r="L103" s="157">
        <f t="shared" si="7"/>
        <v>8500</v>
      </c>
      <c r="M103" s="62" t="s">
        <v>356</v>
      </c>
    </row>
    <row r="104" spans="1:13" ht="18" customHeight="1" x14ac:dyDescent="0.25">
      <c r="A104" s="59">
        <v>104</v>
      </c>
      <c r="B104" s="58">
        <v>45839</v>
      </c>
      <c r="C104" s="59">
        <v>47</v>
      </c>
      <c r="D104" s="59">
        <v>1</v>
      </c>
      <c r="E104" s="59" t="s">
        <v>174</v>
      </c>
      <c r="F104" s="59" t="s">
        <v>420</v>
      </c>
      <c r="G104" s="59" t="s">
        <v>421</v>
      </c>
      <c r="H104" s="59">
        <v>16</v>
      </c>
      <c r="I104" s="156">
        <f>15000/30</f>
        <v>500</v>
      </c>
      <c r="J104" s="59">
        <v>30</v>
      </c>
      <c r="K104" s="59">
        <f t="shared" si="8"/>
        <v>0</v>
      </c>
      <c r="L104" s="156">
        <f t="shared" si="7"/>
        <v>15000</v>
      </c>
      <c r="M104" s="59" t="s">
        <v>333</v>
      </c>
    </row>
    <row r="105" spans="1:13" ht="18" customHeight="1" x14ac:dyDescent="0.25">
      <c r="A105" s="62">
        <v>105</v>
      </c>
      <c r="B105" s="61">
        <v>45839</v>
      </c>
      <c r="C105" s="62">
        <v>6</v>
      </c>
      <c r="D105" s="62">
        <v>1</v>
      </c>
      <c r="E105" s="62" t="s">
        <v>85</v>
      </c>
      <c r="F105" s="62" t="s">
        <v>424</v>
      </c>
      <c r="G105" s="62" t="s">
        <v>86</v>
      </c>
      <c r="H105" s="62">
        <v>14</v>
      </c>
      <c r="I105" s="157">
        <f>12000/30</f>
        <v>400</v>
      </c>
      <c r="J105" s="62">
        <v>23</v>
      </c>
      <c r="K105" s="62">
        <f t="shared" si="8"/>
        <v>7</v>
      </c>
      <c r="L105" s="157">
        <f t="shared" si="7"/>
        <v>9200</v>
      </c>
      <c r="M105" s="62" t="s">
        <v>344</v>
      </c>
    </row>
    <row r="106" spans="1:13" ht="18" customHeight="1" x14ac:dyDescent="0.25">
      <c r="A106" s="59">
        <v>106</v>
      </c>
      <c r="B106" s="58">
        <v>45870</v>
      </c>
      <c r="C106" s="59">
        <v>24</v>
      </c>
      <c r="D106" s="59">
        <v>1</v>
      </c>
      <c r="E106" s="59" t="s">
        <v>141</v>
      </c>
      <c r="F106" s="59" t="s">
        <v>415</v>
      </c>
      <c r="G106" s="59" t="s">
        <v>86</v>
      </c>
      <c r="H106" s="59">
        <v>26</v>
      </c>
      <c r="I106" s="156">
        <f>15500/30</f>
        <v>516.66666666666663</v>
      </c>
      <c r="J106" s="59">
        <v>30</v>
      </c>
      <c r="K106" s="59">
        <f t="shared" si="8"/>
        <v>0</v>
      </c>
      <c r="L106" s="156">
        <f t="shared" si="7"/>
        <v>15499.999999999998</v>
      </c>
      <c r="M106" s="59" t="s">
        <v>344</v>
      </c>
    </row>
    <row r="107" spans="1:13" ht="18" customHeight="1" x14ac:dyDescent="0.25">
      <c r="A107" s="62">
        <v>107</v>
      </c>
      <c r="B107" s="61">
        <v>45870</v>
      </c>
      <c r="C107" s="62">
        <v>17</v>
      </c>
      <c r="D107" s="62">
        <v>1</v>
      </c>
      <c r="E107" s="62" t="s">
        <v>119</v>
      </c>
      <c r="F107" s="62" t="s">
        <v>416</v>
      </c>
      <c r="G107" s="62" t="s">
        <v>122</v>
      </c>
      <c r="H107" s="62">
        <v>17</v>
      </c>
      <c r="I107" s="157">
        <f>12000/30</f>
        <v>400</v>
      </c>
      <c r="J107" s="62">
        <v>30</v>
      </c>
      <c r="K107" s="62">
        <f t="shared" si="8"/>
        <v>0</v>
      </c>
      <c r="L107" s="157">
        <f t="shared" si="7"/>
        <v>12000</v>
      </c>
      <c r="M107" s="62" t="s">
        <v>344</v>
      </c>
    </row>
    <row r="108" spans="1:13" ht="18" customHeight="1" x14ac:dyDescent="0.25">
      <c r="A108" s="59">
        <v>108</v>
      </c>
      <c r="B108" s="58">
        <v>45870</v>
      </c>
      <c r="C108" s="59">
        <v>20</v>
      </c>
      <c r="D108" s="59">
        <v>1</v>
      </c>
      <c r="E108" s="59" t="s">
        <v>128</v>
      </c>
      <c r="F108" s="59" t="s">
        <v>417</v>
      </c>
      <c r="G108" s="59" t="s">
        <v>122</v>
      </c>
      <c r="H108" s="59">
        <v>20</v>
      </c>
      <c r="I108" s="156">
        <f>12000/30</f>
        <v>400</v>
      </c>
      <c r="J108" s="59">
        <v>30</v>
      </c>
      <c r="K108" s="59">
        <f t="shared" si="8"/>
        <v>0</v>
      </c>
      <c r="L108" s="156">
        <f t="shared" si="7"/>
        <v>12000</v>
      </c>
      <c r="M108" s="59" t="s">
        <v>372</v>
      </c>
    </row>
    <row r="109" spans="1:13" ht="18" customHeight="1" x14ac:dyDescent="0.25">
      <c r="A109" s="62">
        <v>109</v>
      </c>
      <c r="B109" s="61">
        <v>45870</v>
      </c>
      <c r="C109" s="62">
        <v>43</v>
      </c>
      <c r="D109" s="62">
        <v>1</v>
      </c>
      <c r="E109" s="62" t="s">
        <v>169</v>
      </c>
      <c r="F109" s="62" t="s">
        <v>418</v>
      </c>
      <c r="G109" s="62" t="s">
        <v>93</v>
      </c>
      <c r="H109" s="62">
        <v>24</v>
      </c>
      <c r="I109" s="157">
        <f>7810/30</f>
        <v>260.33333333333331</v>
      </c>
      <c r="J109" s="62">
        <v>30</v>
      </c>
      <c r="K109" s="62">
        <f t="shared" si="8"/>
        <v>0</v>
      </c>
      <c r="L109" s="157">
        <f t="shared" si="7"/>
        <v>7809.9999999999991</v>
      </c>
      <c r="M109" s="62" t="s">
        <v>340</v>
      </c>
    </row>
    <row r="110" spans="1:13" ht="18" customHeight="1" x14ac:dyDescent="0.25">
      <c r="A110" s="59">
        <v>110</v>
      </c>
      <c r="B110" s="58">
        <v>45870</v>
      </c>
      <c r="C110" s="59">
        <v>42</v>
      </c>
      <c r="D110" s="59">
        <v>1</v>
      </c>
      <c r="E110" s="59" t="s">
        <v>167</v>
      </c>
      <c r="F110" s="59" t="s">
        <v>418</v>
      </c>
      <c r="G110" s="59" t="s">
        <v>93</v>
      </c>
      <c r="H110" s="59">
        <v>24</v>
      </c>
      <c r="I110" s="156">
        <f>7810/30</f>
        <v>260.33333333333331</v>
      </c>
      <c r="J110" s="59">
        <v>30</v>
      </c>
      <c r="K110" s="59">
        <f t="shared" si="8"/>
        <v>0</v>
      </c>
      <c r="L110" s="156">
        <f t="shared" si="7"/>
        <v>7809.9999999999991</v>
      </c>
      <c r="M110" s="59" t="s">
        <v>340</v>
      </c>
    </row>
    <row r="111" spans="1:13" ht="18" customHeight="1" x14ac:dyDescent="0.25">
      <c r="A111" s="62">
        <v>111</v>
      </c>
      <c r="B111" s="61">
        <v>45870</v>
      </c>
      <c r="C111" s="62">
        <v>46</v>
      </c>
      <c r="D111" s="62">
        <v>1</v>
      </c>
      <c r="E111" s="62" t="s">
        <v>173</v>
      </c>
      <c r="F111" s="62" t="s">
        <v>418</v>
      </c>
      <c r="G111" s="62" t="s">
        <v>93</v>
      </c>
      <c r="H111" s="62">
        <v>25</v>
      </c>
      <c r="I111" s="157">
        <f>7810/30</f>
        <v>260.33333333333331</v>
      </c>
      <c r="J111" s="62">
        <v>30</v>
      </c>
      <c r="K111" s="62">
        <f t="shared" si="8"/>
        <v>0</v>
      </c>
      <c r="L111" s="157">
        <f t="shared" si="7"/>
        <v>7809.9999999999991</v>
      </c>
      <c r="M111" s="62" t="s">
        <v>340</v>
      </c>
    </row>
    <row r="112" spans="1:13" ht="18" customHeight="1" x14ac:dyDescent="0.25">
      <c r="A112" s="59">
        <v>112</v>
      </c>
      <c r="B112" s="58">
        <v>45870</v>
      </c>
      <c r="C112" s="59">
        <v>34</v>
      </c>
      <c r="D112" s="59">
        <v>1</v>
      </c>
      <c r="E112" s="59" t="s">
        <v>155</v>
      </c>
      <c r="F112" s="59" t="s">
        <v>419</v>
      </c>
      <c r="G112" s="59" t="s">
        <v>182</v>
      </c>
      <c r="H112" s="59">
        <v>24</v>
      </c>
      <c r="I112" s="156">
        <f>9900/30</f>
        <v>330</v>
      </c>
      <c r="J112" s="59">
        <v>30</v>
      </c>
      <c r="K112" s="59">
        <f t="shared" si="8"/>
        <v>0</v>
      </c>
      <c r="L112" s="156">
        <f t="shared" si="7"/>
        <v>9900</v>
      </c>
      <c r="M112" s="59" t="s">
        <v>340</v>
      </c>
    </row>
    <row r="113" spans="1:13" ht="18" customHeight="1" x14ac:dyDescent="0.25">
      <c r="A113" s="62">
        <v>113</v>
      </c>
      <c r="B113" s="61">
        <v>45870</v>
      </c>
      <c r="C113" s="62">
        <v>45</v>
      </c>
      <c r="D113" s="62">
        <v>1</v>
      </c>
      <c r="E113" s="62" t="s">
        <v>172</v>
      </c>
      <c r="F113" s="62" t="s">
        <v>418</v>
      </c>
      <c r="G113" s="62" t="s">
        <v>93</v>
      </c>
      <c r="H113" s="62">
        <v>23</v>
      </c>
      <c r="I113" s="157">
        <f>7000/30</f>
        <v>233.33333333333334</v>
      </c>
      <c r="J113" s="62">
        <v>30</v>
      </c>
      <c r="K113" s="62">
        <f t="shared" si="8"/>
        <v>0</v>
      </c>
      <c r="L113" s="157">
        <f t="shared" si="7"/>
        <v>7000</v>
      </c>
      <c r="M113" s="62" t="s">
        <v>325</v>
      </c>
    </row>
    <row r="114" spans="1:13" ht="18" customHeight="1" x14ac:dyDescent="0.25">
      <c r="A114" s="59">
        <v>114</v>
      </c>
      <c r="B114" s="58">
        <v>45870</v>
      </c>
      <c r="C114" s="59">
        <v>44</v>
      </c>
      <c r="D114" s="59">
        <v>1</v>
      </c>
      <c r="E114" s="59" t="s">
        <v>170</v>
      </c>
      <c r="F114" s="59" t="s">
        <v>418</v>
      </c>
      <c r="G114" s="59" t="s">
        <v>93</v>
      </c>
      <c r="H114" s="59">
        <v>23</v>
      </c>
      <c r="I114" s="156">
        <f>7000/30</f>
        <v>233.33333333333334</v>
      </c>
      <c r="J114" s="59">
        <v>30</v>
      </c>
      <c r="K114" s="59">
        <f t="shared" si="8"/>
        <v>0</v>
      </c>
      <c r="L114" s="156">
        <f t="shared" si="7"/>
        <v>7000</v>
      </c>
      <c r="M114" s="59" t="s">
        <v>325</v>
      </c>
    </row>
    <row r="115" spans="1:13" ht="18" customHeight="1" x14ac:dyDescent="0.25">
      <c r="A115" s="62">
        <v>115</v>
      </c>
      <c r="B115" s="61">
        <v>45870</v>
      </c>
      <c r="C115" s="62">
        <v>40</v>
      </c>
      <c r="D115" s="62">
        <v>1</v>
      </c>
      <c r="E115" s="62" t="s">
        <v>165</v>
      </c>
      <c r="F115" s="62" t="s">
        <v>418</v>
      </c>
      <c r="G115" s="62" t="s">
        <v>159</v>
      </c>
      <c r="H115" s="62">
        <v>23</v>
      </c>
      <c r="I115" s="157">
        <f>7550/30</f>
        <v>251.66666666666666</v>
      </c>
      <c r="J115" s="62">
        <v>30</v>
      </c>
      <c r="K115" s="62">
        <f t="shared" si="8"/>
        <v>0</v>
      </c>
      <c r="L115" s="157">
        <f t="shared" si="7"/>
        <v>7550</v>
      </c>
      <c r="M115" s="62" t="s">
        <v>325</v>
      </c>
    </row>
    <row r="116" spans="1:13" ht="18" customHeight="1" x14ac:dyDescent="0.25">
      <c r="A116" s="59">
        <v>116</v>
      </c>
      <c r="B116" s="58">
        <v>45870</v>
      </c>
      <c r="C116" s="59">
        <v>41</v>
      </c>
      <c r="D116" s="59">
        <v>1</v>
      </c>
      <c r="E116" s="59" t="s">
        <v>166</v>
      </c>
      <c r="F116" s="59" t="s">
        <v>418</v>
      </c>
      <c r="G116" s="59" t="s">
        <v>159</v>
      </c>
      <c r="H116" s="59">
        <v>22</v>
      </c>
      <c r="I116" s="156">
        <f>8500/30</f>
        <v>283.33333333333331</v>
      </c>
      <c r="J116" s="59">
        <v>30</v>
      </c>
      <c r="K116" s="59">
        <f t="shared" si="8"/>
        <v>0</v>
      </c>
      <c r="L116" s="156">
        <f t="shared" si="7"/>
        <v>8500</v>
      </c>
      <c r="M116" s="59" t="s">
        <v>356</v>
      </c>
    </row>
    <row r="117" spans="1:13" ht="18" customHeight="1" x14ac:dyDescent="0.25">
      <c r="A117" s="62">
        <v>117</v>
      </c>
      <c r="B117" s="61">
        <v>45870</v>
      </c>
      <c r="C117" s="62">
        <v>39</v>
      </c>
      <c r="D117" s="62">
        <v>1</v>
      </c>
      <c r="E117" s="62" t="s">
        <v>162</v>
      </c>
      <c r="F117" s="62" t="s">
        <v>418</v>
      </c>
      <c r="G117" s="62" t="s">
        <v>159</v>
      </c>
      <c r="H117" s="62">
        <v>22</v>
      </c>
      <c r="I117" s="157">
        <f>8500/30</f>
        <v>283.33333333333331</v>
      </c>
      <c r="J117" s="62">
        <v>30</v>
      </c>
      <c r="K117" s="62">
        <f t="shared" si="8"/>
        <v>0</v>
      </c>
      <c r="L117" s="157">
        <f t="shared" si="7"/>
        <v>8500</v>
      </c>
      <c r="M117" s="62" t="s">
        <v>356</v>
      </c>
    </row>
    <row r="118" spans="1:13" ht="18" customHeight="1" x14ac:dyDescent="0.25">
      <c r="A118" s="59">
        <v>118</v>
      </c>
      <c r="B118" s="58">
        <v>45870</v>
      </c>
      <c r="C118" s="59">
        <v>47</v>
      </c>
      <c r="D118" s="59">
        <v>1</v>
      </c>
      <c r="E118" s="59" t="s">
        <v>174</v>
      </c>
      <c r="F118" s="59" t="s">
        <v>420</v>
      </c>
      <c r="G118" s="59" t="s">
        <v>421</v>
      </c>
      <c r="H118" s="59">
        <v>27</v>
      </c>
      <c r="I118" s="156">
        <f>18500/30</f>
        <v>616.66666666666663</v>
      </c>
      <c r="J118" s="59">
        <v>30</v>
      </c>
      <c r="K118" s="59">
        <f t="shared" si="8"/>
        <v>0</v>
      </c>
      <c r="L118" s="156">
        <f t="shared" si="7"/>
        <v>18500</v>
      </c>
      <c r="M118" s="59" t="s">
        <v>333</v>
      </c>
    </row>
    <row r="119" spans="1:13" ht="18" customHeight="1" x14ac:dyDescent="0.25">
      <c r="A119" s="62">
        <v>119</v>
      </c>
      <c r="B119" s="61">
        <v>45870</v>
      </c>
      <c r="C119" s="62">
        <v>6</v>
      </c>
      <c r="D119" s="62">
        <v>1</v>
      </c>
      <c r="E119" s="62" t="s">
        <v>85</v>
      </c>
      <c r="F119" s="62" t="s">
        <v>424</v>
      </c>
      <c r="G119" s="62" t="s">
        <v>86</v>
      </c>
      <c r="H119" s="62"/>
      <c r="I119" s="157">
        <v>0</v>
      </c>
      <c r="J119" s="62">
        <v>0</v>
      </c>
      <c r="K119" s="62">
        <f t="shared" si="8"/>
        <v>30</v>
      </c>
      <c r="L119" s="157">
        <f t="shared" si="7"/>
        <v>0</v>
      </c>
      <c r="M119" s="62" t="s">
        <v>412</v>
      </c>
    </row>
    <row r="120" spans="1:13" ht="18" customHeight="1" x14ac:dyDescent="0.25">
      <c r="A120" s="59">
        <v>120</v>
      </c>
      <c r="B120" s="58">
        <v>45901</v>
      </c>
      <c r="C120" s="59">
        <v>24</v>
      </c>
      <c r="D120" s="59">
        <v>3</v>
      </c>
      <c r="E120" s="59" t="s">
        <v>141</v>
      </c>
      <c r="F120" s="59" t="s">
        <v>415</v>
      </c>
      <c r="G120" s="59" t="s">
        <v>86</v>
      </c>
      <c r="H120" s="59">
        <v>26</v>
      </c>
      <c r="I120" s="156">
        <f>15500/30</f>
        <v>516.66666666666663</v>
      </c>
      <c r="J120" s="59">
        <v>30</v>
      </c>
      <c r="K120" s="59">
        <f t="shared" si="8"/>
        <v>0</v>
      </c>
      <c r="L120" s="156">
        <f t="shared" si="7"/>
        <v>15499.999999999998</v>
      </c>
      <c r="M120" s="59" t="s">
        <v>344</v>
      </c>
    </row>
    <row r="121" spans="1:13" ht="18" customHeight="1" x14ac:dyDescent="0.25">
      <c r="A121" s="62">
        <v>121</v>
      </c>
      <c r="B121" s="61">
        <v>45901</v>
      </c>
      <c r="C121" s="62">
        <v>17</v>
      </c>
      <c r="D121" s="62">
        <v>3</v>
      </c>
      <c r="E121" s="62" t="s">
        <v>119</v>
      </c>
      <c r="F121" s="62" t="s">
        <v>416</v>
      </c>
      <c r="G121" s="62" t="s">
        <v>122</v>
      </c>
      <c r="H121" s="62">
        <v>26</v>
      </c>
      <c r="I121" s="157">
        <f>12000/30</f>
        <v>400</v>
      </c>
      <c r="J121" s="62">
        <v>30</v>
      </c>
      <c r="K121" s="62">
        <f t="shared" si="8"/>
        <v>0</v>
      </c>
      <c r="L121" s="157">
        <f t="shared" si="7"/>
        <v>12000</v>
      </c>
      <c r="M121" s="62" t="s">
        <v>344</v>
      </c>
    </row>
    <row r="122" spans="1:13" ht="18" customHeight="1" x14ac:dyDescent="0.25">
      <c r="A122" s="59">
        <v>122</v>
      </c>
      <c r="B122" s="58">
        <v>45901</v>
      </c>
      <c r="C122" s="59">
        <v>20</v>
      </c>
      <c r="D122" s="59">
        <v>3</v>
      </c>
      <c r="E122" s="59" t="s">
        <v>128</v>
      </c>
      <c r="F122" s="59" t="s">
        <v>417</v>
      </c>
      <c r="G122" s="59" t="s">
        <v>122</v>
      </c>
      <c r="H122" s="59">
        <v>28</v>
      </c>
      <c r="I122" s="156">
        <f>12000/30</f>
        <v>400</v>
      </c>
      <c r="J122" s="59">
        <v>30</v>
      </c>
      <c r="K122" s="59">
        <f t="shared" si="8"/>
        <v>0</v>
      </c>
      <c r="L122" s="156">
        <f t="shared" si="7"/>
        <v>12000</v>
      </c>
      <c r="M122" s="59" t="s">
        <v>372</v>
      </c>
    </row>
    <row r="123" spans="1:13" ht="18" customHeight="1" x14ac:dyDescent="0.25">
      <c r="A123" s="62">
        <v>123</v>
      </c>
      <c r="B123" s="61">
        <v>45901</v>
      </c>
      <c r="C123" s="62">
        <v>43</v>
      </c>
      <c r="D123" s="62">
        <v>3</v>
      </c>
      <c r="E123" s="62" t="s">
        <v>169</v>
      </c>
      <c r="F123" s="62" t="s">
        <v>418</v>
      </c>
      <c r="G123" s="62" t="s">
        <v>93</v>
      </c>
      <c r="H123" s="62">
        <v>24</v>
      </c>
      <c r="I123" s="157">
        <f>7810/30</f>
        <v>260.33333333333331</v>
      </c>
      <c r="J123" s="62">
        <v>30</v>
      </c>
      <c r="K123" s="62">
        <f>IF(J124="", 0, 30 - J124)</f>
        <v>0</v>
      </c>
      <c r="L123" s="157">
        <f>I124*J124</f>
        <v>7809.9999999999991</v>
      </c>
      <c r="M123" s="62" t="s">
        <v>340</v>
      </c>
    </row>
    <row r="124" spans="1:13" ht="18" customHeight="1" x14ac:dyDescent="0.25">
      <c r="A124" s="59">
        <v>124</v>
      </c>
      <c r="B124" s="58">
        <v>45901</v>
      </c>
      <c r="C124" s="59">
        <v>42</v>
      </c>
      <c r="D124" s="59">
        <v>3</v>
      </c>
      <c r="E124" s="59" t="s">
        <v>167</v>
      </c>
      <c r="F124" s="59" t="s">
        <v>418</v>
      </c>
      <c r="G124" s="59" t="s">
        <v>93</v>
      </c>
      <c r="H124" s="59">
        <v>24</v>
      </c>
      <c r="I124" s="156">
        <f>7810/30</f>
        <v>260.33333333333331</v>
      </c>
      <c r="J124" s="59">
        <v>30</v>
      </c>
      <c r="K124" s="59">
        <f t="shared" ref="K124:K155" si="9">IF(J124="", 0, 30 - J124)</f>
        <v>0</v>
      </c>
      <c r="L124" s="156">
        <f t="shared" ref="L124:L160" si="10">I124*J124</f>
        <v>7809.9999999999991</v>
      </c>
      <c r="M124" s="59" t="s">
        <v>340</v>
      </c>
    </row>
    <row r="125" spans="1:13" ht="18" customHeight="1" x14ac:dyDescent="0.25">
      <c r="A125" s="62">
        <v>125</v>
      </c>
      <c r="B125" s="61">
        <v>45901</v>
      </c>
      <c r="C125" s="62">
        <v>46</v>
      </c>
      <c r="D125" s="62">
        <v>3</v>
      </c>
      <c r="E125" s="62" t="s">
        <v>173</v>
      </c>
      <c r="F125" s="62" t="s">
        <v>418</v>
      </c>
      <c r="G125" s="62" t="s">
        <v>93</v>
      </c>
      <c r="H125" s="62">
        <v>25</v>
      </c>
      <c r="I125" s="157">
        <f>7810/30</f>
        <v>260.33333333333331</v>
      </c>
      <c r="J125" s="62">
        <v>30</v>
      </c>
      <c r="K125" s="62">
        <f t="shared" si="9"/>
        <v>0</v>
      </c>
      <c r="L125" s="157">
        <f t="shared" si="10"/>
        <v>7809.9999999999991</v>
      </c>
      <c r="M125" s="62" t="s">
        <v>340</v>
      </c>
    </row>
    <row r="126" spans="1:13" ht="18" customHeight="1" x14ac:dyDescent="0.25">
      <c r="A126" s="59">
        <v>126</v>
      </c>
      <c r="B126" s="58">
        <v>45901</v>
      </c>
      <c r="C126" s="59">
        <v>34</v>
      </c>
      <c r="D126" s="59">
        <v>3</v>
      </c>
      <c r="E126" s="59" t="s">
        <v>155</v>
      </c>
      <c r="F126" s="59" t="s">
        <v>419</v>
      </c>
      <c r="G126" s="59" t="s">
        <v>182</v>
      </c>
      <c r="H126" s="59">
        <v>24</v>
      </c>
      <c r="I126" s="156">
        <f>9900/30</f>
        <v>330</v>
      </c>
      <c r="J126" s="59">
        <v>30</v>
      </c>
      <c r="K126" s="59">
        <f t="shared" si="9"/>
        <v>0</v>
      </c>
      <c r="L126" s="156">
        <f t="shared" si="10"/>
        <v>9900</v>
      </c>
      <c r="M126" s="59" t="s">
        <v>340</v>
      </c>
    </row>
    <row r="127" spans="1:13" ht="18" customHeight="1" x14ac:dyDescent="0.25">
      <c r="A127" s="62">
        <v>127</v>
      </c>
      <c r="B127" s="61">
        <v>45901</v>
      </c>
      <c r="C127" s="62">
        <v>45</v>
      </c>
      <c r="D127" s="62">
        <v>1</v>
      </c>
      <c r="E127" s="62" t="s">
        <v>172</v>
      </c>
      <c r="F127" s="62" t="s">
        <v>418</v>
      </c>
      <c r="G127" s="62" t="s">
        <v>93</v>
      </c>
      <c r="H127" s="62">
        <v>23</v>
      </c>
      <c r="I127" s="157">
        <f>7000/30</f>
        <v>233.33333333333334</v>
      </c>
      <c r="J127" s="62">
        <v>30</v>
      </c>
      <c r="K127" s="62">
        <f t="shared" si="9"/>
        <v>0</v>
      </c>
      <c r="L127" s="157">
        <f t="shared" si="10"/>
        <v>7000</v>
      </c>
      <c r="M127" s="62" t="s">
        <v>325</v>
      </c>
    </row>
    <row r="128" spans="1:13" ht="18" customHeight="1" x14ac:dyDescent="0.25">
      <c r="A128" s="59">
        <v>128</v>
      </c>
      <c r="B128" s="58">
        <v>45901</v>
      </c>
      <c r="C128" s="59">
        <v>44</v>
      </c>
      <c r="D128" s="59">
        <v>1</v>
      </c>
      <c r="E128" s="59" t="s">
        <v>170</v>
      </c>
      <c r="F128" s="59" t="s">
        <v>418</v>
      </c>
      <c r="G128" s="59" t="s">
        <v>93</v>
      </c>
      <c r="H128" s="59">
        <v>23</v>
      </c>
      <c r="I128" s="156">
        <f>7000/30</f>
        <v>233.33333333333334</v>
      </c>
      <c r="J128" s="59">
        <v>30</v>
      </c>
      <c r="K128" s="59">
        <f t="shared" si="9"/>
        <v>0</v>
      </c>
      <c r="L128" s="156">
        <f t="shared" si="10"/>
        <v>7000</v>
      </c>
      <c r="M128" s="59" t="s">
        <v>325</v>
      </c>
    </row>
    <row r="129" spans="1:13" ht="18" customHeight="1" x14ac:dyDescent="0.25">
      <c r="A129" s="62">
        <v>129</v>
      </c>
      <c r="B129" s="61">
        <v>45901</v>
      </c>
      <c r="C129" s="62">
        <v>40</v>
      </c>
      <c r="D129" s="62">
        <v>1</v>
      </c>
      <c r="E129" s="62" t="s">
        <v>165</v>
      </c>
      <c r="F129" s="62" t="s">
        <v>418</v>
      </c>
      <c r="G129" s="62" t="s">
        <v>159</v>
      </c>
      <c r="H129" s="62">
        <v>23</v>
      </c>
      <c r="I129" s="157">
        <f>7550/30</f>
        <v>251.66666666666666</v>
      </c>
      <c r="J129" s="62">
        <v>30</v>
      </c>
      <c r="K129" s="62">
        <f t="shared" si="9"/>
        <v>0</v>
      </c>
      <c r="L129" s="157">
        <f t="shared" si="10"/>
        <v>7550</v>
      </c>
      <c r="M129" s="62" t="s">
        <v>325</v>
      </c>
    </row>
    <row r="130" spans="1:13" ht="18" customHeight="1" x14ac:dyDescent="0.25">
      <c r="A130" s="59">
        <v>130</v>
      </c>
      <c r="B130" s="58">
        <v>45901</v>
      </c>
      <c r="C130" s="59">
        <v>41</v>
      </c>
      <c r="D130" s="59">
        <v>1</v>
      </c>
      <c r="E130" s="59" t="s">
        <v>166</v>
      </c>
      <c r="F130" s="59" t="s">
        <v>418</v>
      </c>
      <c r="G130" s="59" t="s">
        <v>159</v>
      </c>
      <c r="H130" s="59">
        <v>22</v>
      </c>
      <c r="I130" s="156">
        <f>8500/30</f>
        <v>283.33333333333331</v>
      </c>
      <c r="J130" s="59">
        <v>30</v>
      </c>
      <c r="K130" s="59">
        <f t="shared" si="9"/>
        <v>0</v>
      </c>
      <c r="L130" s="156">
        <f t="shared" si="10"/>
        <v>8500</v>
      </c>
      <c r="M130" s="59" t="s">
        <v>356</v>
      </c>
    </row>
    <row r="131" spans="1:13" ht="18" customHeight="1" x14ac:dyDescent="0.25">
      <c r="A131" s="62">
        <v>131</v>
      </c>
      <c r="B131" s="61">
        <v>45901</v>
      </c>
      <c r="C131" s="62">
        <v>39</v>
      </c>
      <c r="D131" s="62">
        <v>1</v>
      </c>
      <c r="E131" s="62" t="s">
        <v>162</v>
      </c>
      <c r="F131" s="62" t="s">
        <v>418</v>
      </c>
      <c r="G131" s="62" t="s">
        <v>159</v>
      </c>
      <c r="H131" s="62">
        <v>22</v>
      </c>
      <c r="I131" s="157">
        <f>8500/30</f>
        <v>283.33333333333331</v>
      </c>
      <c r="J131" s="62">
        <v>17</v>
      </c>
      <c r="K131" s="62">
        <f t="shared" si="9"/>
        <v>13</v>
      </c>
      <c r="L131" s="157">
        <f t="shared" si="10"/>
        <v>4816.6666666666661</v>
      </c>
      <c r="M131" s="62" t="s">
        <v>356</v>
      </c>
    </row>
    <row r="132" spans="1:13" ht="18" customHeight="1" x14ac:dyDescent="0.25">
      <c r="A132" s="59">
        <v>132</v>
      </c>
      <c r="B132" s="58">
        <v>45901</v>
      </c>
      <c r="C132" s="59">
        <v>47</v>
      </c>
      <c r="D132" s="59">
        <v>3</v>
      </c>
      <c r="E132" s="59" t="s">
        <v>174</v>
      </c>
      <c r="F132" s="59" t="s">
        <v>420</v>
      </c>
      <c r="G132" s="59" t="s">
        <v>421</v>
      </c>
      <c r="H132" s="59">
        <v>27</v>
      </c>
      <c r="I132" s="156">
        <f>18500/30</f>
        <v>616.66666666666663</v>
      </c>
      <c r="J132" s="59">
        <v>30</v>
      </c>
      <c r="K132" s="59">
        <f t="shared" si="9"/>
        <v>0</v>
      </c>
      <c r="L132" s="156">
        <f t="shared" si="10"/>
        <v>18500</v>
      </c>
      <c r="M132" s="59" t="s">
        <v>333</v>
      </c>
    </row>
    <row r="133" spans="1:13" ht="18" customHeight="1" x14ac:dyDescent="0.25">
      <c r="A133" s="62">
        <v>133</v>
      </c>
      <c r="B133" s="61">
        <v>45901</v>
      </c>
      <c r="C133" s="62">
        <v>6</v>
      </c>
      <c r="D133" s="62">
        <v>3</v>
      </c>
      <c r="E133" s="62" t="s">
        <v>85</v>
      </c>
      <c r="F133" s="62" t="s">
        <v>424</v>
      </c>
      <c r="G133" s="62" t="s">
        <v>86</v>
      </c>
      <c r="H133" s="62"/>
      <c r="I133" s="157">
        <v>0</v>
      </c>
      <c r="J133" s="62">
        <v>0</v>
      </c>
      <c r="K133" s="62">
        <f t="shared" si="9"/>
        <v>30</v>
      </c>
      <c r="L133" s="157">
        <f t="shared" si="10"/>
        <v>0</v>
      </c>
      <c r="M133" s="62" t="s">
        <v>412</v>
      </c>
    </row>
    <row r="134" spans="1:13" ht="18" customHeight="1" x14ac:dyDescent="0.25">
      <c r="A134" s="59">
        <v>134</v>
      </c>
      <c r="B134" s="58">
        <v>45931</v>
      </c>
      <c r="C134" s="59">
        <v>24</v>
      </c>
      <c r="D134" s="59">
        <v>3</v>
      </c>
      <c r="E134" s="59" t="s">
        <v>141</v>
      </c>
      <c r="F134" s="59" t="s">
        <v>415</v>
      </c>
      <c r="G134" s="59" t="s">
        <v>86</v>
      </c>
      <c r="H134" s="59">
        <v>26</v>
      </c>
      <c r="I134" s="156">
        <f>15500/30</f>
        <v>516.66666666666663</v>
      </c>
      <c r="J134" s="59">
        <v>30</v>
      </c>
      <c r="K134" s="59">
        <f t="shared" si="9"/>
        <v>0</v>
      </c>
      <c r="L134" s="156">
        <f t="shared" si="10"/>
        <v>15499.999999999998</v>
      </c>
      <c r="M134" s="59" t="s">
        <v>344</v>
      </c>
    </row>
    <row r="135" spans="1:13" ht="18" customHeight="1" x14ac:dyDescent="0.25">
      <c r="A135" s="62">
        <v>135</v>
      </c>
      <c r="B135" s="61">
        <v>45931</v>
      </c>
      <c r="C135" s="62">
        <v>17</v>
      </c>
      <c r="D135" s="62">
        <v>3</v>
      </c>
      <c r="E135" s="62" t="s">
        <v>119</v>
      </c>
      <c r="F135" s="62" t="s">
        <v>416</v>
      </c>
      <c r="G135" s="62" t="s">
        <v>122</v>
      </c>
      <c r="H135" s="62">
        <v>26</v>
      </c>
      <c r="I135" s="157">
        <f>12000/30</f>
        <v>400</v>
      </c>
      <c r="J135" s="62">
        <v>26</v>
      </c>
      <c r="K135" s="62">
        <f t="shared" si="9"/>
        <v>4</v>
      </c>
      <c r="L135" s="157">
        <f t="shared" si="10"/>
        <v>10400</v>
      </c>
      <c r="M135" s="62" t="s">
        <v>344</v>
      </c>
    </row>
    <row r="136" spans="1:13" ht="18" customHeight="1" x14ac:dyDescent="0.25">
      <c r="A136" s="59">
        <v>136</v>
      </c>
      <c r="B136" s="58">
        <v>45931</v>
      </c>
      <c r="C136" s="59">
        <v>20</v>
      </c>
      <c r="D136" s="59">
        <v>3</v>
      </c>
      <c r="E136" s="59" t="s">
        <v>128</v>
      </c>
      <c r="F136" s="59" t="s">
        <v>417</v>
      </c>
      <c r="G136" s="59" t="s">
        <v>122</v>
      </c>
      <c r="H136" s="59">
        <v>28</v>
      </c>
      <c r="I136" s="156">
        <f>12550/30</f>
        <v>418.33333333333331</v>
      </c>
      <c r="J136" s="59">
        <v>30</v>
      </c>
      <c r="K136" s="59">
        <f t="shared" si="9"/>
        <v>0</v>
      </c>
      <c r="L136" s="156">
        <f t="shared" si="10"/>
        <v>12550</v>
      </c>
      <c r="M136" s="59" t="s">
        <v>372</v>
      </c>
    </row>
    <row r="137" spans="1:13" ht="18" customHeight="1" x14ac:dyDescent="0.25">
      <c r="A137" s="62">
        <v>137</v>
      </c>
      <c r="B137" s="61">
        <v>45931</v>
      </c>
      <c r="C137" s="62">
        <v>43</v>
      </c>
      <c r="D137" s="62">
        <v>3</v>
      </c>
      <c r="E137" s="62" t="s">
        <v>169</v>
      </c>
      <c r="F137" s="62" t="s">
        <v>418</v>
      </c>
      <c r="G137" s="62" t="s">
        <v>93</v>
      </c>
      <c r="H137" s="62">
        <v>29</v>
      </c>
      <c r="I137" s="157">
        <f>7810/30</f>
        <v>260.33333333333331</v>
      </c>
      <c r="J137" s="62">
        <v>30</v>
      </c>
      <c r="K137" s="62">
        <f t="shared" si="9"/>
        <v>0</v>
      </c>
      <c r="L137" s="157">
        <f t="shared" si="10"/>
        <v>7809.9999999999991</v>
      </c>
      <c r="M137" s="62" t="s">
        <v>340</v>
      </c>
    </row>
    <row r="138" spans="1:13" ht="18" customHeight="1" x14ac:dyDescent="0.25">
      <c r="A138" s="59">
        <v>138</v>
      </c>
      <c r="B138" s="58">
        <v>45931</v>
      </c>
      <c r="C138" s="59">
        <v>42</v>
      </c>
      <c r="D138" s="59">
        <v>3</v>
      </c>
      <c r="E138" s="59" t="s">
        <v>167</v>
      </c>
      <c r="F138" s="59" t="s">
        <v>418</v>
      </c>
      <c r="G138" s="59" t="s">
        <v>93</v>
      </c>
      <c r="H138" s="59">
        <v>29</v>
      </c>
      <c r="I138" s="156">
        <f>7810/30</f>
        <v>260.33333333333331</v>
      </c>
      <c r="J138" s="59">
        <v>30</v>
      </c>
      <c r="K138" s="59">
        <f t="shared" si="9"/>
        <v>0</v>
      </c>
      <c r="L138" s="156">
        <f t="shared" si="10"/>
        <v>7809.9999999999991</v>
      </c>
      <c r="M138" s="59" t="s">
        <v>340</v>
      </c>
    </row>
    <row r="139" spans="1:13" ht="18" customHeight="1" x14ac:dyDescent="0.25">
      <c r="A139" s="62">
        <v>139</v>
      </c>
      <c r="B139" s="61">
        <v>45931</v>
      </c>
      <c r="C139" s="62">
        <v>46</v>
      </c>
      <c r="D139" s="62">
        <v>3</v>
      </c>
      <c r="E139" s="62" t="s">
        <v>173</v>
      </c>
      <c r="F139" s="62" t="s">
        <v>418</v>
      </c>
      <c r="G139" s="62" t="s">
        <v>93</v>
      </c>
      <c r="H139" s="62">
        <v>29</v>
      </c>
      <c r="I139" s="157">
        <f>7810/30</f>
        <v>260.33333333333331</v>
      </c>
      <c r="J139" s="62">
        <v>30</v>
      </c>
      <c r="K139" s="62">
        <f t="shared" si="9"/>
        <v>0</v>
      </c>
      <c r="L139" s="157">
        <f t="shared" si="10"/>
        <v>7809.9999999999991</v>
      </c>
      <c r="M139" s="62" t="s">
        <v>340</v>
      </c>
    </row>
    <row r="140" spans="1:13" ht="18" customHeight="1" x14ac:dyDescent="0.25">
      <c r="A140" s="59">
        <v>140</v>
      </c>
      <c r="B140" s="58">
        <v>45931</v>
      </c>
      <c r="C140" s="59">
        <v>34</v>
      </c>
      <c r="D140" s="59">
        <v>3</v>
      </c>
      <c r="E140" s="59" t="s">
        <v>155</v>
      </c>
      <c r="F140" s="59" t="s">
        <v>419</v>
      </c>
      <c r="G140" s="59" t="s">
        <v>182</v>
      </c>
      <c r="H140" s="59">
        <v>29</v>
      </c>
      <c r="I140" s="156">
        <f>9900/30</f>
        <v>330</v>
      </c>
      <c r="J140" s="59">
        <v>30</v>
      </c>
      <c r="K140" s="59">
        <f t="shared" si="9"/>
        <v>0</v>
      </c>
      <c r="L140" s="156">
        <f t="shared" si="10"/>
        <v>9900</v>
      </c>
      <c r="M140" s="59" t="s">
        <v>340</v>
      </c>
    </row>
    <row r="141" spans="1:13" ht="18" customHeight="1" x14ac:dyDescent="0.25">
      <c r="A141" s="62">
        <v>141</v>
      </c>
      <c r="B141" s="61">
        <v>45931</v>
      </c>
      <c r="C141" s="62">
        <v>45</v>
      </c>
      <c r="D141" s="62">
        <v>1</v>
      </c>
      <c r="E141" s="62" t="s">
        <v>172</v>
      </c>
      <c r="F141" s="62" t="s">
        <v>418</v>
      </c>
      <c r="G141" s="62" t="s">
        <v>93</v>
      </c>
      <c r="H141" s="62">
        <v>23</v>
      </c>
      <c r="I141" s="157">
        <f>7000/30</f>
        <v>233.33333333333334</v>
      </c>
      <c r="J141" s="62">
        <v>30</v>
      </c>
      <c r="K141" s="62">
        <f t="shared" si="9"/>
        <v>0</v>
      </c>
      <c r="L141" s="157">
        <f t="shared" si="10"/>
        <v>7000</v>
      </c>
      <c r="M141" s="62" t="s">
        <v>325</v>
      </c>
    </row>
    <row r="142" spans="1:13" ht="18" customHeight="1" x14ac:dyDescent="0.25">
      <c r="A142" s="59">
        <v>142</v>
      </c>
      <c r="B142" s="58">
        <v>45931</v>
      </c>
      <c r="C142" s="59">
        <v>44</v>
      </c>
      <c r="D142" s="59">
        <v>1</v>
      </c>
      <c r="E142" s="59" t="s">
        <v>170</v>
      </c>
      <c r="F142" s="59" t="s">
        <v>418</v>
      </c>
      <c r="G142" s="59" t="s">
        <v>93</v>
      </c>
      <c r="H142" s="59">
        <v>23</v>
      </c>
      <c r="I142" s="156">
        <f>7000/30</f>
        <v>233.33333333333334</v>
      </c>
      <c r="J142" s="59">
        <v>30</v>
      </c>
      <c r="K142" s="59">
        <f t="shared" si="9"/>
        <v>0</v>
      </c>
      <c r="L142" s="156">
        <f t="shared" si="10"/>
        <v>7000</v>
      </c>
      <c r="M142" s="59" t="s">
        <v>325</v>
      </c>
    </row>
    <row r="143" spans="1:13" ht="18" customHeight="1" x14ac:dyDescent="0.25">
      <c r="A143" s="62">
        <v>143</v>
      </c>
      <c r="B143" s="61">
        <v>45931</v>
      </c>
      <c r="C143" s="62">
        <v>40</v>
      </c>
      <c r="D143" s="62">
        <v>1</v>
      </c>
      <c r="E143" s="62" t="s">
        <v>165</v>
      </c>
      <c r="F143" s="62" t="s">
        <v>418</v>
      </c>
      <c r="G143" s="62" t="s">
        <v>159</v>
      </c>
      <c r="H143" s="62">
        <v>23</v>
      </c>
      <c r="I143" s="157">
        <f>7550/30</f>
        <v>251.66666666666666</v>
      </c>
      <c r="J143" s="62">
        <v>30</v>
      </c>
      <c r="K143" s="62">
        <f t="shared" si="9"/>
        <v>0</v>
      </c>
      <c r="L143" s="157">
        <f t="shared" si="10"/>
        <v>7550</v>
      </c>
      <c r="M143" s="62" t="s">
        <v>325</v>
      </c>
    </row>
    <row r="144" spans="1:13" ht="18" customHeight="1" x14ac:dyDescent="0.25">
      <c r="A144" s="59">
        <v>144</v>
      </c>
      <c r="B144" s="58">
        <v>45931</v>
      </c>
      <c r="C144" s="59">
        <v>41</v>
      </c>
      <c r="D144" s="59">
        <v>1</v>
      </c>
      <c r="E144" s="59" t="s">
        <v>166</v>
      </c>
      <c r="F144" s="59" t="s">
        <v>418</v>
      </c>
      <c r="G144" s="59" t="s">
        <v>159</v>
      </c>
      <c r="H144" s="59">
        <v>22</v>
      </c>
      <c r="I144" s="156">
        <f>8500/30</f>
        <v>283.33333333333331</v>
      </c>
      <c r="J144" s="59">
        <v>30</v>
      </c>
      <c r="K144" s="59">
        <f t="shared" si="9"/>
        <v>0</v>
      </c>
      <c r="L144" s="156">
        <f t="shared" si="10"/>
        <v>8500</v>
      </c>
      <c r="M144" s="59" t="s">
        <v>356</v>
      </c>
    </row>
    <row r="145" spans="1:13" ht="18" customHeight="1" x14ac:dyDescent="0.25">
      <c r="A145" s="62">
        <v>145</v>
      </c>
      <c r="B145" s="61">
        <v>45931</v>
      </c>
      <c r="C145" s="62">
        <v>39</v>
      </c>
      <c r="D145" s="62">
        <v>1</v>
      </c>
      <c r="E145" s="62" t="s">
        <v>162</v>
      </c>
      <c r="F145" s="62" t="s">
        <v>418</v>
      </c>
      <c r="G145" s="62" t="s">
        <v>159</v>
      </c>
      <c r="H145" s="62">
        <v>22</v>
      </c>
      <c r="I145" s="157">
        <f>8500/30</f>
        <v>283.33333333333331</v>
      </c>
      <c r="J145" s="62">
        <v>27</v>
      </c>
      <c r="K145" s="62">
        <f t="shared" si="9"/>
        <v>3</v>
      </c>
      <c r="L145" s="157">
        <f t="shared" si="10"/>
        <v>7649.9999999999991</v>
      </c>
      <c r="M145" s="62" t="s">
        <v>356</v>
      </c>
    </row>
    <row r="146" spans="1:13" ht="18" customHeight="1" x14ac:dyDescent="0.25">
      <c r="A146" s="59">
        <v>146</v>
      </c>
      <c r="B146" s="58">
        <v>45931</v>
      </c>
      <c r="C146" s="59">
        <v>47</v>
      </c>
      <c r="D146" s="59">
        <v>3</v>
      </c>
      <c r="E146" s="59" t="s">
        <v>174</v>
      </c>
      <c r="F146" s="59" t="s">
        <v>420</v>
      </c>
      <c r="G146" s="59" t="s">
        <v>421</v>
      </c>
      <c r="H146" s="59">
        <v>27</v>
      </c>
      <c r="I146" s="156">
        <f>18500/30</f>
        <v>616.66666666666663</v>
      </c>
      <c r="J146" s="59">
        <v>30</v>
      </c>
      <c r="K146" s="59">
        <f t="shared" si="9"/>
        <v>0</v>
      </c>
      <c r="L146" s="156">
        <f t="shared" si="10"/>
        <v>18500</v>
      </c>
      <c r="M146" s="59" t="s">
        <v>333</v>
      </c>
    </row>
    <row r="147" spans="1:13" ht="18" customHeight="1" x14ac:dyDescent="0.25">
      <c r="A147" s="62">
        <v>147</v>
      </c>
      <c r="B147" s="61">
        <v>45931</v>
      </c>
      <c r="C147" s="62">
        <v>6</v>
      </c>
      <c r="D147" s="62">
        <v>3</v>
      </c>
      <c r="E147" s="62" t="s">
        <v>85</v>
      </c>
      <c r="F147" s="62" t="s">
        <v>424</v>
      </c>
      <c r="G147" s="62" t="s">
        <v>86</v>
      </c>
      <c r="H147" s="62"/>
      <c r="I147" s="157">
        <v>0</v>
      </c>
      <c r="J147" s="62">
        <v>0</v>
      </c>
      <c r="K147" s="62">
        <f t="shared" si="9"/>
        <v>30</v>
      </c>
      <c r="L147" s="157">
        <f t="shared" si="10"/>
        <v>0</v>
      </c>
      <c r="M147" s="62" t="s">
        <v>412</v>
      </c>
    </row>
    <row r="148" spans="1:13" ht="18" customHeight="1" x14ac:dyDescent="0.25">
      <c r="A148" s="59">
        <v>148</v>
      </c>
      <c r="B148" s="58">
        <v>45962</v>
      </c>
      <c r="C148" s="59">
        <v>24</v>
      </c>
      <c r="D148" s="59">
        <v>3</v>
      </c>
      <c r="E148" s="59" t="s">
        <v>141</v>
      </c>
      <c r="F148" s="59" t="s">
        <v>415</v>
      </c>
      <c r="G148" s="59" t="s">
        <v>86</v>
      </c>
      <c r="H148" s="59">
        <v>26</v>
      </c>
      <c r="I148" s="156">
        <f>15500/30</f>
        <v>516.66666666666663</v>
      </c>
      <c r="J148" s="59">
        <v>30</v>
      </c>
      <c r="K148" s="59">
        <f t="shared" si="9"/>
        <v>0</v>
      </c>
      <c r="L148" s="156">
        <f t="shared" si="10"/>
        <v>15499.999999999998</v>
      </c>
      <c r="M148" s="59" t="s">
        <v>344</v>
      </c>
    </row>
    <row r="149" spans="1:13" ht="18" customHeight="1" x14ac:dyDescent="0.25">
      <c r="A149" s="62">
        <v>149</v>
      </c>
      <c r="B149" s="61">
        <v>45962</v>
      </c>
      <c r="C149" s="62">
        <v>17</v>
      </c>
      <c r="D149" s="62">
        <v>3</v>
      </c>
      <c r="E149" s="62" t="s">
        <v>119</v>
      </c>
      <c r="F149" s="62" t="s">
        <v>416</v>
      </c>
      <c r="G149" s="62" t="s">
        <v>122</v>
      </c>
      <c r="H149" s="62">
        <v>26</v>
      </c>
      <c r="I149" s="157">
        <f>12000/30</f>
        <v>400</v>
      </c>
      <c r="J149" s="62">
        <v>30</v>
      </c>
      <c r="K149" s="62">
        <f t="shared" si="9"/>
        <v>0</v>
      </c>
      <c r="L149" s="157">
        <f t="shared" si="10"/>
        <v>12000</v>
      </c>
      <c r="M149" s="62" t="s">
        <v>344</v>
      </c>
    </row>
    <row r="150" spans="1:13" ht="18" customHeight="1" x14ac:dyDescent="0.25">
      <c r="A150" s="59">
        <v>150</v>
      </c>
      <c r="B150" s="58">
        <v>45962</v>
      </c>
      <c r="C150" s="59">
        <v>20</v>
      </c>
      <c r="D150" s="59">
        <v>3</v>
      </c>
      <c r="E150" s="59" t="s">
        <v>128</v>
      </c>
      <c r="F150" s="59" t="s">
        <v>417</v>
      </c>
      <c r="G150" s="59" t="s">
        <v>122</v>
      </c>
      <c r="H150" s="59">
        <v>28</v>
      </c>
      <c r="I150" s="156">
        <f>12550/30</f>
        <v>418.33333333333331</v>
      </c>
      <c r="J150" s="59">
        <v>30</v>
      </c>
      <c r="K150" s="59">
        <f t="shared" si="9"/>
        <v>0</v>
      </c>
      <c r="L150" s="156">
        <f t="shared" si="10"/>
        <v>12550</v>
      </c>
      <c r="M150" s="59" t="s">
        <v>372</v>
      </c>
    </row>
    <row r="151" spans="1:13" ht="18" customHeight="1" x14ac:dyDescent="0.25">
      <c r="A151" s="62">
        <v>151</v>
      </c>
      <c r="B151" s="61">
        <v>45962</v>
      </c>
      <c r="C151" s="62">
        <v>43</v>
      </c>
      <c r="D151" s="62">
        <v>3</v>
      </c>
      <c r="E151" s="62" t="s">
        <v>169</v>
      </c>
      <c r="F151" s="62" t="s">
        <v>418</v>
      </c>
      <c r="G151" s="62" t="s">
        <v>93</v>
      </c>
      <c r="H151" s="62">
        <v>29</v>
      </c>
      <c r="I151" s="157">
        <f>7810/30</f>
        <v>260.33333333333331</v>
      </c>
      <c r="J151" s="62">
        <v>30</v>
      </c>
      <c r="K151" s="62">
        <f t="shared" si="9"/>
        <v>0</v>
      </c>
      <c r="L151" s="157">
        <f t="shared" si="10"/>
        <v>7809.9999999999991</v>
      </c>
      <c r="M151" s="62" t="s">
        <v>340</v>
      </c>
    </row>
    <row r="152" spans="1:13" ht="18" customHeight="1" x14ac:dyDescent="0.25">
      <c r="A152" s="59">
        <v>152</v>
      </c>
      <c r="B152" s="58">
        <v>45962</v>
      </c>
      <c r="C152" s="59">
        <v>42</v>
      </c>
      <c r="D152" s="59">
        <v>3</v>
      </c>
      <c r="E152" s="59" t="s">
        <v>167</v>
      </c>
      <c r="F152" s="59" t="s">
        <v>418</v>
      </c>
      <c r="G152" s="59" t="s">
        <v>93</v>
      </c>
      <c r="H152" s="59">
        <v>29</v>
      </c>
      <c r="I152" s="156">
        <f>7810/30</f>
        <v>260.33333333333331</v>
      </c>
      <c r="J152" s="59">
        <v>30</v>
      </c>
      <c r="K152" s="59">
        <f t="shared" si="9"/>
        <v>0</v>
      </c>
      <c r="L152" s="156">
        <f t="shared" si="10"/>
        <v>7809.9999999999991</v>
      </c>
      <c r="M152" s="59" t="s">
        <v>340</v>
      </c>
    </row>
    <row r="153" spans="1:13" ht="18" customHeight="1" x14ac:dyDescent="0.25">
      <c r="A153" s="62">
        <v>153</v>
      </c>
      <c r="B153" s="61">
        <v>45962</v>
      </c>
      <c r="C153" s="62">
        <v>46</v>
      </c>
      <c r="D153" s="62">
        <v>3</v>
      </c>
      <c r="E153" s="62" t="s">
        <v>173</v>
      </c>
      <c r="F153" s="62" t="s">
        <v>418</v>
      </c>
      <c r="G153" s="62" t="s">
        <v>93</v>
      </c>
      <c r="H153" s="62">
        <v>29</v>
      </c>
      <c r="I153" s="157">
        <f>7810/30</f>
        <v>260.33333333333331</v>
      </c>
      <c r="J153" s="62">
        <v>30</v>
      </c>
      <c r="K153" s="62">
        <f t="shared" si="9"/>
        <v>0</v>
      </c>
      <c r="L153" s="157">
        <f t="shared" si="10"/>
        <v>7809.9999999999991</v>
      </c>
      <c r="M153" s="62" t="s">
        <v>340</v>
      </c>
    </row>
    <row r="154" spans="1:13" ht="18" customHeight="1" x14ac:dyDescent="0.25">
      <c r="A154" s="59">
        <v>154</v>
      </c>
      <c r="B154" s="58">
        <v>45962</v>
      </c>
      <c r="C154" s="59">
        <v>34</v>
      </c>
      <c r="D154" s="59">
        <v>3</v>
      </c>
      <c r="E154" s="59" t="s">
        <v>155</v>
      </c>
      <c r="F154" s="59" t="s">
        <v>419</v>
      </c>
      <c r="G154" s="59" t="s">
        <v>182</v>
      </c>
      <c r="H154" s="59">
        <v>29</v>
      </c>
      <c r="I154" s="156">
        <f>9900/30</f>
        <v>330</v>
      </c>
      <c r="J154" s="59">
        <v>30</v>
      </c>
      <c r="K154" s="59">
        <f t="shared" si="9"/>
        <v>0</v>
      </c>
      <c r="L154" s="156">
        <f t="shared" si="10"/>
        <v>9900</v>
      </c>
      <c r="M154" s="59" t="s">
        <v>340</v>
      </c>
    </row>
    <row r="155" spans="1:13" ht="18" customHeight="1" x14ac:dyDescent="0.25">
      <c r="A155" s="62">
        <v>155</v>
      </c>
      <c r="B155" s="61">
        <v>45962</v>
      </c>
      <c r="C155" s="62">
        <v>45</v>
      </c>
      <c r="D155" s="62">
        <v>1</v>
      </c>
      <c r="E155" s="62" t="s">
        <v>172</v>
      </c>
      <c r="F155" s="62" t="s">
        <v>418</v>
      </c>
      <c r="G155" s="62" t="s">
        <v>93</v>
      </c>
      <c r="H155" s="62">
        <v>23</v>
      </c>
      <c r="I155" s="157">
        <f>7000/30</f>
        <v>233.33333333333334</v>
      </c>
      <c r="J155" s="62">
        <v>30</v>
      </c>
      <c r="K155" s="62">
        <f t="shared" si="9"/>
        <v>0</v>
      </c>
      <c r="L155" s="157">
        <f t="shared" si="10"/>
        <v>7000</v>
      </c>
      <c r="M155" s="62" t="s">
        <v>325</v>
      </c>
    </row>
    <row r="156" spans="1:13" ht="18" customHeight="1" x14ac:dyDescent="0.25">
      <c r="A156" s="59">
        <v>156</v>
      </c>
      <c r="B156" s="58">
        <v>45962</v>
      </c>
      <c r="C156" s="59">
        <v>44</v>
      </c>
      <c r="D156" s="59">
        <v>1</v>
      </c>
      <c r="E156" s="59" t="s">
        <v>170</v>
      </c>
      <c r="F156" s="59" t="s">
        <v>418</v>
      </c>
      <c r="G156" s="59" t="s">
        <v>93</v>
      </c>
      <c r="H156" s="59">
        <v>23</v>
      </c>
      <c r="I156" s="156">
        <f>7000/30</f>
        <v>233.33333333333334</v>
      </c>
      <c r="J156" s="59">
        <v>30</v>
      </c>
      <c r="K156" s="59">
        <f t="shared" ref="K156:K187" si="11">IF(J156="", 0, 30 - J156)</f>
        <v>0</v>
      </c>
      <c r="L156" s="156">
        <f t="shared" si="10"/>
        <v>7000</v>
      </c>
      <c r="M156" s="59" t="s">
        <v>325</v>
      </c>
    </row>
    <row r="157" spans="1:13" ht="18" customHeight="1" x14ac:dyDescent="0.25">
      <c r="A157" s="62">
        <v>157</v>
      </c>
      <c r="B157" s="61">
        <v>45962</v>
      </c>
      <c r="C157" s="62">
        <v>40</v>
      </c>
      <c r="D157" s="62">
        <v>1</v>
      </c>
      <c r="E157" s="62" t="s">
        <v>165</v>
      </c>
      <c r="F157" s="62" t="s">
        <v>418</v>
      </c>
      <c r="G157" s="62" t="s">
        <v>159</v>
      </c>
      <c r="H157" s="62">
        <v>23</v>
      </c>
      <c r="I157" s="157">
        <f>7550/30</f>
        <v>251.66666666666666</v>
      </c>
      <c r="J157" s="62">
        <v>30</v>
      </c>
      <c r="K157" s="62">
        <f t="shared" si="11"/>
        <v>0</v>
      </c>
      <c r="L157" s="157">
        <f t="shared" si="10"/>
        <v>7550</v>
      </c>
      <c r="M157" s="62" t="s">
        <v>325</v>
      </c>
    </row>
    <row r="158" spans="1:13" ht="18" customHeight="1" x14ac:dyDescent="0.25">
      <c r="A158" s="59">
        <v>158</v>
      </c>
      <c r="B158" s="58">
        <v>45962</v>
      </c>
      <c r="C158" s="59">
        <v>41</v>
      </c>
      <c r="D158" s="59">
        <v>1</v>
      </c>
      <c r="E158" s="59" t="s">
        <v>166</v>
      </c>
      <c r="F158" s="59" t="s">
        <v>418</v>
      </c>
      <c r="G158" s="59" t="s">
        <v>159</v>
      </c>
      <c r="H158" s="59">
        <v>31</v>
      </c>
      <c r="I158" s="156">
        <f>10050/30</f>
        <v>335</v>
      </c>
      <c r="J158" s="59">
        <v>30</v>
      </c>
      <c r="K158" s="59">
        <f t="shared" si="11"/>
        <v>0</v>
      </c>
      <c r="L158" s="156">
        <f t="shared" si="10"/>
        <v>10050</v>
      </c>
      <c r="M158" s="59" t="s">
        <v>356</v>
      </c>
    </row>
    <row r="159" spans="1:13" ht="18" customHeight="1" x14ac:dyDescent="0.25">
      <c r="A159" s="62">
        <v>159</v>
      </c>
      <c r="B159" s="61">
        <v>45962</v>
      </c>
      <c r="C159" s="62">
        <v>39</v>
      </c>
      <c r="D159" s="62">
        <v>1</v>
      </c>
      <c r="E159" s="62" t="s">
        <v>162</v>
      </c>
      <c r="F159" s="62" t="s">
        <v>418</v>
      </c>
      <c r="G159" s="62" t="s">
        <v>159</v>
      </c>
      <c r="H159" s="62">
        <v>31</v>
      </c>
      <c r="I159" s="157">
        <f>10050/30</f>
        <v>335</v>
      </c>
      <c r="J159" s="62">
        <v>23</v>
      </c>
      <c r="K159" s="62">
        <f t="shared" si="11"/>
        <v>7</v>
      </c>
      <c r="L159" s="157">
        <f t="shared" si="10"/>
        <v>7705</v>
      </c>
      <c r="M159" s="62" t="s">
        <v>356</v>
      </c>
    </row>
    <row r="160" spans="1:13" ht="18" customHeight="1" x14ac:dyDescent="0.25">
      <c r="A160" s="59">
        <v>160</v>
      </c>
      <c r="B160" s="58">
        <v>45962</v>
      </c>
      <c r="C160" s="59">
        <v>47</v>
      </c>
      <c r="D160" s="59">
        <v>3</v>
      </c>
      <c r="E160" s="59" t="s">
        <v>174</v>
      </c>
      <c r="F160" s="59" t="s">
        <v>420</v>
      </c>
      <c r="G160" s="59" t="s">
        <v>421</v>
      </c>
      <c r="H160" s="59">
        <v>27</v>
      </c>
      <c r="I160" s="156">
        <f>18500/30</f>
        <v>616.66666666666663</v>
      </c>
      <c r="J160" s="59">
        <v>30</v>
      </c>
      <c r="K160" s="59">
        <f t="shared" si="11"/>
        <v>0</v>
      </c>
      <c r="L160" s="156">
        <f t="shared" si="10"/>
        <v>18500</v>
      </c>
      <c r="M160" s="59" t="s">
        <v>333</v>
      </c>
    </row>
    <row r="161" spans="1:13" ht="18" customHeight="1" x14ac:dyDescent="0.25">
      <c r="A161" s="62">
        <v>161</v>
      </c>
      <c r="B161" s="61">
        <v>45962</v>
      </c>
      <c r="C161" s="62">
        <v>6</v>
      </c>
      <c r="D161" s="62">
        <v>1</v>
      </c>
      <c r="E161" s="62" t="s">
        <v>85</v>
      </c>
      <c r="F161" s="62" t="s">
        <v>424</v>
      </c>
      <c r="G161" s="62" t="s">
        <v>86</v>
      </c>
      <c r="H161" s="62">
        <v>30</v>
      </c>
      <c r="I161" s="157">
        <f>14000/30</f>
        <v>466.66666666666669</v>
      </c>
      <c r="J161" s="62">
        <v>29</v>
      </c>
      <c r="K161" s="62">
        <f t="shared" si="11"/>
        <v>1</v>
      </c>
      <c r="L161" s="157">
        <v>13500</v>
      </c>
      <c r="M161" s="62" t="s">
        <v>259</v>
      </c>
    </row>
    <row r="162" spans="1:13" ht="18" customHeight="1" x14ac:dyDescent="0.25">
      <c r="A162" s="59">
        <v>162</v>
      </c>
      <c r="B162" s="58">
        <v>45992</v>
      </c>
      <c r="C162" s="59">
        <v>24</v>
      </c>
      <c r="D162" s="59">
        <v>3</v>
      </c>
      <c r="E162" s="59" t="s">
        <v>141</v>
      </c>
      <c r="F162" s="59" t="s">
        <v>415</v>
      </c>
      <c r="G162" s="59" t="s">
        <v>86</v>
      </c>
      <c r="H162" s="59">
        <v>26</v>
      </c>
      <c r="I162" s="156">
        <f>15500/30</f>
        <v>516.66666666666663</v>
      </c>
      <c r="J162" s="59">
        <v>30</v>
      </c>
      <c r="K162" s="59">
        <f t="shared" si="11"/>
        <v>0</v>
      </c>
      <c r="L162" s="156">
        <f t="shared" ref="L162:L193" si="12">I162*J162</f>
        <v>15499.999999999998</v>
      </c>
      <c r="M162" s="59" t="s">
        <v>344</v>
      </c>
    </row>
    <row r="163" spans="1:13" ht="18" customHeight="1" x14ac:dyDescent="0.25">
      <c r="A163" s="62">
        <v>163</v>
      </c>
      <c r="B163" s="61">
        <v>45992</v>
      </c>
      <c r="C163" s="62">
        <v>17</v>
      </c>
      <c r="D163" s="62">
        <v>3</v>
      </c>
      <c r="E163" s="62" t="s">
        <v>119</v>
      </c>
      <c r="F163" s="62" t="s">
        <v>416</v>
      </c>
      <c r="G163" s="62" t="s">
        <v>122</v>
      </c>
      <c r="H163" s="62">
        <v>26</v>
      </c>
      <c r="I163" s="157">
        <f>12000/30</f>
        <v>400</v>
      </c>
      <c r="J163" s="62">
        <v>30</v>
      </c>
      <c r="K163" s="62">
        <f t="shared" si="11"/>
        <v>0</v>
      </c>
      <c r="L163" s="157">
        <f t="shared" si="12"/>
        <v>12000</v>
      </c>
      <c r="M163" s="62" t="s">
        <v>344</v>
      </c>
    </row>
    <row r="164" spans="1:13" ht="18" customHeight="1" x14ac:dyDescent="0.25">
      <c r="A164" s="59">
        <v>164</v>
      </c>
      <c r="B164" s="58">
        <v>45992</v>
      </c>
      <c r="C164" s="59">
        <v>20</v>
      </c>
      <c r="D164" s="59">
        <v>3</v>
      </c>
      <c r="E164" s="59" t="s">
        <v>128</v>
      </c>
      <c r="F164" s="59" t="s">
        <v>417</v>
      </c>
      <c r="G164" s="59" t="s">
        <v>122</v>
      </c>
      <c r="H164" s="59">
        <v>28</v>
      </c>
      <c r="I164" s="156">
        <f>12550/30</f>
        <v>418.33333333333331</v>
      </c>
      <c r="J164" s="59">
        <v>30</v>
      </c>
      <c r="K164" s="59">
        <f t="shared" si="11"/>
        <v>0</v>
      </c>
      <c r="L164" s="156">
        <f t="shared" si="12"/>
        <v>12550</v>
      </c>
      <c r="M164" s="59" t="s">
        <v>372</v>
      </c>
    </row>
    <row r="165" spans="1:13" ht="18" customHeight="1" x14ac:dyDescent="0.25">
      <c r="A165" s="62">
        <v>165</v>
      </c>
      <c r="B165" s="61">
        <v>45992</v>
      </c>
      <c r="C165" s="62">
        <v>43</v>
      </c>
      <c r="D165" s="62">
        <v>3</v>
      </c>
      <c r="E165" s="62" t="s">
        <v>169</v>
      </c>
      <c r="F165" s="62" t="s">
        <v>418</v>
      </c>
      <c r="G165" s="62" t="s">
        <v>93</v>
      </c>
      <c r="H165" s="62">
        <v>29</v>
      </c>
      <c r="I165" s="157">
        <f>7810/30</f>
        <v>260.33333333333331</v>
      </c>
      <c r="J165" s="62">
        <v>30</v>
      </c>
      <c r="K165" s="62">
        <f t="shared" si="11"/>
        <v>0</v>
      </c>
      <c r="L165" s="157">
        <f t="shared" si="12"/>
        <v>7809.9999999999991</v>
      </c>
      <c r="M165" s="62" t="s">
        <v>340</v>
      </c>
    </row>
    <row r="166" spans="1:13" ht="18" customHeight="1" x14ac:dyDescent="0.25">
      <c r="A166" s="59">
        <v>166</v>
      </c>
      <c r="B166" s="58">
        <v>45992</v>
      </c>
      <c r="C166" s="59">
        <v>42</v>
      </c>
      <c r="D166" s="59">
        <v>3</v>
      </c>
      <c r="E166" s="59" t="s">
        <v>167</v>
      </c>
      <c r="F166" s="59" t="s">
        <v>418</v>
      </c>
      <c r="G166" s="59" t="s">
        <v>93</v>
      </c>
      <c r="H166" s="59">
        <v>29</v>
      </c>
      <c r="I166" s="156">
        <f>7810/30</f>
        <v>260.33333333333331</v>
      </c>
      <c r="J166" s="59">
        <v>30</v>
      </c>
      <c r="K166" s="59">
        <f t="shared" si="11"/>
        <v>0</v>
      </c>
      <c r="L166" s="156">
        <f t="shared" si="12"/>
        <v>7809.9999999999991</v>
      </c>
      <c r="M166" s="59" t="s">
        <v>340</v>
      </c>
    </row>
    <row r="167" spans="1:13" ht="18" customHeight="1" x14ac:dyDescent="0.25">
      <c r="A167" s="62">
        <v>167</v>
      </c>
      <c r="B167" s="61">
        <v>45992</v>
      </c>
      <c r="C167" s="62">
        <v>46</v>
      </c>
      <c r="D167" s="62">
        <v>3</v>
      </c>
      <c r="E167" s="62" t="s">
        <v>173</v>
      </c>
      <c r="F167" s="62" t="s">
        <v>418</v>
      </c>
      <c r="G167" s="62" t="s">
        <v>93</v>
      </c>
      <c r="H167" s="62">
        <v>29</v>
      </c>
      <c r="I167" s="157">
        <f>7810/30</f>
        <v>260.33333333333331</v>
      </c>
      <c r="J167" s="62">
        <v>30</v>
      </c>
      <c r="K167" s="62">
        <f t="shared" si="11"/>
        <v>0</v>
      </c>
      <c r="L167" s="157">
        <f t="shared" si="12"/>
        <v>7809.9999999999991</v>
      </c>
      <c r="M167" s="62" t="s">
        <v>340</v>
      </c>
    </row>
    <row r="168" spans="1:13" ht="18" customHeight="1" x14ac:dyDescent="0.25">
      <c r="A168" s="59">
        <v>168</v>
      </c>
      <c r="B168" s="58">
        <v>45992</v>
      </c>
      <c r="C168" s="59">
        <v>34</v>
      </c>
      <c r="D168" s="59">
        <v>3</v>
      </c>
      <c r="E168" s="59" t="s">
        <v>155</v>
      </c>
      <c r="F168" s="59" t="s">
        <v>419</v>
      </c>
      <c r="G168" s="59" t="s">
        <v>182</v>
      </c>
      <c r="H168" s="59">
        <v>29</v>
      </c>
      <c r="I168" s="156">
        <f>9900/30</f>
        <v>330</v>
      </c>
      <c r="J168" s="59">
        <v>30</v>
      </c>
      <c r="K168" s="59">
        <f t="shared" si="11"/>
        <v>0</v>
      </c>
      <c r="L168" s="156">
        <f t="shared" si="12"/>
        <v>9900</v>
      </c>
      <c r="M168" s="59" t="s">
        <v>340</v>
      </c>
    </row>
    <row r="169" spans="1:13" ht="18" customHeight="1" x14ac:dyDescent="0.25">
      <c r="A169" s="62">
        <v>169</v>
      </c>
      <c r="B169" s="61">
        <v>45992</v>
      </c>
      <c r="C169" s="62">
        <v>45</v>
      </c>
      <c r="D169" s="62">
        <v>1</v>
      </c>
      <c r="E169" s="62" t="s">
        <v>172</v>
      </c>
      <c r="F169" s="62" t="s">
        <v>418</v>
      </c>
      <c r="G169" s="62" t="s">
        <v>93</v>
      </c>
      <c r="H169" s="62">
        <v>23</v>
      </c>
      <c r="I169" s="157">
        <f>7000/30</f>
        <v>233.33333333333334</v>
      </c>
      <c r="J169" s="62">
        <v>30</v>
      </c>
      <c r="K169" s="62">
        <f t="shared" si="11"/>
        <v>0</v>
      </c>
      <c r="L169" s="157">
        <f t="shared" si="12"/>
        <v>7000</v>
      </c>
      <c r="M169" s="62" t="s">
        <v>325</v>
      </c>
    </row>
    <row r="170" spans="1:13" ht="18" customHeight="1" x14ac:dyDescent="0.25">
      <c r="A170" s="59">
        <v>170</v>
      </c>
      <c r="B170" s="58">
        <v>45992</v>
      </c>
      <c r="C170" s="59">
        <v>44</v>
      </c>
      <c r="D170" s="59">
        <v>1</v>
      </c>
      <c r="E170" s="59" t="s">
        <v>170</v>
      </c>
      <c r="F170" s="59" t="s">
        <v>418</v>
      </c>
      <c r="G170" s="59" t="s">
        <v>93</v>
      </c>
      <c r="H170" s="59">
        <v>23</v>
      </c>
      <c r="I170" s="156">
        <f>7000/30</f>
        <v>233.33333333333334</v>
      </c>
      <c r="J170" s="59">
        <v>30</v>
      </c>
      <c r="K170" s="59">
        <f t="shared" si="11"/>
        <v>0</v>
      </c>
      <c r="L170" s="156">
        <f t="shared" si="12"/>
        <v>7000</v>
      </c>
      <c r="M170" s="59" t="s">
        <v>325</v>
      </c>
    </row>
    <row r="171" spans="1:13" ht="18" customHeight="1" x14ac:dyDescent="0.25">
      <c r="A171" s="62">
        <v>171</v>
      </c>
      <c r="B171" s="61">
        <v>45992</v>
      </c>
      <c r="C171" s="62">
        <v>40</v>
      </c>
      <c r="D171" s="62">
        <v>1</v>
      </c>
      <c r="E171" s="62" t="s">
        <v>165</v>
      </c>
      <c r="F171" s="62" t="s">
        <v>418</v>
      </c>
      <c r="G171" s="62" t="s">
        <v>159</v>
      </c>
      <c r="H171" s="62">
        <v>23</v>
      </c>
      <c r="I171" s="157">
        <f>7550/30</f>
        <v>251.66666666666666</v>
      </c>
      <c r="J171" s="62">
        <v>30</v>
      </c>
      <c r="K171" s="62">
        <f t="shared" si="11"/>
        <v>0</v>
      </c>
      <c r="L171" s="157">
        <f t="shared" si="12"/>
        <v>7550</v>
      </c>
      <c r="M171" s="62" t="s">
        <v>325</v>
      </c>
    </row>
    <row r="172" spans="1:13" ht="18" customHeight="1" x14ac:dyDescent="0.25">
      <c r="A172" s="59">
        <v>172</v>
      </c>
      <c r="B172" s="58">
        <v>45992</v>
      </c>
      <c r="C172" s="59">
        <v>41</v>
      </c>
      <c r="D172" s="59">
        <v>1</v>
      </c>
      <c r="E172" s="59" t="s">
        <v>166</v>
      </c>
      <c r="F172" s="59" t="s">
        <v>418</v>
      </c>
      <c r="G172" s="59" t="s">
        <v>159</v>
      </c>
      <c r="H172" s="59">
        <v>31</v>
      </c>
      <c r="I172" s="156">
        <f>10050/30</f>
        <v>335</v>
      </c>
      <c r="J172" s="59">
        <v>30</v>
      </c>
      <c r="K172" s="59">
        <f t="shared" si="11"/>
        <v>0</v>
      </c>
      <c r="L172" s="156">
        <f t="shared" si="12"/>
        <v>10050</v>
      </c>
      <c r="M172" s="59" t="s">
        <v>356</v>
      </c>
    </row>
    <row r="173" spans="1:13" ht="18" customHeight="1" x14ac:dyDescent="0.25">
      <c r="A173" s="62">
        <v>173</v>
      </c>
      <c r="B173" s="61">
        <v>45992</v>
      </c>
      <c r="C173" s="62">
        <v>39</v>
      </c>
      <c r="D173" s="62">
        <v>1</v>
      </c>
      <c r="E173" s="62" t="s">
        <v>162</v>
      </c>
      <c r="F173" s="62" t="s">
        <v>418</v>
      </c>
      <c r="G173" s="62" t="s">
        <v>159</v>
      </c>
      <c r="H173" s="62">
        <v>31</v>
      </c>
      <c r="I173" s="157">
        <f>10050/30</f>
        <v>335</v>
      </c>
      <c r="J173" s="62">
        <v>23</v>
      </c>
      <c r="K173" s="62">
        <f t="shared" si="11"/>
        <v>7</v>
      </c>
      <c r="L173" s="157">
        <f t="shared" si="12"/>
        <v>7705</v>
      </c>
      <c r="M173" s="62" t="s">
        <v>356</v>
      </c>
    </row>
    <row r="174" spans="1:13" ht="18" customHeight="1" x14ac:dyDescent="0.25">
      <c r="A174" s="59">
        <v>174</v>
      </c>
      <c r="B174" s="58">
        <v>45992</v>
      </c>
      <c r="C174" s="59">
        <v>47</v>
      </c>
      <c r="D174" s="59">
        <v>3</v>
      </c>
      <c r="E174" s="59" t="s">
        <v>174</v>
      </c>
      <c r="F174" s="59" t="s">
        <v>420</v>
      </c>
      <c r="G174" s="59" t="s">
        <v>421</v>
      </c>
      <c r="H174" s="59">
        <v>27</v>
      </c>
      <c r="I174" s="156">
        <f>18500/30</f>
        <v>616.66666666666663</v>
      </c>
      <c r="J174" s="59">
        <v>30</v>
      </c>
      <c r="K174" s="59">
        <f t="shared" si="11"/>
        <v>0</v>
      </c>
      <c r="L174" s="156">
        <f t="shared" si="12"/>
        <v>18500</v>
      </c>
      <c r="M174" s="59" t="s">
        <v>333</v>
      </c>
    </row>
    <row r="175" spans="1:13" ht="18" customHeight="1" x14ac:dyDescent="0.25">
      <c r="A175" s="62">
        <v>175</v>
      </c>
      <c r="B175" s="61">
        <v>45992</v>
      </c>
      <c r="C175" s="62">
        <v>6</v>
      </c>
      <c r="D175" s="62">
        <v>3</v>
      </c>
      <c r="E175" s="62" t="s">
        <v>85</v>
      </c>
      <c r="F175" s="62" t="s">
        <v>424</v>
      </c>
      <c r="G175" s="62" t="s">
        <v>86</v>
      </c>
      <c r="H175" s="62"/>
      <c r="I175" s="157">
        <f>15500/30</f>
        <v>516.66666666666663</v>
      </c>
      <c r="J175" s="62">
        <v>0</v>
      </c>
      <c r="K175" s="62">
        <f t="shared" si="11"/>
        <v>30</v>
      </c>
      <c r="L175" s="157">
        <f t="shared" si="12"/>
        <v>0</v>
      </c>
      <c r="M175" s="62" t="s">
        <v>412</v>
      </c>
    </row>
    <row r="176" spans="1:13" ht="18" customHeight="1" x14ac:dyDescent="0.25">
      <c r="A176" s="59">
        <v>176</v>
      </c>
      <c r="B176" s="58">
        <v>46023</v>
      </c>
      <c r="C176" s="59">
        <v>24</v>
      </c>
      <c r="D176" s="59">
        <v>3</v>
      </c>
      <c r="E176" s="59" t="s">
        <v>141</v>
      </c>
      <c r="F176" s="59" t="s">
        <v>415</v>
      </c>
      <c r="G176" s="59" t="s">
        <v>86</v>
      </c>
      <c r="H176" s="59">
        <v>26</v>
      </c>
      <c r="I176" s="156">
        <f>15500/30</f>
        <v>516.66666666666663</v>
      </c>
      <c r="J176" s="59">
        <v>24</v>
      </c>
      <c r="K176" s="59">
        <f t="shared" si="11"/>
        <v>6</v>
      </c>
      <c r="L176" s="156">
        <f t="shared" si="12"/>
        <v>12400</v>
      </c>
      <c r="M176" s="59" t="s">
        <v>344</v>
      </c>
    </row>
    <row r="177" spans="1:13" ht="18" customHeight="1" x14ac:dyDescent="0.25">
      <c r="A177" s="62">
        <v>177</v>
      </c>
      <c r="B177" s="61">
        <v>46023</v>
      </c>
      <c r="C177" s="62">
        <v>17</v>
      </c>
      <c r="D177" s="62">
        <v>3</v>
      </c>
      <c r="E177" s="62" t="s">
        <v>119</v>
      </c>
      <c r="F177" s="62" t="s">
        <v>416</v>
      </c>
      <c r="G177" s="62" t="s">
        <v>122</v>
      </c>
      <c r="H177" s="62">
        <v>26</v>
      </c>
      <c r="I177" s="157">
        <f>12000/30</f>
        <v>400</v>
      </c>
      <c r="J177" s="62">
        <v>30</v>
      </c>
      <c r="K177" s="62">
        <f t="shared" si="11"/>
        <v>0</v>
      </c>
      <c r="L177" s="157">
        <f t="shared" si="12"/>
        <v>12000</v>
      </c>
      <c r="M177" s="62" t="s">
        <v>344</v>
      </c>
    </row>
    <row r="178" spans="1:13" ht="18" customHeight="1" x14ac:dyDescent="0.25">
      <c r="A178" s="59">
        <v>178</v>
      </c>
      <c r="B178" s="58">
        <v>46023</v>
      </c>
      <c r="C178" s="59">
        <v>20</v>
      </c>
      <c r="D178" s="59">
        <v>3</v>
      </c>
      <c r="E178" s="59" t="s">
        <v>128</v>
      </c>
      <c r="F178" s="59" t="s">
        <v>417</v>
      </c>
      <c r="G178" s="59" t="s">
        <v>122</v>
      </c>
      <c r="H178" s="59">
        <v>28</v>
      </c>
      <c r="I178" s="156">
        <f>12550/30</f>
        <v>418.33333333333331</v>
      </c>
      <c r="J178" s="59">
        <v>30</v>
      </c>
      <c r="K178" s="59">
        <f t="shared" si="11"/>
        <v>0</v>
      </c>
      <c r="L178" s="156">
        <f t="shared" si="12"/>
        <v>12550</v>
      </c>
      <c r="M178" s="59" t="s">
        <v>372</v>
      </c>
    </row>
    <row r="179" spans="1:13" ht="18" customHeight="1" x14ac:dyDescent="0.25">
      <c r="A179" s="62">
        <v>179</v>
      </c>
      <c r="B179" s="61">
        <v>46023</v>
      </c>
      <c r="C179" s="62">
        <v>43</v>
      </c>
      <c r="D179" s="62">
        <v>3</v>
      </c>
      <c r="E179" s="62" t="s">
        <v>169</v>
      </c>
      <c r="F179" s="62" t="s">
        <v>418</v>
      </c>
      <c r="G179" s="62" t="s">
        <v>93</v>
      </c>
      <c r="H179" s="62">
        <v>29</v>
      </c>
      <c r="I179" s="157">
        <f>7810/30</f>
        <v>260.33333333333331</v>
      </c>
      <c r="J179" s="62">
        <v>30</v>
      </c>
      <c r="K179" s="62">
        <f t="shared" si="11"/>
        <v>0</v>
      </c>
      <c r="L179" s="157">
        <f t="shared" si="12"/>
        <v>7809.9999999999991</v>
      </c>
      <c r="M179" s="62" t="s">
        <v>340</v>
      </c>
    </row>
    <row r="180" spans="1:13" ht="18" customHeight="1" x14ac:dyDescent="0.25">
      <c r="A180" s="59">
        <v>180</v>
      </c>
      <c r="B180" s="58">
        <v>46023</v>
      </c>
      <c r="C180" s="59">
        <v>42</v>
      </c>
      <c r="D180" s="59">
        <v>3</v>
      </c>
      <c r="E180" s="59" t="s">
        <v>167</v>
      </c>
      <c r="F180" s="59" t="s">
        <v>418</v>
      </c>
      <c r="G180" s="59" t="s">
        <v>93</v>
      </c>
      <c r="H180" s="59">
        <v>29</v>
      </c>
      <c r="I180" s="156">
        <f>7810/30</f>
        <v>260.33333333333331</v>
      </c>
      <c r="J180" s="59">
        <v>30</v>
      </c>
      <c r="K180" s="59">
        <f t="shared" si="11"/>
        <v>0</v>
      </c>
      <c r="L180" s="156">
        <f t="shared" si="12"/>
        <v>7809.9999999999991</v>
      </c>
      <c r="M180" s="59" t="s">
        <v>340</v>
      </c>
    </row>
    <row r="181" spans="1:13" ht="18" customHeight="1" x14ac:dyDescent="0.25">
      <c r="A181" s="62">
        <v>181</v>
      </c>
      <c r="B181" s="61">
        <v>46023</v>
      </c>
      <c r="C181" s="62">
        <v>46</v>
      </c>
      <c r="D181" s="62">
        <v>3</v>
      </c>
      <c r="E181" s="62" t="s">
        <v>173</v>
      </c>
      <c r="F181" s="62" t="s">
        <v>418</v>
      </c>
      <c r="G181" s="62" t="s">
        <v>93</v>
      </c>
      <c r="H181" s="62">
        <v>29</v>
      </c>
      <c r="I181" s="157">
        <f>7810/30</f>
        <v>260.33333333333331</v>
      </c>
      <c r="J181" s="62">
        <v>30</v>
      </c>
      <c r="K181" s="62">
        <f t="shared" si="11"/>
        <v>0</v>
      </c>
      <c r="L181" s="157">
        <f t="shared" si="12"/>
        <v>7809.9999999999991</v>
      </c>
      <c r="M181" s="62" t="s">
        <v>340</v>
      </c>
    </row>
    <row r="182" spans="1:13" ht="18" customHeight="1" x14ac:dyDescent="0.25">
      <c r="A182" s="59">
        <v>182</v>
      </c>
      <c r="B182" s="58">
        <v>46023</v>
      </c>
      <c r="C182" s="59">
        <v>34</v>
      </c>
      <c r="D182" s="59">
        <v>3</v>
      </c>
      <c r="E182" s="59" t="s">
        <v>155</v>
      </c>
      <c r="F182" s="59" t="s">
        <v>419</v>
      </c>
      <c r="G182" s="59" t="s">
        <v>182</v>
      </c>
      <c r="H182" s="59">
        <v>29</v>
      </c>
      <c r="I182" s="156">
        <f>9900/30</f>
        <v>330</v>
      </c>
      <c r="J182" s="59">
        <v>30</v>
      </c>
      <c r="K182" s="59">
        <f t="shared" si="11"/>
        <v>0</v>
      </c>
      <c r="L182" s="156">
        <f t="shared" si="12"/>
        <v>9900</v>
      </c>
      <c r="M182" s="59" t="s">
        <v>340</v>
      </c>
    </row>
    <row r="183" spans="1:13" ht="18" customHeight="1" x14ac:dyDescent="0.25">
      <c r="A183" s="62">
        <v>183</v>
      </c>
      <c r="B183" s="61">
        <v>46023</v>
      </c>
      <c r="C183" s="62">
        <v>45</v>
      </c>
      <c r="D183" s="62">
        <v>1</v>
      </c>
      <c r="E183" s="62" t="s">
        <v>172</v>
      </c>
      <c r="F183" s="62" t="s">
        <v>418</v>
      </c>
      <c r="G183" s="62" t="s">
        <v>93</v>
      </c>
      <c r="H183" s="62">
        <v>23</v>
      </c>
      <c r="I183" s="157">
        <f>7000/30</f>
        <v>233.33333333333334</v>
      </c>
      <c r="J183" s="62">
        <v>30</v>
      </c>
      <c r="K183" s="62">
        <f t="shared" si="11"/>
        <v>0</v>
      </c>
      <c r="L183" s="157">
        <f t="shared" si="12"/>
        <v>7000</v>
      </c>
      <c r="M183" s="62" t="s">
        <v>325</v>
      </c>
    </row>
    <row r="184" spans="1:13" ht="18" customHeight="1" x14ac:dyDescent="0.25">
      <c r="A184" s="59">
        <v>184</v>
      </c>
      <c r="B184" s="58">
        <v>46023</v>
      </c>
      <c r="C184" s="59">
        <v>44</v>
      </c>
      <c r="D184" s="59">
        <v>1</v>
      </c>
      <c r="E184" s="59" t="s">
        <v>170</v>
      </c>
      <c r="F184" s="59" t="s">
        <v>418</v>
      </c>
      <c r="G184" s="59" t="s">
        <v>93</v>
      </c>
      <c r="H184" s="59">
        <v>23</v>
      </c>
      <c r="I184" s="156">
        <f>7000/30</f>
        <v>233.33333333333334</v>
      </c>
      <c r="J184" s="59">
        <v>30</v>
      </c>
      <c r="K184" s="59">
        <f t="shared" si="11"/>
        <v>0</v>
      </c>
      <c r="L184" s="156">
        <f t="shared" si="12"/>
        <v>7000</v>
      </c>
      <c r="M184" s="59" t="s">
        <v>325</v>
      </c>
    </row>
    <row r="185" spans="1:13" ht="18" customHeight="1" x14ac:dyDescent="0.25">
      <c r="A185" s="62">
        <v>185</v>
      </c>
      <c r="B185" s="61">
        <v>46023</v>
      </c>
      <c r="C185" s="62">
        <v>40</v>
      </c>
      <c r="D185" s="62">
        <v>1</v>
      </c>
      <c r="E185" s="62" t="s">
        <v>165</v>
      </c>
      <c r="F185" s="62" t="s">
        <v>418</v>
      </c>
      <c r="G185" s="62" t="s">
        <v>159</v>
      </c>
      <c r="H185" s="62">
        <v>23</v>
      </c>
      <c r="I185" s="157">
        <f>7550/30</f>
        <v>251.66666666666666</v>
      </c>
      <c r="J185" s="62">
        <v>16</v>
      </c>
      <c r="K185" s="62">
        <f t="shared" si="11"/>
        <v>14</v>
      </c>
      <c r="L185" s="157">
        <f t="shared" si="12"/>
        <v>4026.6666666666665</v>
      </c>
      <c r="M185" s="62" t="s">
        <v>325</v>
      </c>
    </row>
    <row r="186" spans="1:13" ht="18" customHeight="1" x14ac:dyDescent="0.25">
      <c r="A186" s="59">
        <v>186</v>
      </c>
      <c r="B186" s="58">
        <v>46023</v>
      </c>
      <c r="C186" s="59">
        <v>41</v>
      </c>
      <c r="D186" s="59">
        <v>1</v>
      </c>
      <c r="E186" s="59" t="s">
        <v>166</v>
      </c>
      <c r="F186" s="59" t="s">
        <v>418</v>
      </c>
      <c r="G186" s="59" t="s">
        <v>159</v>
      </c>
      <c r="H186" s="59">
        <v>31</v>
      </c>
      <c r="I186" s="156">
        <f>10050/30</f>
        <v>335</v>
      </c>
      <c r="J186" s="59">
        <v>30</v>
      </c>
      <c r="K186" s="59">
        <f t="shared" si="11"/>
        <v>0</v>
      </c>
      <c r="L186" s="156">
        <f t="shared" si="12"/>
        <v>10050</v>
      </c>
      <c r="M186" s="59" t="s">
        <v>356</v>
      </c>
    </row>
    <row r="187" spans="1:13" ht="18" customHeight="1" x14ac:dyDescent="0.25">
      <c r="A187" s="62">
        <v>187</v>
      </c>
      <c r="B187" s="61">
        <v>46023</v>
      </c>
      <c r="C187" s="62">
        <v>39</v>
      </c>
      <c r="D187" s="62">
        <v>1</v>
      </c>
      <c r="E187" s="62" t="s">
        <v>162</v>
      </c>
      <c r="F187" s="62" t="s">
        <v>418</v>
      </c>
      <c r="G187" s="62" t="s">
        <v>159</v>
      </c>
      <c r="H187" s="62">
        <v>31</v>
      </c>
      <c r="I187" s="157">
        <f>10050/30</f>
        <v>335</v>
      </c>
      <c r="J187" s="62">
        <v>15</v>
      </c>
      <c r="K187" s="62">
        <f t="shared" si="11"/>
        <v>15</v>
      </c>
      <c r="L187" s="157">
        <f t="shared" si="12"/>
        <v>5025</v>
      </c>
      <c r="M187" s="62" t="s">
        <v>356</v>
      </c>
    </row>
    <row r="188" spans="1:13" ht="18" customHeight="1" x14ac:dyDescent="0.25">
      <c r="A188" s="59">
        <v>188</v>
      </c>
      <c r="B188" s="58">
        <v>46023</v>
      </c>
      <c r="C188" s="59">
        <v>47</v>
      </c>
      <c r="D188" s="59">
        <v>3</v>
      </c>
      <c r="E188" s="59" t="s">
        <v>174</v>
      </c>
      <c r="F188" s="59" t="s">
        <v>420</v>
      </c>
      <c r="G188" s="59" t="s">
        <v>421</v>
      </c>
      <c r="H188" s="59">
        <v>27</v>
      </c>
      <c r="I188" s="156">
        <f>18500/30</f>
        <v>616.66666666666663</v>
      </c>
      <c r="J188" s="59">
        <v>30</v>
      </c>
      <c r="K188" s="59">
        <f t="shared" ref="K188:K189" si="13">IF(J188="", 0, 30 - J188)</f>
        <v>0</v>
      </c>
      <c r="L188" s="156">
        <f t="shared" si="12"/>
        <v>18500</v>
      </c>
      <c r="M188" s="59" t="s">
        <v>333</v>
      </c>
    </row>
    <row r="189" spans="1:13" ht="18" customHeight="1" x14ac:dyDescent="0.25">
      <c r="A189" s="62">
        <v>189</v>
      </c>
      <c r="B189" s="61">
        <v>46023</v>
      </c>
      <c r="C189" s="62">
        <v>6</v>
      </c>
      <c r="D189" s="62">
        <v>3</v>
      </c>
      <c r="E189" s="62" t="s">
        <v>85</v>
      </c>
      <c r="F189" s="62" t="s">
        <v>424</v>
      </c>
      <c r="G189" s="62" t="s">
        <v>86</v>
      </c>
      <c r="H189" s="62">
        <v>26</v>
      </c>
      <c r="I189" s="157">
        <f>15500/30</f>
        <v>516.66666666666663</v>
      </c>
      <c r="J189" s="62">
        <v>6</v>
      </c>
      <c r="K189" s="62">
        <f t="shared" si="13"/>
        <v>24</v>
      </c>
      <c r="L189" s="157">
        <f t="shared" si="12"/>
        <v>3100</v>
      </c>
      <c r="M189" s="62" t="s">
        <v>344</v>
      </c>
    </row>
    <row r="190" spans="1:13" ht="18" customHeight="1" x14ac:dyDescent="0.25">
      <c r="A190" s="59">
        <v>190</v>
      </c>
      <c r="B190" s="58">
        <v>46054</v>
      </c>
      <c r="C190" s="59">
        <v>24</v>
      </c>
      <c r="D190" s="59">
        <v>3</v>
      </c>
      <c r="E190" s="59" t="s">
        <v>141</v>
      </c>
      <c r="F190" s="59" t="s">
        <v>415</v>
      </c>
      <c r="G190" s="59" t="s">
        <v>86</v>
      </c>
      <c r="H190" s="59">
        <v>26</v>
      </c>
      <c r="I190" s="156">
        <f>15500/30</f>
        <v>516.66666666666663</v>
      </c>
      <c r="J190" s="59">
        <v>20</v>
      </c>
      <c r="K190" s="59">
        <v>10</v>
      </c>
      <c r="L190" s="156">
        <f t="shared" si="12"/>
        <v>10333.333333333332</v>
      </c>
      <c r="M190" s="59" t="s">
        <v>344</v>
      </c>
    </row>
    <row r="191" spans="1:13" ht="18" customHeight="1" x14ac:dyDescent="0.25">
      <c r="A191" s="62">
        <v>191</v>
      </c>
      <c r="B191" s="61">
        <v>46054</v>
      </c>
      <c r="C191" s="62">
        <v>17</v>
      </c>
      <c r="D191" s="62">
        <v>3</v>
      </c>
      <c r="E191" s="62" t="s">
        <v>119</v>
      </c>
      <c r="F191" s="62" t="s">
        <v>416</v>
      </c>
      <c r="G191" s="62" t="s">
        <v>122</v>
      </c>
      <c r="H191" s="62">
        <v>26</v>
      </c>
      <c r="I191" s="157">
        <f>12000/30</f>
        <v>400</v>
      </c>
      <c r="J191" s="62">
        <v>30</v>
      </c>
      <c r="K191" s="62">
        <f t="shared" ref="K191:K202" si="14">IF(J191="", 0, 30 - J191)</f>
        <v>0</v>
      </c>
      <c r="L191" s="157">
        <f t="shared" si="12"/>
        <v>12000</v>
      </c>
      <c r="M191" s="62" t="s">
        <v>427</v>
      </c>
    </row>
    <row r="192" spans="1:13" ht="18" customHeight="1" x14ac:dyDescent="0.25">
      <c r="A192" s="59">
        <v>192</v>
      </c>
      <c r="B192" s="58">
        <v>46054</v>
      </c>
      <c r="C192" s="59">
        <v>20</v>
      </c>
      <c r="D192" s="59">
        <v>3</v>
      </c>
      <c r="E192" s="59" t="s">
        <v>128</v>
      </c>
      <c r="F192" s="59" t="s">
        <v>417</v>
      </c>
      <c r="G192" s="59" t="s">
        <v>122</v>
      </c>
      <c r="H192" s="59">
        <v>28</v>
      </c>
      <c r="I192" s="156">
        <f>12550/30</f>
        <v>418.33333333333331</v>
      </c>
      <c r="J192" s="59">
        <v>30</v>
      </c>
      <c r="K192" s="59">
        <f t="shared" si="14"/>
        <v>0</v>
      </c>
      <c r="L192" s="156">
        <f t="shared" si="12"/>
        <v>12550</v>
      </c>
      <c r="M192" s="59" t="s">
        <v>372</v>
      </c>
    </row>
    <row r="193" spans="1:13" ht="18" customHeight="1" x14ac:dyDescent="0.25">
      <c r="A193" s="62">
        <v>193</v>
      </c>
      <c r="B193" s="61">
        <v>46054</v>
      </c>
      <c r="C193" s="62">
        <v>43</v>
      </c>
      <c r="D193" s="62">
        <v>3</v>
      </c>
      <c r="E193" s="62" t="s">
        <v>169</v>
      </c>
      <c r="F193" s="62" t="s">
        <v>418</v>
      </c>
      <c r="G193" s="62" t="s">
        <v>93</v>
      </c>
      <c r="H193" s="62">
        <v>29</v>
      </c>
      <c r="I193" s="157">
        <f>7810/30</f>
        <v>260.33333333333331</v>
      </c>
      <c r="J193" s="62">
        <v>30</v>
      </c>
      <c r="K193" s="62">
        <f t="shared" si="14"/>
        <v>0</v>
      </c>
      <c r="L193" s="157">
        <f t="shared" si="12"/>
        <v>7809.9999999999991</v>
      </c>
      <c r="M193" s="62" t="s">
        <v>340</v>
      </c>
    </row>
    <row r="194" spans="1:13" ht="18" customHeight="1" x14ac:dyDescent="0.25">
      <c r="A194" s="59">
        <v>194</v>
      </c>
      <c r="B194" s="58">
        <v>46054</v>
      </c>
      <c r="C194" s="59">
        <v>42</v>
      </c>
      <c r="D194" s="59">
        <v>3</v>
      </c>
      <c r="E194" s="59" t="s">
        <v>167</v>
      </c>
      <c r="F194" s="59" t="s">
        <v>418</v>
      </c>
      <c r="G194" s="59" t="s">
        <v>93</v>
      </c>
      <c r="H194" s="59">
        <v>29</v>
      </c>
      <c r="I194" s="156">
        <f>7810/30</f>
        <v>260.33333333333331</v>
      </c>
      <c r="J194" s="59">
        <v>30</v>
      </c>
      <c r="K194" s="59">
        <f t="shared" si="14"/>
        <v>0</v>
      </c>
      <c r="L194" s="156">
        <f t="shared" ref="L194:L225" si="15">I194*J194</f>
        <v>7809.9999999999991</v>
      </c>
      <c r="M194" s="59" t="s">
        <v>340</v>
      </c>
    </row>
    <row r="195" spans="1:13" ht="18" customHeight="1" x14ac:dyDescent="0.25">
      <c r="A195" s="62">
        <v>195</v>
      </c>
      <c r="B195" s="61">
        <v>46054</v>
      </c>
      <c r="C195" s="62">
        <v>46</v>
      </c>
      <c r="D195" s="62">
        <v>3</v>
      </c>
      <c r="E195" s="62" t="s">
        <v>173</v>
      </c>
      <c r="F195" s="62" t="s">
        <v>418</v>
      </c>
      <c r="G195" s="62" t="s">
        <v>93</v>
      </c>
      <c r="H195" s="62">
        <v>29</v>
      </c>
      <c r="I195" s="157">
        <f>7810/30</f>
        <v>260.33333333333331</v>
      </c>
      <c r="J195" s="62">
        <v>30</v>
      </c>
      <c r="K195" s="62">
        <f t="shared" si="14"/>
        <v>0</v>
      </c>
      <c r="L195" s="157">
        <f t="shared" si="15"/>
        <v>7809.9999999999991</v>
      </c>
      <c r="M195" s="62" t="s">
        <v>340</v>
      </c>
    </row>
    <row r="196" spans="1:13" ht="18" customHeight="1" x14ac:dyDescent="0.25">
      <c r="A196" s="59">
        <v>196</v>
      </c>
      <c r="B196" s="58">
        <v>46054</v>
      </c>
      <c r="C196" s="59">
        <v>34</v>
      </c>
      <c r="D196" s="59">
        <v>3</v>
      </c>
      <c r="E196" s="59" t="s">
        <v>155</v>
      </c>
      <c r="F196" s="59" t="s">
        <v>419</v>
      </c>
      <c r="G196" s="59" t="s">
        <v>182</v>
      </c>
      <c r="H196" s="59">
        <v>29</v>
      </c>
      <c r="I196" s="156">
        <f>9900/30</f>
        <v>330</v>
      </c>
      <c r="J196" s="59">
        <v>30</v>
      </c>
      <c r="K196" s="59">
        <f t="shared" si="14"/>
        <v>0</v>
      </c>
      <c r="L196" s="156">
        <f t="shared" si="15"/>
        <v>9900</v>
      </c>
      <c r="M196" s="59" t="s">
        <v>340</v>
      </c>
    </row>
    <row r="197" spans="1:13" ht="18" customHeight="1" x14ac:dyDescent="0.25">
      <c r="A197" s="62">
        <v>197</v>
      </c>
      <c r="B197" s="61">
        <v>46054</v>
      </c>
      <c r="C197" s="62">
        <v>45</v>
      </c>
      <c r="D197" s="62">
        <v>1</v>
      </c>
      <c r="E197" s="62" t="s">
        <v>172</v>
      </c>
      <c r="F197" s="62" t="s">
        <v>418</v>
      </c>
      <c r="G197" s="62" t="s">
        <v>93</v>
      </c>
      <c r="H197" s="62">
        <v>23</v>
      </c>
      <c r="I197" s="157">
        <f>7000/30</f>
        <v>233.33333333333334</v>
      </c>
      <c r="J197" s="62">
        <v>30</v>
      </c>
      <c r="K197" s="62">
        <f t="shared" si="14"/>
        <v>0</v>
      </c>
      <c r="L197" s="157">
        <f t="shared" si="15"/>
        <v>7000</v>
      </c>
      <c r="M197" s="62" t="s">
        <v>325</v>
      </c>
    </row>
    <row r="198" spans="1:13" ht="18" customHeight="1" x14ac:dyDescent="0.25">
      <c r="A198" s="59">
        <v>198</v>
      </c>
      <c r="B198" s="58">
        <v>46054</v>
      </c>
      <c r="C198" s="59">
        <v>44</v>
      </c>
      <c r="D198" s="59">
        <v>1</v>
      </c>
      <c r="E198" s="59" t="s">
        <v>170</v>
      </c>
      <c r="F198" s="59" t="s">
        <v>418</v>
      </c>
      <c r="G198" s="59" t="s">
        <v>93</v>
      </c>
      <c r="H198" s="59">
        <v>23</v>
      </c>
      <c r="I198" s="156">
        <f>7000/30</f>
        <v>233.33333333333334</v>
      </c>
      <c r="J198" s="59">
        <v>30</v>
      </c>
      <c r="K198" s="59">
        <f t="shared" si="14"/>
        <v>0</v>
      </c>
      <c r="L198" s="156">
        <f t="shared" si="15"/>
        <v>7000</v>
      </c>
      <c r="M198" s="59" t="s">
        <v>325</v>
      </c>
    </row>
    <row r="199" spans="1:13" ht="18" customHeight="1" x14ac:dyDescent="0.25">
      <c r="A199" s="62">
        <v>199</v>
      </c>
      <c r="B199" s="61">
        <v>46054</v>
      </c>
      <c r="C199" s="62">
        <v>40</v>
      </c>
      <c r="D199" s="62">
        <v>1</v>
      </c>
      <c r="E199" s="62" t="s">
        <v>165</v>
      </c>
      <c r="F199" s="62" t="s">
        <v>418</v>
      </c>
      <c r="G199" s="62" t="s">
        <v>159</v>
      </c>
      <c r="H199" s="62">
        <v>23</v>
      </c>
      <c r="I199" s="157">
        <f>7550/30</f>
        <v>251.66666666666666</v>
      </c>
      <c r="J199" s="62">
        <v>30</v>
      </c>
      <c r="K199" s="62">
        <f t="shared" si="14"/>
        <v>0</v>
      </c>
      <c r="L199" s="157">
        <f t="shared" si="15"/>
        <v>7550</v>
      </c>
      <c r="M199" s="62" t="s">
        <v>325</v>
      </c>
    </row>
    <row r="200" spans="1:13" ht="18" customHeight="1" x14ac:dyDescent="0.25">
      <c r="A200" s="59">
        <v>200</v>
      </c>
      <c r="B200" s="58">
        <v>46054</v>
      </c>
      <c r="C200" s="59">
        <v>41</v>
      </c>
      <c r="D200" s="59">
        <v>1</v>
      </c>
      <c r="E200" s="59" t="s">
        <v>166</v>
      </c>
      <c r="F200" s="59" t="s">
        <v>418</v>
      </c>
      <c r="G200" s="59" t="s">
        <v>159</v>
      </c>
      <c r="H200" s="59">
        <v>31</v>
      </c>
      <c r="I200" s="156">
        <f>10050/30</f>
        <v>335</v>
      </c>
      <c r="J200" s="59">
        <v>27</v>
      </c>
      <c r="K200" s="59">
        <f t="shared" si="14"/>
        <v>3</v>
      </c>
      <c r="L200" s="156">
        <f t="shared" si="15"/>
        <v>9045</v>
      </c>
      <c r="M200" s="59" t="s">
        <v>356</v>
      </c>
    </row>
    <row r="201" spans="1:13" ht="18" customHeight="1" x14ac:dyDescent="0.25">
      <c r="A201" s="62">
        <v>201</v>
      </c>
      <c r="B201" s="61">
        <v>46054</v>
      </c>
      <c r="C201" s="62">
        <v>39</v>
      </c>
      <c r="D201" s="62">
        <v>1</v>
      </c>
      <c r="E201" s="62" t="s">
        <v>162</v>
      </c>
      <c r="F201" s="62" t="s">
        <v>418</v>
      </c>
      <c r="G201" s="62" t="s">
        <v>159</v>
      </c>
      <c r="H201" s="62">
        <v>32</v>
      </c>
      <c r="I201" s="157">
        <f>9500/30</f>
        <v>316.66666666666669</v>
      </c>
      <c r="J201" s="62">
        <v>15</v>
      </c>
      <c r="K201" s="62">
        <f t="shared" si="14"/>
        <v>15</v>
      </c>
      <c r="L201" s="157">
        <f t="shared" si="15"/>
        <v>4750</v>
      </c>
      <c r="M201" s="62" t="s">
        <v>325</v>
      </c>
    </row>
    <row r="202" spans="1:13" ht="18" customHeight="1" x14ac:dyDescent="0.25">
      <c r="A202" s="59">
        <v>202</v>
      </c>
      <c r="B202" s="58">
        <v>46054</v>
      </c>
      <c r="C202" s="59">
        <v>47</v>
      </c>
      <c r="D202" s="59">
        <v>3</v>
      </c>
      <c r="E202" s="59" t="s">
        <v>174</v>
      </c>
      <c r="F202" s="59" t="s">
        <v>420</v>
      </c>
      <c r="G202" s="59" t="s">
        <v>421</v>
      </c>
      <c r="H202" s="59">
        <v>27</v>
      </c>
      <c r="I202" s="156">
        <f>18500/30</f>
        <v>616.66666666666663</v>
      </c>
      <c r="J202" s="59">
        <v>30</v>
      </c>
      <c r="K202" s="59">
        <f t="shared" si="14"/>
        <v>0</v>
      </c>
      <c r="L202" s="156">
        <f t="shared" si="15"/>
        <v>18500</v>
      </c>
      <c r="M202" s="59" t="s">
        <v>333</v>
      </c>
    </row>
    <row r="203" spans="1:13" ht="18" customHeight="1" x14ac:dyDescent="0.25">
      <c r="A203" s="62">
        <v>203</v>
      </c>
      <c r="B203" s="61">
        <v>46054</v>
      </c>
      <c r="C203" s="62">
        <v>6</v>
      </c>
      <c r="D203" s="62">
        <v>3</v>
      </c>
      <c r="E203" s="62" t="s">
        <v>85</v>
      </c>
      <c r="F203" s="62" t="s">
        <v>424</v>
      </c>
      <c r="G203" s="62" t="s">
        <v>86</v>
      </c>
      <c r="H203" s="62">
        <v>26</v>
      </c>
      <c r="I203" s="157">
        <f>15500/30</f>
        <v>516.66666666666663</v>
      </c>
      <c r="J203" s="62">
        <v>10</v>
      </c>
      <c r="K203" s="62">
        <v>20</v>
      </c>
      <c r="L203" s="157">
        <f t="shared" si="15"/>
        <v>5166.6666666666661</v>
      </c>
      <c r="M203" s="62" t="s">
        <v>344</v>
      </c>
    </row>
    <row r="204" spans="1:13" ht="18" customHeight="1" x14ac:dyDescent="0.25">
      <c r="A204" s="59">
        <v>204</v>
      </c>
      <c r="B204" s="58">
        <v>46082</v>
      </c>
      <c r="C204" s="59">
        <v>24</v>
      </c>
      <c r="D204" s="59">
        <v>3</v>
      </c>
      <c r="E204" s="59" t="s">
        <v>141</v>
      </c>
      <c r="F204" s="59" t="s">
        <v>415</v>
      </c>
      <c r="G204" s="59" t="s">
        <v>86</v>
      </c>
      <c r="H204" s="59">
        <v>26</v>
      </c>
      <c r="I204" s="156">
        <f>15550/30</f>
        <v>518.33333333333337</v>
      </c>
      <c r="J204" s="59">
        <v>0</v>
      </c>
      <c r="K204" s="59">
        <f t="shared" ref="K204:K231" si="16">IF(J204="", 0, 30 - J204)</f>
        <v>30</v>
      </c>
      <c r="L204" s="156">
        <f t="shared" si="15"/>
        <v>0</v>
      </c>
      <c r="M204" s="59" t="s">
        <v>344</v>
      </c>
    </row>
    <row r="205" spans="1:13" ht="18" customHeight="1" x14ac:dyDescent="0.25">
      <c r="A205" s="62">
        <v>205</v>
      </c>
      <c r="B205" s="61">
        <v>46082</v>
      </c>
      <c r="C205" s="62">
        <v>17</v>
      </c>
      <c r="D205" s="62">
        <v>3</v>
      </c>
      <c r="E205" s="62" t="s">
        <v>119</v>
      </c>
      <c r="F205" s="62" t="s">
        <v>416</v>
      </c>
      <c r="G205" s="62" t="s">
        <v>122</v>
      </c>
      <c r="H205" s="62">
        <v>26</v>
      </c>
      <c r="I205" s="157">
        <f>12000/30</f>
        <v>400</v>
      </c>
      <c r="J205" s="62">
        <v>30</v>
      </c>
      <c r="K205" s="62">
        <f t="shared" si="16"/>
        <v>0</v>
      </c>
      <c r="L205" s="157">
        <f t="shared" si="15"/>
        <v>12000</v>
      </c>
      <c r="M205" s="62" t="s">
        <v>427</v>
      </c>
    </row>
    <row r="206" spans="1:13" ht="18" customHeight="1" x14ac:dyDescent="0.25">
      <c r="A206" s="59">
        <v>206</v>
      </c>
      <c r="B206" s="58">
        <v>46082</v>
      </c>
      <c r="C206" s="59">
        <v>20</v>
      </c>
      <c r="D206" s="59">
        <v>3</v>
      </c>
      <c r="E206" s="59" t="s">
        <v>128</v>
      </c>
      <c r="F206" s="59" t="s">
        <v>417</v>
      </c>
      <c r="G206" s="59" t="s">
        <v>122</v>
      </c>
      <c r="H206" s="59">
        <v>28</v>
      </c>
      <c r="I206" s="156">
        <f>12550/30</f>
        <v>418.33333333333331</v>
      </c>
      <c r="J206" s="59">
        <v>30</v>
      </c>
      <c r="K206" s="59">
        <f t="shared" si="16"/>
        <v>0</v>
      </c>
      <c r="L206" s="156">
        <f t="shared" si="15"/>
        <v>12550</v>
      </c>
      <c r="M206" s="59" t="s">
        <v>372</v>
      </c>
    </row>
    <row r="207" spans="1:13" ht="18" customHeight="1" x14ac:dyDescent="0.25">
      <c r="A207" s="62">
        <v>207</v>
      </c>
      <c r="B207" s="61">
        <v>46082</v>
      </c>
      <c r="C207" s="62">
        <v>43</v>
      </c>
      <c r="D207" s="62">
        <v>3</v>
      </c>
      <c r="E207" s="62" t="s">
        <v>169</v>
      </c>
      <c r="F207" s="62" t="s">
        <v>418</v>
      </c>
      <c r="G207" s="62" t="s">
        <v>93</v>
      </c>
      <c r="H207" s="62">
        <v>29</v>
      </c>
      <c r="I207" s="157">
        <f>7810/30</f>
        <v>260.33333333333331</v>
      </c>
      <c r="J207" s="62">
        <v>30</v>
      </c>
      <c r="K207" s="62">
        <f t="shared" si="16"/>
        <v>0</v>
      </c>
      <c r="L207" s="157">
        <f t="shared" si="15"/>
        <v>7809.9999999999991</v>
      </c>
      <c r="M207" s="62" t="s">
        <v>340</v>
      </c>
    </row>
    <row r="208" spans="1:13" ht="18" customHeight="1" x14ac:dyDescent="0.25">
      <c r="A208" s="59">
        <v>208</v>
      </c>
      <c r="B208" s="58">
        <v>46082</v>
      </c>
      <c r="C208" s="59">
        <v>42</v>
      </c>
      <c r="D208" s="59">
        <v>3</v>
      </c>
      <c r="E208" s="59" t="s">
        <v>167</v>
      </c>
      <c r="F208" s="59" t="s">
        <v>418</v>
      </c>
      <c r="G208" s="59" t="s">
        <v>93</v>
      </c>
      <c r="H208" s="59">
        <v>29</v>
      </c>
      <c r="I208" s="156">
        <f>7810/30</f>
        <v>260.33333333333331</v>
      </c>
      <c r="J208" s="59">
        <v>30</v>
      </c>
      <c r="K208" s="59">
        <f t="shared" si="16"/>
        <v>0</v>
      </c>
      <c r="L208" s="156">
        <f t="shared" si="15"/>
        <v>7809.9999999999991</v>
      </c>
      <c r="M208" s="59" t="s">
        <v>340</v>
      </c>
    </row>
    <row r="209" spans="1:13" ht="18" customHeight="1" x14ac:dyDescent="0.25">
      <c r="A209" s="62">
        <v>209</v>
      </c>
      <c r="B209" s="61">
        <v>46082</v>
      </c>
      <c r="C209" s="62">
        <v>46</v>
      </c>
      <c r="D209" s="62">
        <v>3</v>
      </c>
      <c r="E209" s="62" t="s">
        <v>173</v>
      </c>
      <c r="F209" s="62" t="s">
        <v>418</v>
      </c>
      <c r="G209" s="62" t="s">
        <v>93</v>
      </c>
      <c r="H209" s="62">
        <v>29</v>
      </c>
      <c r="I209" s="157">
        <f>7810/30</f>
        <v>260.33333333333331</v>
      </c>
      <c r="J209" s="62">
        <v>30</v>
      </c>
      <c r="K209" s="62">
        <f t="shared" si="16"/>
        <v>0</v>
      </c>
      <c r="L209" s="157">
        <f t="shared" si="15"/>
        <v>7809.9999999999991</v>
      </c>
      <c r="M209" s="62" t="s">
        <v>340</v>
      </c>
    </row>
    <row r="210" spans="1:13" ht="18" customHeight="1" x14ac:dyDescent="0.25">
      <c r="A210" s="59">
        <v>210</v>
      </c>
      <c r="B210" s="58">
        <v>46082</v>
      </c>
      <c r="C210" s="59">
        <v>34</v>
      </c>
      <c r="D210" s="59">
        <v>3</v>
      </c>
      <c r="E210" s="59" t="s">
        <v>155</v>
      </c>
      <c r="F210" s="59" t="s">
        <v>419</v>
      </c>
      <c r="G210" s="59" t="s">
        <v>182</v>
      </c>
      <c r="H210" s="59">
        <v>29</v>
      </c>
      <c r="I210" s="156">
        <f>9900/30</f>
        <v>330</v>
      </c>
      <c r="J210" s="59">
        <v>30</v>
      </c>
      <c r="K210" s="59">
        <f t="shared" si="16"/>
        <v>0</v>
      </c>
      <c r="L210" s="156">
        <f t="shared" si="15"/>
        <v>9900</v>
      </c>
      <c r="M210" s="59" t="s">
        <v>340</v>
      </c>
    </row>
    <row r="211" spans="1:13" ht="18" customHeight="1" x14ac:dyDescent="0.25">
      <c r="A211" s="62">
        <v>211</v>
      </c>
      <c r="B211" s="61">
        <v>46082</v>
      </c>
      <c r="C211" s="62">
        <v>45</v>
      </c>
      <c r="D211" s="62">
        <v>1</v>
      </c>
      <c r="E211" s="62" t="s">
        <v>172</v>
      </c>
      <c r="F211" s="62" t="s">
        <v>418</v>
      </c>
      <c r="G211" s="62" t="s">
        <v>93</v>
      </c>
      <c r="H211" s="62">
        <v>35</v>
      </c>
      <c r="I211" s="157">
        <f>9000/30</f>
        <v>300</v>
      </c>
      <c r="J211" s="62">
        <v>30</v>
      </c>
      <c r="K211" s="62">
        <f t="shared" si="16"/>
        <v>0</v>
      </c>
      <c r="L211" s="157">
        <f t="shared" si="15"/>
        <v>9000</v>
      </c>
      <c r="M211" s="62" t="s">
        <v>325</v>
      </c>
    </row>
    <row r="212" spans="1:13" ht="18" customHeight="1" x14ac:dyDescent="0.25">
      <c r="A212" s="59">
        <v>212</v>
      </c>
      <c r="B212" s="58">
        <v>46082</v>
      </c>
      <c r="C212" s="59">
        <v>44</v>
      </c>
      <c r="D212" s="59">
        <v>1</v>
      </c>
      <c r="E212" s="59" t="s">
        <v>170</v>
      </c>
      <c r="F212" s="59" t="s">
        <v>418</v>
      </c>
      <c r="G212" s="59" t="s">
        <v>93</v>
      </c>
      <c r="H212" s="59">
        <v>35</v>
      </c>
      <c r="I212" s="156">
        <f>9000/30</f>
        <v>300</v>
      </c>
      <c r="J212" s="59">
        <v>30</v>
      </c>
      <c r="K212" s="59">
        <f t="shared" si="16"/>
        <v>0</v>
      </c>
      <c r="L212" s="156">
        <f t="shared" si="15"/>
        <v>9000</v>
      </c>
      <c r="M212" s="59" t="s">
        <v>325</v>
      </c>
    </row>
    <row r="213" spans="1:13" ht="18" customHeight="1" x14ac:dyDescent="0.25">
      <c r="A213" s="62">
        <v>213</v>
      </c>
      <c r="B213" s="61">
        <v>46082</v>
      </c>
      <c r="C213" s="62">
        <v>40</v>
      </c>
      <c r="D213" s="62">
        <v>1</v>
      </c>
      <c r="E213" s="62" t="s">
        <v>165</v>
      </c>
      <c r="F213" s="62" t="s">
        <v>418</v>
      </c>
      <c r="G213" s="62" t="s">
        <v>159</v>
      </c>
      <c r="H213" s="62">
        <v>35</v>
      </c>
      <c r="I213" s="157">
        <f>9250/30</f>
        <v>308.33333333333331</v>
      </c>
      <c r="J213" s="62">
        <v>30</v>
      </c>
      <c r="K213" s="62">
        <f t="shared" si="16"/>
        <v>0</v>
      </c>
      <c r="L213" s="157">
        <f t="shared" si="15"/>
        <v>9250</v>
      </c>
      <c r="M213" s="62" t="s">
        <v>325</v>
      </c>
    </row>
    <row r="214" spans="1:13" ht="18" customHeight="1" x14ac:dyDescent="0.25">
      <c r="A214" s="59">
        <v>214</v>
      </c>
      <c r="B214" s="58">
        <v>46082</v>
      </c>
      <c r="C214" s="59">
        <v>41</v>
      </c>
      <c r="D214" s="59">
        <v>3</v>
      </c>
      <c r="E214" s="59" t="s">
        <v>166</v>
      </c>
      <c r="F214" s="59" t="s">
        <v>418</v>
      </c>
      <c r="G214" s="59" t="s">
        <v>159</v>
      </c>
      <c r="H214" s="59">
        <v>34</v>
      </c>
      <c r="I214" s="156">
        <f>9550/30</f>
        <v>318.33333333333331</v>
      </c>
      <c r="J214" s="59">
        <v>30</v>
      </c>
      <c r="K214" s="59">
        <f t="shared" si="16"/>
        <v>0</v>
      </c>
      <c r="L214" s="156">
        <f t="shared" si="15"/>
        <v>9550</v>
      </c>
      <c r="M214" s="59" t="s">
        <v>340</v>
      </c>
    </row>
    <row r="215" spans="1:13" ht="18" customHeight="1" x14ac:dyDescent="0.25">
      <c r="A215" s="62">
        <v>215</v>
      </c>
      <c r="B215" s="61">
        <v>46082</v>
      </c>
      <c r="C215" s="62">
        <v>39</v>
      </c>
      <c r="D215" s="62">
        <v>1</v>
      </c>
      <c r="E215" s="62" t="s">
        <v>162</v>
      </c>
      <c r="F215" s="62" t="s">
        <v>418</v>
      </c>
      <c r="G215" s="62" t="s">
        <v>159</v>
      </c>
      <c r="H215" s="62">
        <v>32</v>
      </c>
      <c r="I215" s="157">
        <f>9500/30</f>
        <v>316.66666666666669</v>
      </c>
      <c r="J215" s="62">
        <v>21</v>
      </c>
      <c r="K215" s="62">
        <f t="shared" si="16"/>
        <v>9</v>
      </c>
      <c r="L215" s="157">
        <f t="shared" si="15"/>
        <v>6650</v>
      </c>
      <c r="M215" s="62" t="s">
        <v>325</v>
      </c>
    </row>
    <row r="216" spans="1:13" ht="18" customHeight="1" x14ac:dyDescent="0.25">
      <c r="A216" s="59">
        <v>216</v>
      </c>
      <c r="B216" s="58">
        <v>46082</v>
      </c>
      <c r="C216" s="59">
        <v>47</v>
      </c>
      <c r="D216" s="59">
        <v>3</v>
      </c>
      <c r="E216" s="59" t="s">
        <v>174</v>
      </c>
      <c r="F216" s="59" t="s">
        <v>420</v>
      </c>
      <c r="G216" s="59" t="s">
        <v>421</v>
      </c>
      <c r="H216" s="59">
        <v>33</v>
      </c>
      <c r="I216" s="156">
        <f>20550/30</f>
        <v>685</v>
      </c>
      <c r="J216" s="59">
        <v>30</v>
      </c>
      <c r="K216" s="59">
        <f t="shared" si="16"/>
        <v>0</v>
      </c>
      <c r="L216" s="156">
        <f t="shared" si="15"/>
        <v>20550</v>
      </c>
      <c r="M216" s="59" t="s">
        <v>333</v>
      </c>
    </row>
    <row r="217" spans="1:13" ht="18" customHeight="1" x14ac:dyDescent="0.25">
      <c r="A217" s="62">
        <v>217</v>
      </c>
      <c r="B217" s="61">
        <v>46082</v>
      </c>
      <c r="C217" s="62">
        <v>6</v>
      </c>
      <c r="D217" s="62">
        <v>3</v>
      </c>
      <c r="E217" s="62" t="s">
        <v>85</v>
      </c>
      <c r="F217" s="62" t="s">
        <v>424</v>
      </c>
      <c r="G217" s="62" t="s">
        <v>86</v>
      </c>
      <c r="H217" s="62">
        <v>26</v>
      </c>
      <c r="I217" s="157">
        <f>15550/30</f>
        <v>518.33333333333337</v>
      </c>
      <c r="J217" s="62">
        <v>30</v>
      </c>
      <c r="K217" s="62">
        <f t="shared" si="16"/>
        <v>0</v>
      </c>
      <c r="L217" s="157">
        <f t="shared" si="15"/>
        <v>15550.000000000002</v>
      </c>
      <c r="M217" s="62" t="s">
        <v>344</v>
      </c>
    </row>
    <row r="218" spans="1:13" ht="18" customHeight="1" x14ac:dyDescent="0.25">
      <c r="A218" s="59">
        <v>218</v>
      </c>
      <c r="B218" s="58">
        <v>46113</v>
      </c>
      <c r="C218" s="59">
        <v>24</v>
      </c>
      <c r="D218" s="59">
        <v>3</v>
      </c>
      <c r="E218" s="59" t="s">
        <v>141</v>
      </c>
      <c r="F218" s="59" t="s">
        <v>415</v>
      </c>
      <c r="G218" s="59" t="s">
        <v>86</v>
      </c>
      <c r="H218" s="59">
        <v>26</v>
      </c>
      <c r="I218" s="156">
        <f>15550/30</f>
        <v>518.33333333333337</v>
      </c>
      <c r="J218" s="59">
        <v>0</v>
      </c>
      <c r="K218" s="59">
        <f t="shared" si="16"/>
        <v>30</v>
      </c>
      <c r="L218" s="156">
        <f t="shared" si="15"/>
        <v>0</v>
      </c>
      <c r="M218" s="59" t="s">
        <v>344</v>
      </c>
    </row>
    <row r="219" spans="1:13" ht="18" customHeight="1" x14ac:dyDescent="0.25">
      <c r="A219" s="62">
        <v>219</v>
      </c>
      <c r="B219" s="61">
        <v>46113</v>
      </c>
      <c r="C219" s="62">
        <v>17</v>
      </c>
      <c r="D219" s="62">
        <v>3</v>
      </c>
      <c r="E219" s="62" t="s">
        <v>119</v>
      </c>
      <c r="F219" s="62" t="s">
        <v>416</v>
      </c>
      <c r="G219" s="62" t="s">
        <v>122</v>
      </c>
      <c r="H219" s="62">
        <v>26</v>
      </c>
      <c r="I219" s="157">
        <f>12000/30</f>
        <v>400</v>
      </c>
      <c r="J219" s="62">
        <v>30</v>
      </c>
      <c r="K219" s="62">
        <f t="shared" si="16"/>
        <v>0</v>
      </c>
      <c r="L219" s="157">
        <f t="shared" si="15"/>
        <v>12000</v>
      </c>
      <c r="M219" s="62" t="s">
        <v>427</v>
      </c>
    </row>
    <row r="220" spans="1:13" ht="18" customHeight="1" x14ac:dyDescent="0.25">
      <c r="A220" s="59">
        <v>220</v>
      </c>
      <c r="B220" s="58">
        <v>46113</v>
      </c>
      <c r="C220" s="59">
        <v>20</v>
      </c>
      <c r="D220" s="59">
        <v>3</v>
      </c>
      <c r="E220" s="59" t="s">
        <v>128</v>
      </c>
      <c r="F220" s="59" t="s">
        <v>417</v>
      </c>
      <c r="G220" s="59" t="s">
        <v>122</v>
      </c>
      <c r="H220" s="59">
        <v>28</v>
      </c>
      <c r="I220" s="156">
        <f>12550/30</f>
        <v>418.33333333333331</v>
      </c>
      <c r="J220" s="59">
        <v>30</v>
      </c>
      <c r="K220" s="59">
        <f t="shared" si="16"/>
        <v>0</v>
      </c>
      <c r="L220" s="156">
        <f t="shared" si="15"/>
        <v>12550</v>
      </c>
      <c r="M220" s="59" t="s">
        <v>372</v>
      </c>
    </row>
    <row r="221" spans="1:13" ht="18" customHeight="1" x14ac:dyDescent="0.25">
      <c r="A221" s="62">
        <v>221</v>
      </c>
      <c r="B221" s="61">
        <v>46113</v>
      </c>
      <c r="C221" s="62">
        <v>43</v>
      </c>
      <c r="D221" s="62">
        <v>3</v>
      </c>
      <c r="E221" s="62" t="s">
        <v>169</v>
      </c>
      <c r="F221" s="62" t="s">
        <v>418</v>
      </c>
      <c r="G221" s="62" t="s">
        <v>93</v>
      </c>
      <c r="H221" s="62">
        <v>29</v>
      </c>
      <c r="I221" s="157">
        <f>7810/30</f>
        <v>260.33333333333331</v>
      </c>
      <c r="J221" s="62">
        <v>30</v>
      </c>
      <c r="K221" s="62">
        <f t="shared" si="16"/>
        <v>0</v>
      </c>
      <c r="L221" s="157">
        <f t="shared" si="15"/>
        <v>7809.9999999999991</v>
      </c>
      <c r="M221" s="62" t="s">
        <v>340</v>
      </c>
    </row>
    <row r="222" spans="1:13" ht="18" customHeight="1" x14ac:dyDescent="0.25">
      <c r="A222" s="59">
        <v>222</v>
      </c>
      <c r="B222" s="58">
        <v>46113</v>
      </c>
      <c r="C222" s="59">
        <v>42</v>
      </c>
      <c r="D222" s="59">
        <v>3</v>
      </c>
      <c r="E222" s="59" t="s">
        <v>167</v>
      </c>
      <c r="F222" s="59" t="s">
        <v>418</v>
      </c>
      <c r="G222" s="59" t="s">
        <v>93</v>
      </c>
      <c r="H222" s="59">
        <v>29</v>
      </c>
      <c r="I222" s="156">
        <f>7810/30</f>
        <v>260.33333333333331</v>
      </c>
      <c r="J222" s="59">
        <v>30</v>
      </c>
      <c r="K222" s="59">
        <f t="shared" si="16"/>
        <v>0</v>
      </c>
      <c r="L222" s="156">
        <f t="shared" si="15"/>
        <v>7809.9999999999991</v>
      </c>
      <c r="M222" s="59" t="s">
        <v>340</v>
      </c>
    </row>
    <row r="223" spans="1:13" ht="18" customHeight="1" x14ac:dyDescent="0.25">
      <c r="A223" s="62">
        <v>223</v>
      </c>
      <c r="B223" s="61">
        <v>46113</v>
      </c>
      <c r="C223" s="62">
        <v>46</v>
      </c>
      <c r="D223" s="62">
        <v>3</v>
      </c>
      <c r="E223" s="62" t="s">
        <v>173</v>
      </c>
      <c r="F223" s="62" t="s">
        <v>418</v>
      </c>
      <c r="G223" s="62" t="s">
        <v>93</v>
      </c>
      <c r="H223" s="62">
        <v>29</v>
      </c>
      <c r="I223" s="157">
        <f>7810/30</f>
        <v>260.33333333333331</v>
      </c>
      <c r="J223" s="62">
        <v>30</v>
      </c>
      <c r="K223" s="62">
        <f t="shared" si="16"/>
        <v>0</v>
      </c>
      <c r="L223" s="157">
        <f t="shared" si="15"/>
        <v>7809.9999999999991</v>
      </c>
      <c r="M223" s="62" t="s">
        <v>340</v>
      </c>
    </row>
    <row r="224" spans="1:13" ht="18" customHeight="1" x14ac:dyDescent="0.25">
      <c r="A224" s="59">
        <v>224</v>
      </c>
      <c r="B224" s="58">
        <v>46113</v>
      </c>
      <c r="C224" s="59">
        <v>34</v>
      </c>
      <c r="D224" s="59">
        <v>3</v>
      </c>
      <c r="E224" s="59" t="s">
        <v>155</v>
      </c>
      <c r="F224" s="59" t="s">
        <v>419</v>
      </c>
      <c r="G224" s="59" t="s">
        <v>182</v>
      </c>
      <c r="H224" s="59">
        <v>29</v>
      </c>
      <c r="I224" s="156">
        <f>9900/30</f>
        <v>330</v>
      </c>
      <c r="J224" s="59">
        <v>30</v>
      </c>
      <c r="K224" s="59">
        <f t="shared" si="16"/>
        <v>0</v>
      </c>
      <c r="L224" s="156">
        <f t="shared" si="15"/>
        <v>9900</v>
      </c>
      <c r="M224" s="59" t="s">
        <v>340</v>
      </c>
    </row>
    <row r="225" spans="1:13" ht="18" customHeight="1" x14ac:dyDescent="0.25">
      <c r="A225" s="62">
        <v>225</v>
      </c>
      <c r="B225" s="61">
        <v>46113</v>
      </c>
      <c r="C225" s="62">
        <v>45</v>
      </c>
      <c r="D225" s="62">
        <v>1</v>
      </c>
      <c r="E225" s="62" t="s">
        <v>172</v>
      </c>
      <c r="F225" s="62" t="s">
        <v>418</v>
      </c>
      <c r="G225" s="62" t="s">
        <v>93</v>
      </c>
      <c r="H225" s="62">
        <v>35</v>
      </c>
      <c r="I225" s="156">
        <f>8250/30</f>
        <v>275</v>
      </c>
      <c r="J225" s="62">
        <v>30</v>
      </c>
      <c r="K225" s="62">
        <f t="shared" si="16"/>
        <v>0</v>
      </c>
      <c r="L225" s="157">
        <f t="shared" si="15"/>
        <v>8250</v>
      </c>
      <c r="M225" s="62" t="s">
        <v>325</v>
      </c>
    </row>
    <row r="226" spans="1:13" ht="18" customHeight="1" x14ac:dyDescent="0.25">
      <c r="A226" s="59">
        <v>226</v>
      </c>
      <c r="B226" s="58">
        <v>46113</v>
      </c>
      <c r="C226" s="59">
        <v>44</v>
      </c>
      <c r="D226" s="59">
        <v>1</v>
      </c>
      <c r="E226" s="59" t="s">
        <v>170</v>
      </c>
      <c r="F226" s="59" t="s">
        <v>418</v>
      </c>
      <c r="G226" s="59" t="s">
        <v>93</v>
      </c>
      <c r="H226" s="59">
        <v>35</v>
      </c>
      <c r="I226" s="156">
        <f>8250/30</f>
        <v>275</v>
      </c>
      <c r="J226" s="59">
        <v>30</v>
      </c>
      <c r="K226" s="59">
        <f t="shared" si="16"/>
        <v>0</v>
      </c>
      <c r="L226" s="156">
        <f t="shared" ref="L226:L231" si="17">I226*J226</f>
        <v>8250</v>
      </c>
      <c r="M226" s="59" t="s">
        <v>325</v>
      </c>
    </row>
    <row r="227" spans="1:13" ht="18" customHeight="1" x14ac:dyDescent="0.25">
      <c r="A227" s="62">
        <v>227</v>
      </c>
      <c r="B227" s="61">
        <v>46113</v>
      </c>
      <c r="C227" s="62">
        <v>40</v>
      </c>
      <c r="D227" s="62">
        <v>1</v>
      </c>
      <c r="E227" s="62" t="s">
        <v>165</v>
      </c>
      <c r="F227" s="62" t="s">
        <v>418</v>
      </c>
      <c r="G227" s="62" t="s">
        <v>159</v>
      </c>
      <c r="H227" s="62">
        <v>35</v>
      </c>
      <c r="I227" s="157">
        <f>9000/30</f>
        <v>300</v>
      </c>
      <c r="J227" s="62">
        <v>30</v>
      </c>
      <c r="K227" s="62">
        <f t="shared" si="16"/>
        <v>0</v>
      </c>
      <c r="L227" s="157">
        <f t="shared" si="17"/>
        <v>9000</v>
      </c>
      <c r="M227" s="62" t="s">
        <v>325</v>
      </c>
    </row>
    <row r="228" spans="1:13" ht="18" customHeight="1" x14ac:dyDescent="0.25">
      <c r="A228" s="59">
        <v>228</v>
      </c>
      <c r="B228" s="58">
        <v>46113</v>
      </c>
      <c r="C228" s="59">
        <v>41</v>
      </c>
      <c r="D228" s="59">
        <v>3</v>
      </c>
      <c r="E228" s="59" t="s">
        <v>166</v>
      </c>
      <c r="F228" s="59" t="s">
        <v>418</v>
      </c>
      <c r="G228" s="59" t="s">
        <v>159</v>
      </c>
      <c r="H228" s="59">
        <v>34</v>
      </c>
      <c r="I228" s="156">
        <f>9550/30</f>
        <v>318.33333333333331</v>
      </c>
      <c r="J228" s="59">
        <v>30</v>
      </c>
      <c r="K228" s="59">
        <f t="shared" si="16"/>
        <v>0</v>
      </c>
      <c r="L228" s="156">
        <f t="shared" si="17"/>
        <v>9550</v>
      </c>
      <c r="M228" s="59" t="s">
        <v>340</v>
      </c>
    </row>
    <row r="229" spans="1:13" ht="18" customHeight="1" x14ac:dyDescent="0.25">
      <c r="A229" s="62">
        <v>229</v>
      </c>
      <c r="B229" s="61">
        <v>46113</v>
      </c>
      <c r="C229" s="62">
        <v>39</v>
      </c>
      <c r="D229" s="62">
        <v>1</v>
      </c>
      <c r="E229" s="62" t="s">
        <v>162</v>
      </c>
      <c r="F229" s="62" t="s">
        <v>418</v>
      </c>
      <c r="G229" s="62" t="s">
        <v>159</v>
      </c>
      <c r="H229" s="62">
        <v>32</v>
      </c>
      <c r="I229" s="157">
        <f>9500/30</f>
        <v>316.66666666666669</v>
      </c>
      <c r="J229" s="62">
        <v>30</v>
      </c>
      <c r="K229" s="62">
        <f t="shared" si="16"/>
        <v>0</v>
      </c>
      <c r="L229" s="157">
        <f t="shared" si="17"/>
        <v>9500</v>
      </c>
      <c r="M229" s="62" t="s">
        <v>325</v>
      </c>
    </row>
    <row r="230" spans="1:13" ht="18" customHeight="1" x14ac:dyDescent="0.25">
      <c r="A230" s="59">
        <v>230</v>
      </c>
      <c r="B230" s="58">
        <v>46113</v>
      </c>
      <c r="C230" s="59">
        <v>47</v>
      </c>
      <c r="D230" s="59">
        <v>3</v>
      </c>
      <c r="E230" s="59" t="s">
        <v>174</v>
      </c>
      <c r="F230" s="59" t="s">
        <v>420</v>
      </c>
      <c r="G230" s="59" t="s">
        <v>421</v>
      </c>
      <c r="H230" s="59">
        <v>33</v>
      </c>
      <c r="I230" s="156">
        <f>20550/30</f>
        <v>685</v>
      </c>
      <c r="J230" s="59">
        <v>30</v>
      </c>
      <c r="K230" s="59">
        <f t="shared" si="16"/>
        <v>0</v>
      </c>
      <c r="L230" s="156">
        <f t="shared" si="17"/>
        <v>20550</v>
      </c>
      <c r="M230" s="59" t="s">
        <v>333</v>
      </c>
    </row>
    <row r="231" spans="1:13" ht="18" customHeight="1" x14ac:dyDescent="0.25">
      <c r="A231" s="62">
        <v>231</v>
      </c>
      <c r="B231" s="61">
        <v>46113</v>
      </c>
      <c r="C231" s="62">
        <v>6</v>
      </c>
      <c r="D231" s="62">
        <v>3</v>
      </c>
      <c r="E231" s="62" t="s">
        <v>85</v>
      </c>
      <c r="F231" s="62" t="s">
        <v>424</v>
      </c>
      <c r="G231" s="62" t="s">
        <v>86</v>
      </c>
      <c r="H231" s="62">
        <v>26</v>
      </c>
      <c r="I231" s="157">
        <f>15550/30</f>
        <v>518.33333333333337</v>
      </c>
      <c r="J231" s="62">
        <v>30</v>
      </c>
      <c r="K231" s="62">
        <f t="shared" si="16"/>
        <v>0</v>
      </c>
      <c r="L231" s="157">
        <f t="shared" si="17"/>
        <v>15550.000000000002</v>
      </c>
      <c r="M231" s="62" t="s">
        <v>344</v>
      </c>
    </row>
  </sheetData>
  <autoFilter ref="A1:M23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499984740745262"/>
  </sheetPr>
  <dimension ref="A1:P110"/>
  <sheetViews>
    <sheetView topLeftCell="A94" zoomScale="85" zoomScaleNormal="85" workbookViewId="0">
      <selection activeCell="A111" sqref="A111"/>
    </sheetView>
  </sheetViews>
  <sheetFormatPr defaultColWidth="10.42578125" defaultRowHeight="18" customHeight="1" x14ac:dyDescent="0.25"/>
  <cols>
    <col min="1" max="2" width="11.28515625" style="41" bestFit="1" customWidth="1"/>
    <col min="3" max="3" width="13.28515625" style="41" bestFit="1" customWidth="1"/>
    <col min="4" max="5" width="13.28515625" style="41" customWidth="1"/>
    <col min="6" max="6" width="9.42578125" style="41" bestFit="1" customWidth="1"/>
    <col min="7" max="7" width="11.140625" style="49" bestFit="1" customWidth="1"/>
    <col min="8" max="8" width="14.28515625" style="49" bestFit="1" customWidth="1"/>
    <col min="9" max="9" width="40.42578125" style="41" bestFit="1" customWidth="1"/>
    <col min="10" max="10" width="17.140625" style="149" bestFit="1" customWidth="1"/>
    <col min="11" max="11" width="14.7109375" style="49" bestFit="1" customWidth="1"/>
    <col min="12" max="12" width="17.140625" style="149" bestFit="1" customWidth="1"/>
    <col min="13" max="13" width="12.42578125" style="149" bestFit="1" customWidth="1"/>
    <col min="14" max="15" width="21.7109375" style="41" bestFit="1" customWidth="1"/>
    <col min="16" max="16" width="16.28515625" style="41" bestFit="1" customWidth="1"/>
    <col min="17" max="17" width="10.42578125" style="41" customWidth="1"/>
    <col min="18" max="16384" width="10.42578125" style="41"/>
  </cols>
  <sheetData>
    <row r="1" spans="1:16" ht="18" customHeight="1" x14ac:dyDescent="0.25">
      <c r="A1" s="19" t="s">
        <v>428</v>
      </c>
      <c r="B1" s="19" t="s">
        <v>413</v>
      </c>
      <c r="C1" s="19" t="s">
        <v>0</v>
      </c>
      <c r="D1" s="19" t="s">
        <v>277</v>
      </c>
      <c r="E1" s="19" t="s">
        <v>189</v>
      </c>
      <c r="F1" s="19" t="s">
        <v>429</v>
      </c>
      <c r="G1" s="19" t="s">
        <v>430</v>
      </c>
      <c r="H1" s="19" t="s">
        <v>431</v>
      </c>
      <c r="I1" s="19" t="s">
        <v>432</v>
      </c>
      <c r="J1" s="19" t="s">
        <v>433</v>
      </c>
      <c r="K1" s="19" t="s">
        <v>434</v>
      </c>
      <c r="L1" s="19" t="s">
        <v>435</v>
      </c>
      <c r="M1" s="19" t="s">
        <v>436</v>
      </c>
      <c r="N1" s="19" t="s">
        <v>437</v>
      </c>
      <c r="O1" s="19" t="s">
        <v>438</v>
      </c>
      <c r="P1" s="4" t="s">
        <v>292</v>
      </c>
    </row>
    <row r="2" spans="1:16" ht="18" customHeight="1" x14ac:dyDescent="0.25">
      <c r="A2" s="59">
        <v>1</v>
      </c>
      <c r="B2" s="58">
        <v>45627</v>
      </c>
      <c r="C2" s="59">
        <v>1</v>
      </c>
      <c r="D2" s="59" t="s">
        <v>390</v>
      </c>
      <c r="E2" s="59">
        <v>9</v>
      </c>
      <c r="F2" s="59">
        <v>256</v>
      </c>
      <c r="G2" s="60">
        <v>45659</v>
      </c>
      <c r="H2" s="60">
        <v>45663</v>
      </c>
      <c r="I2" s="59" t="str">
        <f>IF(E2="","",_xlfn.XLOOKUP(E2,'🏢 CLIENTES'!A:A,'🏢 CLIENTES'!B:B,""))</f>
        <v>Polemica Servicos Basicos LTDA</v>
      </c>
      <c r="J2" s="156">
        <v>30300</v>
      </c>
      <c r="K2" s="60">
        <v>45663</v>
      </c>
      <c r="L2" s="156">
        <v>30300</v>
      </c>
      <c r="M2" s="156">
        <f t="shared" ref="M2:M33" si="0">IF(OR(L2=0,L2=""),0,L2-J2)</f>
        <v>0</v>
      </c>
      <c r="N2" s="59" t="s">
        <v>439</v>
      </c>
      <c r="O2" s="20" t="s">
        <v>440</v>
      </c>
      <c r="P2" s="59"/>
    </row>
    <row r="3" spans="1:16" ht="18" customHeight="1" x14ac:dyDescent="0.25">
      <c r="A3" s="62">
        <v>2</v>
      </c>
      <c r="B3" s="61">
        <v>45627</v>
      </c>
      <c r="C3" s="62">
        <v>1</v>
      </c>
      <c r="D3" s="62">
        <v>20</v>
      </c>
      <c r="E3" s="62">
        <v>8</v>
      </c>
      <c r="F3" s="62">
        <v>257</v>
      </c>
      <c r="G3" s="63">
        <v>45659</v>
      </c>
      <c r="H3" s="63">
        <v>45663</v>
      </c>
      <c r="I3" s="62" t="str">
        <f>IF(E3="","",_xlfn.XLOOKUP(E3,'🏢 CLIENTES'!A:A,'🏢 CLIENTES'!B:B,""))</f>
        <v>Consorcio Global Franca</v>
      </c>
      <c r="J3" s="157">
        <v>12000</v>
      </c>
      <c r="K3" s="63">
        <v>45663</v>
      </c>
      <c r="L3" s="157">
        <v>12000</v>
      </c>
      <c r="M3" s="157">
        <f t="shared" si="0"/>
        <v>0</v>
      </c>
      <c r="N3" s="62" t="s">
        <v>439</v>
      </c>
      <c r="O3" s="20" t="s">
        <v>440</v>
      </c>
      <c r="P3" s="62"/>
    </row>
    <row r="4" spans="1:16" ht="18" customHeight="1" x14ac:dyDescent="0.25">
      <c r="A4" s="62">
        <v>4</v>
      </c>
      <c r="B4" s="61">
        <v>45627</v>
      </c>
      <c r="C4" s="62">
        <v>1</v>
      </c>
      <c r="D4" s="62" t="s">
        <v>384</v>
      </c>
      <c r="E4" s="62">
        <v>11</v>
      </c>
      <c r="F4" s="62">
        <v>255</v>
      </c>
      <c r="G4" s="63">
        <v>45659</v>
      </c>
      <c r="H4" s="63">
        <v>45663</v>
      </c>
      <c r="I4" s="62" t="str">
        <f>IF(E4="","",_xlfn.XLOOKUP(E4,'🏢 CLIENTES'!A:A,'🏢 CLIENTES'!B:B,""))</f>
        <v>Zigurate Construcao LTDA</v>
      </c>
      <c r="J4" s="157">
        <v>22000</v>
      </c>
      <c r="K4" s="63">
        <v>45678</v>
      </c>
      <c r="L4" s="157">
        <v>23100</v>
      </c>
      <c r="M4" s="157">
        <f t="shared" si="0"/>
        <v>1100</v>
      </c>
      <c r="N4" s="62" t="s">
        <v>441</v>
      </c>
      <c r="O4" s="20" t="s">
        <v>440</v>
      </c>
      <c r="P4" s="59"/>
    </row>
    <row r="5" spans="1:16" ht="18" customHeight="1" x14ac:dyDescent="0.25">
      <c r="A5" s="62">
        <v>6</v>
      </c>
      <c r="B5" s="61">
        <v>45627</v>
      </c>
      <c r="C5" s="62">
        <v>1</v>
      </c>
      <c r="D5" s="62">
        <v>7</v>
      </c>
      <c r="E5" s="62">
        <v>2</v>
      </c>
      <c r="F5" s="62">
        <v>260</v>
      </c>
      <c r="G5" s="63">
        <v>45659</v>
      </c>
      <c r="H5" s="63">
        <v>45663</v>
      </c>
      <c r="I5" s="62" t="str">
        <f>IF(E5="","",_xlfn.XLOOKUP(E5,'🏢 CLIENTES'!A:A,'🏢 CLIENTES'!B:B,""))</f>
        <v>Jwr Construcoes LTDA</v>
      </c>
      <c r="J5" s="157">
        <v>2900</v>
      </c>
      <c r="K5" s="63">
        <v>45687</v>
      </c>
      <c r="L5" s="157">
        <v>2900</v>
      </c>
      <c r="M5" s="157">
        <f t="shared" si="0"/>
        <v>0</v>
      </c>
      <c r="N5" s="62" t="s">
        <v>441</v>
      </c>
      <c r="O5" s="20" t="s">
        <v>440</v>
      </c>
      <c r="P5" s="62"/>
    </row>
    <row r="6" spans="1:16" ht="18" customHeight="1" x14ac:dyDescent="0.25">
      <c r="A6" s="62">
        <v>8</v>
      </c>
      <c r="B6" s="61">
        <v>45627</v>
      </c>
      <c r="C6" s="62">
        <v>1</v>
      </c>
      <c r="D6" s="62">
        <v>9</v>
      </c>
      <c r="E6" s="62">
        <v>4</v>
      </c>
      <c r="F6" s="62">
        <v>262</v>
      </c>
      <c r="G6" s="63">
        <v>45659</v>
      </c>
      <c r="H6" s="63">
        <v>45663</v>
      </c>
      <c r="I6" s="62" t="str">
        <f>IF(E6="","",_xlfn.XLOOKUP(E6,'🏢 CLIENTES'!A:A,'🏢 CLIENTES'!B:B,""))</f>
        <v>Consorcio Gb Osasco Tiete</v>
      </c>
      <c r="J6" s="157">
        <v>3000</v>
      </c>
      <c r="K6" s="63">
        <f ca="1">TODAY()</f>
        <v>46152</v>
      </c>
      <c r="L6" s="157">
        <v>0</v>
      </c>
      <c r="M6" s="157">
        <f t="shared" si="0"/>
        <v>0</v>
      </c>
      <c r="N6" s="62" t="s">
        <v>441</v>
      </c>
      <c r="O6" s="44" t="s">
        <v>442</v>
      </c>
      <c r="P6" s="59"/>
    </row>
    <row r="7" spans="1:16" ht="18" customHeight="1" x14ac:dyDescent="0.25">
      <c r="A7" s="59">
        <v>3</v>
      </c>
      <c r="B7" s="58">
        <v>45627</v>
      </c>
      <c r="C7" s="59">
        <v>1</v>
      </c>
      <c r="D7" s="59">
        <v>16</v>
      </c>
      <c r="E7" s="59">
        <v>7</v>
      </c>
      <c r="F7" s="59">
        <v>258</v>
      </c>
      <c r="G7" s="60">
        <v>45659</v>
      </c>
      <c r="H7" s="60">
        <v>45667</v>
      </c>
      <c r="I7" s="59" t="str">
        <f>IF(E7="","",_xlfn.XLOOKUP(E7,'🏢 CLIENTES'!A:A,'🏢 CLIENTES'!B:B,""))</f>
        <v>Fibertec Engenharia LTDA</v>
      </c>
      <c r="J7" s="156">
        <v>15000</v>
      </c>
      <c r="K7" s="60">
        <v>45667</v>
      </c>
      <c r="L7" s="156">
        <v>15000</v>
      </c>
      <c r="M7" s="156">
        <f t="shared" si="0"/>
        <v>0</v>
      </c>
      <c r="N7" s="59" t="s">
        <v>439</v>
      </c>
      <c r="O7" s="20" t="s">
        <v>440</v>
      </c>
      <c r="P7" s="62"/>
    </row>
    <row r="8" spans="1:16" ht="18" customHeight="1" x14ac:dyDescent="0.25">
      <c r="A8" s="59">
        <v>5</v>
      </c>
      <c r="B8" s="58">
        <v>45627</v>
      </c>
      <c r="C8" s="59">
        <v>1</v>
      </c>
      <c r="D8" s="59">
        <v>6</v>
      </c>
      <c r="E8" s="59">
        <v>1</v>
      </c>
      <c r="F8" s="59">
        <v>259</v>
      </c>
      <c r="G8" s="60">
        <v>45659</v>
      </c>
      <c r="H8" s="60">
        <v>45687</v>
      </c>
      <c r="I8" s="59" t="str">
        <f>IF(E8="","",_xlfn.XLOOKUP(E8,'🏢 CLIENTES'!A:A,'🏢 CLIENTES'!B:B,""))</f>
        <v>Celebre Obras e Servicos LTDA</v>
      </c>
      <c r="J8" s="156">
        <v>20000</v>
      </c>
      <c r="K8" s="60">
        <v>45687</v>
      </c>
      <c r="L8" s="156">
        <v>20000</v>
      </c>
      <c r="M8" s="156">
        <f t="shared" si="0"/>
        <v>0</v>
      </c>
      <c r="N8" s="59" t="s">
        <v>441</v>
      </c>
      <c r="O8" s="20" t="s">
        <v>440</v>
      </c>
      <c r="P8" s="59"/>
    </row>
    <row r="9" spans="1:16" ht="18" customHeight="1" x14ac:dyDescent="0.25">
      <c r="A9" s="59">
        <v>7</v>
      </c>
      <c r="B9" s="58">
        <v>45627</v>
      </c>
      <c r="C9" s="59">
        <v>1</v>
      </c>
      <c r="D9" s="59">
        <v>15</v>
      </c>
      <c r="E9" s="59">
        <v>1</v>
      </c>
      <c r="F9" s="59">
        <v>261</v>
      </c>
      <c r="G9" s="60">
        <v>45659</v>
      </c>
      <c r="H9" s="60">
        <v>45691</v>
      </c>
      <c r="I9" s="59" t="str">
        <f>IF(E9="","",_xlfn.XLOOKUP(E9,'🏢 CLIENTES'!A:A,'🏢 CLIENTES'!B:B,""))</f>
        <v>Celebre Obras e Servicos LTDA</v>
      </c>
      <c r="J9" s="156">
        <v>16000</v>
      </c>
      <c r="K9" s="60">
        <v>45705</v>
      </c>
      <c r="L9" s="156">
        <v>16000</v>
      </c>
      <c r="M9" s="156">
        <f t="shared" si="0"/>
        <v>0</v>
      </c>
      <c r="N9" s="59" t="s">
        <v>441</v>
      </c>
      <c r="O9" s="114" t="s">
        <v>440</v>
      </c>
      <c r="P9" s="62"/>
    </row>
    <row r="10" spans="1:16" ht="18" customHeight="1" x14ac:dyDescent="0.25">
      <c r="A10" s="59">
        <v>9</v>
      </c>
      <c r="B10" s="58">
        <v>45658</v>
      </c>
      <c r="C10" s="59">
        <v>1</v>
      </c>
      <c r="D10" s="59" t="s">
        <v>390</v>
      </c>
      <c r="E10" s="59">
        <v>9</v>
      </c>
      <c r="F10" s="59">
        <v>264</v>
      </c>
      <c r="G10" s="60">
        <v>45691</v>
      </c>
      <c r="H10" s="60">
        <v>45693</v>
      </c>
      <c r="I10" s="59" t="str">
        <f>IF(E10="","",_xlfn.XLOOKUP(E10,'🏢 CLIENTES'!A:A,'🏢 CLIENTES'!B:B,""))</f>
        <v>Polemica Servicos Basicos LTDA</v>
      </c>
      <c r="J10" s="156">
        <v>30300</v>
      </c>
      <c r="K10" s="60">
        <v>45693</v>
      </c>
      <c r="L10" s="156">
        <v>30300</v>
      </c>
      <c r="M10" s="156">
        <f t="shared" si="0"/>
        <v>0</v>
      </c>
      <c r="N10" s="59" t="s">
        <v>439</v>
      </c>
      <c r="O10" s="20" t="s">
        <v>440</v>
      </c>
      <c r="P10" s="59"/>
    </row>
    <row r="11" spans="1:16" ht="18" customHeight="1" x14ac:dyDescent="0.25">
      <c r="A11" s="62">
        <v>10</v>
      </c>
      <c r="B11" s="61">
        <v>45658</v>
      </c>
      <c r="C11" s="62">
        <v>1</v>
      </c>
      <c r="D11" s="62">
        <v>20</v>
      </c>
      <c r="E11" s="62">
        <v>8</v>
      </c>
      <c r="F11" s="62">
        <v>266</v>
      </c>
      <c r="G11" s="63">
        <v>45691</v>
      </c>
      <c r="H11" s="63">
        <v>45693</v>
      </c>
      <c r="I11" s="62" t="str">
        <f>IF(E11="","",_xlfn.XLOOKUP(E11,'🏢 CLIENTES'!A:A,'🏢 CLIENTES'!B:B,""))</f>
        <v>Consorcio Global Franca</v>
      </c>
      <c r="J11" s="157">
        <v>12000</v>
      </c>
      <c r="K11" s="63">
        <v>45693</v>
      </c>
      <c r="L11" s="157">
        <v>12000</v>
      </c>
      <c r="M11" s="157">
        <f t="shared" si="0"/>
        <v>0</v>
      </c>
      <c r="N11" s="62" t="s">
        <v>439</v>
      </c>
      <c r="O11" s="20" t="s">
        <v>440</v>
      </c>
      <c r="P11" s="62"/>
    </row>
    <row r="12" spans="1:16" ht="18" customHeight="1" x14ac:dyDescent="0.25">
      <c r="A12" s="62">
        <v>12</v>
      </c>
      <c r="B12" s="61">
        <v>45658</v>
      </c>
      <c r="C12" s="62">
        <v>1</v>
      </c>
      <c r="D12" s="62" t="s">
        <v>384</v>
      </c>
      <c r="E12" s="62">
        <v>11</v>
      </c>
      <c r="F12" s="62">
        <v>265</v>
      </c>
      <c r="G12" s="63">
        <v>45691</v>
      </c>
      <c r="H12" s="63">
        <v>45693</v>
      </c>
      <c r="I12" s="62" t="str">
        <f>IF(E12="","",_xlfn.XLOOKUP(E12,'🏢 CLIENTES'!A:A,'🏢 CLIENTES'!B:B,""))</f>
        <v>Zigurate Construcao LTDA</v>
      </c>
      <c r="J12" s="157">
        <v>22000</v>
      </c>
      <c r="K12" s="63">
        <v>45705</v>
      </c>
      <c r="L12" s="157">
        <v>24384.799999999999</v>
      </c>
      <c r="M12" s="157">
        <f t="shared" si="0"/>
        <v>2384.7999999999993</v>
      </c>
      <c r="N12" s="62" t="s">
        <v>439</v>
      </c>
      <c r="O12" s="20" t="s">
        <v>440</v>
      </c>
      <c r="P12" s="59"/>
    </row>
    <row r="13" spans="1:16" ht="18" customHeight="1" x14ac:dyDescent="0.25">
      <c r="A13" s="59">
        <v>11</v>
      </c>
      <c r="B13" s="58">
        <v>45658</v>
      </c>
      <c r="C13" s="59">
        <v>1</v>
      </c>
      <c r="D13" s="59">
        <v>16</v>
      </c>
      <c r="E13" s="59">
        <v>7</v>
      </c>
      <c r="F13" s="59">
        <v>263</v>
      </c>
      <c r="G13" s="60">
        <v>45691</v>
      </c>
      <c r="H13" s="60">
        <v>45698</v>
      </c>
      <c r="I13" s="59" t="str">
        <f>IF(E13="","",_xlfn.XLOOKUP(E13,'🏢 CLIENTES'!A:A,'🏢 CLIENTES'!B:B,""))</f>
        <v>Fibertec Engenharia LTDA</v>
      </c>
      <c r="J13" s="156">
        <v>15000</v>
      </c>
      <c r="K13" s="60">
        <v>45702</v>
      </c>
      <c r="L13" s="156">
        <v>15759.76</v>
      </c>
      <c r="M13" s="156">
        <f t="shared" si="0"/>
        <v>759.76000000000022</v>
      </c>
      <c r="N13" s="59" t="s">
        <v>441</v>
      </c>
      <c r="O13" s="20" t="s">
        <v>440</v>
      </c>
      <c r="P13" s="62"/>
    </row>
    <row r="14" spans="1:16" ht="18" customHeight="1" x14ac:dyDescent="0.25">
      <c r="A14" s="62">
        <v>14</v>
      </c>
      <c r="B14" s="61">
        <v>45658</v>
      </c>
      <c r="C14" s="62">
        <v>1</v>
      </c>
      <c r="D14" s="62">
        <v>19</v>
      </c>
      <c r="E14" s="62">
        <v>7</v>
      </c>
      <c r="F14" s="62">
        <v>267</v>
      </c>
      <c r="G14" s="63">
        <v>45698</v>
      </c>
      <c r="H14" s="63">
        <v>45708</v>
      </c>
      <c r="I14" s="62" t="str">
        <f>IF(E14="","",_xlfn.XLOOKUP(E14,'🏢 CLIENTES'!A:A,'🏢 CLIENTES'!B:B,""))</f>
        <v>Fibertec Engenharia LTDA</v>
      </c>
      <c r="J14" s="157">
        <v>8800</v>
      </c>
      <c r="K14" s="63">
        <v>45708</v>
      </c>
      <c r="L14" s="157">
        <v>8800</v>
      </c>
      <c r="M14" s="157">
        <f t="shared" si="0"/>
        <v>0</v>
      </c>
      <c r="N14" s="62" t="s">
        <v>439</v>
      </c>
      <c r="O14" s="20" t="s">
        <v>440</v>
      </c>
      <c r="P14" s="59"/>
    </row>
    <row r="15" spans="1:16" ht="18" customHeight="1" x14ac:dyDescent="0.25">
      <c r="A15" s="59">
        <v>13</v>
      </c>
      <c r="B15" s="58">
        <v>45658</v>
      </c>
      <c r="C15" s="59">
        <v>1</v>
      </c>
      <c r="D15" s="59">
        <v>6</v>
      </c>
      <c r="E15" s="59">
        <v>1</v>
      </c>
      <c r="F15" s="59">
        <v>268</v>
      </c>
      <c r="G15" s="60">
        <v>45691</v>
      </c>
      <c r="H15" s="60">
        <v>45716</v>
      </c>
      <c r="I15" s="59" t="str">
        <f>IF(E15="","",_xlfn.XLOOKUP(E15,'🏢 CLIENTES'!A:A,'🏢 CLIENTES'!B:B,""))</f>
        <v>Celebre Obras e Servicos LTDA</v>
      </c>
      <c r="J15" s="156">
        <v>20000</v>
      </c>
      <c r="K15" s="60">
        <v>45716</v>
      </c>
      <c r="L15" s="156">
        <v>20000</v>
      </c>
      <c r="M15" s="156">
        <f t="shared" si="0"/>
        <v>0</v>
      </c>
      <c r="N15" s="59" t="s">
        <v>439</v>
      </c>
      <c r="O15" s="20" t="s">
        <v>440</v>
      </c>
      <c r="P15" s="62"/>
    </row>
    <row r="16" spans="1:16" ht="18" customHeight="1" x14ac:dyDescent="0.25">
      <c r="A16" s="59">
        <v>15</v>
      </c>
      <c r="B16" s="58">
        <v>45658</v>
      </c>
      <c r="C16" s="59">
        <v>1</v>
      </c>
      <c r="D16" s="59">
        <v>7</v>
      </c>
      <c r="E16" s="59">
        <v>2</v>
      </c>
      <c r="F16" s="59">
        <v>269</v>
      </c>
      <c r="G16" s="60">
        <v>45698</v>
      </c>
      <c r="H16" s="60">
        <v>45716</v>
      </c>
      <c r="I16" s="59" t="str">
        <f>IF(E16="","",_xlfn.XLOOKUP(E16,'🏢 CLIENTES'!A:A,'🏢 CLIENTES'!B:B,""))</f>
        <v>Jwr Construcoes LTDA</v>
      </c>
      <c r="J16" s="156">
        <v>2126.67</v>
      </c>
      <c r="K16" s="60">
        <v>45716</v>
      </c>
      <c r="L16" s="156">
        <v>2126.67</v>
      </c>
      <c r="M16" s="156">
        <f t="shared" si="0"/>
        <v>0</v>
      </c>
      <c r="N16" s="59" t="s">
        <v>439</v>
      </c>
      <c r="O16" s="20" t="s">
        <v>440</v>
      </c>
      <c r="P16" s="59"/>
    </row>
    <row r="17" spans="1:16" ht="18" customHeight="1" x14ac:dyDescent="0.25">
      <c r="A17" s="62">
        <v>16</v>
      </c>
      <c r="B17" s="61">
        <v>45658</v>
      </c>
      <c r="C17" s="62">
        <v>1</v>
      </c>
      <c r="D17" s="62">
        <v>21</v>
      </c>
      <c r="E17" s="62">
        <v>1</v>
      </c>
      <c r="F17" s="62">
        <v>270</v>
      </c>
      <c r="G17" s="63">
        <v>45705</v>
      </c>
      <c r="H17" s="63">
        <v>45719</v>
      </c>
      <c r="I17" s="62" t="str">
        <f>IF(E17="","",_xlfn.XLOOKUP(E17,'🏢 CLIENTES'!A:A,'🏢 CLIENTES'!B:B,""))</f>
        <v>Celebre Obras e Servicos LTDA</v>
      </c>
      <c r="J17" s="157">
        <v>15466.67</v>
      </c>
      <c r="K17" s="63">
        <v>45728</v>
      </c>
      <c r="L17" s="157">
        <v>15466.67</v>
      </c>
      <c r="M17" s="157">
        <f t="shared" si="0"/>
        <v>0</v>
      </c>
      <c r="N17" s="62" t="s">
        <v>441</v>
      </c>
      <c r="O17" s="20" t="s">
        <v>440</v>
      </c>
      <c r="P17" s="62"/>
    </row>
    <row r="18" spans="1:16" ht="18" customHeight="1" x14ac:dyDescent="0.25">
      <c r="A18" s="59">
        <v>17</v>
      </c>
      <c r="B18" s="58">
        <v>45689</v>
      </c>
      <c r="C18" s="59">
        <v>1</v>
      </c>
      <c r="D18" s="59" t="s">
        <v>390</v>
      </c>
      <c r="E18" s="59">
        <v>9</v>
      </c>
      <c r="F18" s="59">
        <v>271</v>
      </c>
      <c r="G18" s="60">
        <v>45717</v>
      </c>
      <c r="H18" s="60">
        <v>45721</v>
      </c>
      <c r="I18" s="59" t="str">
        <f>IF(E18="","",_xlfn.XLOOKUP(E18,'🏢 CLIENTES'!A:A,'🏢 CLIENTES'!B:B,""))</f>
        <v>Polemica Servicos Basicos LTDA</v>
      </c>
      <c r="J18" s="156">
        <v>30300</v>
      </c>
      <c r="K18" s="60">
        <v>45721</v>
      </c>
      <c r="L18" s="156">
        <v>30300</v>
      </c>
      <c r="M18" s="156">
        <f t="shared" si="0"/>
        <v>0</v>
      </c>
      <c r="N18" s="59" t="s">
        <v>439</v>
      </c>
      <c r="O18" s="20" t="s">
        <v>440</v>
      </c>
      <c r="P18" s="59"/>
    </row>
    <row r="19" spans="1:16" ht="18" customHeight="1" x14ac:dyDescent="0.25">
      <c r="A19" s="62">
        <v>18</v>
      </c>
      <c r="B19" s="61">
        <v>45689</v>
      </c>
      <c r="C19" s="62">
        <v>1</v>
      </c>
      <c r="D19" s="62">
        <v>20</v>
      </c>
      <c r="E19" s="62">
        <v>8</v>
      </c>
      <c r="F19" s="62">
        <v>273</v>
      </c>
      <c r="G19" s="63">
        <v>45717</v>
      </c>
      <c r="H19" s="63">
        <v>45721</v>
      </c>
      <c r="I19" s="62" t="str">
        <f>IF(E19="","",_xlfn.XLOOKUP(E19,'🏢 CLIENTES'!A:A,'🏢 CLIENTES'!B:B,""))</f>
        <v>Consorcio Global Franca</v>
      </c>
      <c r="J19" s="157">
        <v>11100</v>
      </c>
      <c r="K19" s="63">
        <v>45721</v>
      </c>
      <c r="L19" s="157">
        <v>11100</v>
      </c>
      <c r="M19" s="157">
        <f t="shared" si="0"/>
        <v>0</v>
      </c>
      <c r="N19" s="62" t="s">
        <v>439</v>
      </c>
      <c r="O19" s="20" t="s">
        <v>440</v>
      </c>
      <c r="P19" s="62"/>
    </row>
    <row r="20" spans="1:16" ht="18" customHeight="1" x14ac:dyDescent="0.25">
      <c r="A20" s="59">
        <v>19</v>
      </c>
      <c r="B20" s="58">
        <v>45689</v>
      </c>
      <c r="C20" s="59">
        <v>1</v>
      </c>
      <c r="D20" s="59">
        <v>16</v>
      </c>
      <c r="E20" s="59">
        <v>7</v>
      </c>
      <c r="F20" s="59">
        <v>274</v>
      </c>
      <c r="G20" s="60">
        <v>45717</v>
      </c>
      <c r="H20" s="60">
        <v>45726</v>
      </c>
      <c r="I20" s="59" t="str">
        <f>IF(E20="","",_xlfn.XLOOKUP(E20,'🏢 CLIENTES'!A:A,'🏢 CLIENTES'!B:B,""))</f>
        <v>Fibertec Engenharia LTDA</v>
      </c>
      <c r="J20" s="156">
        <v>15000</v>
      </c>
      <c r="K20" s="60">
        <v>45726</v>
      </c>
      <c r="L20" s="156">
        <v>15000</v>
      </c>
      <c r="M20" s="156">
        <f t="shared" si="0"/>
        <v>0</v>
      </c>
      <c r="N20" s="59" t="s">
        <v>439</v>
      </c>
      <c r="O20" s="20" t="s">
        <v>440</v>
      </c>
      <c r="P20" s="59"/>
    </row>
    <row r="21" spans="1:16" ht="18" customHeight="1" x14ac:dyDescent="0.25">
      <c r="A21" s="62">
        <v>20</v>
      </c>
      <c r="B21" s="61">
        <v>45689</v>
      </c>
      <c r="C21" s="62">
        <v>1</v>
      </c>
      <c r="D21" s="62" t="s">
        <v>384</v>
      </c>
      <c r="E21" s="62">
        <v>11</v>
      </c>
      <c r="F21" s="62">
        <v>272</v>
      </c>
      <c r="G21" s="63">
        <v>45717</v>
      </c>
      <c r="H21" s="63">
        <v>45726</v>
      </c>
      <c r="I21" s="62" t="str">
        <f>IF(E21="","",_xlfn.XLOOKUP(E21,'🏢 CLIENTES'!A:A,'🏢 CLIENTES'!B:B,""))</f>
        <v>Zigurate Construcao LTDA</v>
      </c>
      <c r="J21" s="157">
        <v>22000</v>
      </c>
      <c r="K21" s="63">
        <v>45735</v>
      </c>
      <c r="L21" s="157">
        <v>23100</v>
      </c>
      <c r="M21" s="157">
        <f t="shared" si="0"/>
        <v>1100</v>
      </c>
      <c r="N21" s="62" t="s">
        <v>441</v>
      </c>
      <c r="O21" s="20" t="s">
        <v>440</v>
      </c>
      <c r="P21" s="62"/>
    </row>
    <row r="22" spans="1:16" ht="18" customHeight="1" x14ac:dyDescent="0.25">
      <c r="A22" s="62">
        <v>22</v>
      </c>
      <c r="B22" s="61">
        <v>45689</v>
      </c>
      <c r="C22" s="62">
        <v>1</v>
      </c>
      <c r="D22" s="62">
        <v>19</v>
      </c>
      <c r="E22" s="62">
        <v>7</v>
      </c>
      <c r="F22" s="62">
        <v>275</v>
      </c>
      <c r="G22" s="63">
        <v>45721</v>
      </c>
      <c r="H22" s="63">
        <v>45736</v>
      </c>
      <c r="I22" s="62" t="str">
        <f>IF(E22="","",_xlfn.XLOOKUP(E22,'🏢 CLIENTES'!A:A,'🏢 CLIENTES'!B:B,""))</f>
        <v>Fibertec Engenharia LTDA</v>
      </c>
      <c r="J22" s="157">
        <v>12000</v>
      </c>
      <c r="K22" s="63">
        <v>45750</v>
      </c>
      <c r="L22" s="157">
        <v>12000</v>
      </c>
      <c r="M22" s="157">
        <f t="shared" si="0"/>
        <v>0</v>
      </c>
      <c r="N22" s="62" t="s">
        <v>439</v>
      </c>
      <c r="O22" s="20" t="s">
        <v>440</v>
      </c>
      <c r="P22" s="59"/>
    </row>
    <row r="23" spans="1:16" ht="18" customHeight="1" x14ac:dyDescent="0.25">
      <c r="A23" s="59">
        <v>21</v>
      </c>
      <c r="B23" s="58">
        <v>45689</v>
      </c>
      <c r="C23" s="59">
        <v>1</v>
      </c>
      <c r="D23" s="59">
        <v>6</v>
      </c>
      <c r="E23" s="59">
        <v>1</v>
      </c>
      <c r="F23" s="59">
        <v>276</v>
      </c>
      <c r="G23" s="60">
        <v>45721</v>
      </c>
      <c r="H23" s="60">
        <v>45747</v>
      </c>
      <c r="I23" s="59" t="str">
        <f>IF(E23="","",_xlfn.XLOOKUP(E23,'🏢 CLIENTES'!A:A,'🏢 CLIENTES'!B:B,""))</f>
        <v>Celebre Obras e Servicos LTDA</v>
      </c>
      <c r="J23" s="156">
        <v>20000</v>
      </c>
      <c r="K23" s="60">
        <v>45747</v>
      </c>
      <c r="L23" s="156">
        <v>20000</v>
      </c>
      <c r="M23" s="156">
        <f t="shared" si="0"/>
        <v>0</v>
      </c>
      <c r="N23" s="59" t="s">
        <v>441</v>
      </c>
      <c r="O23" s="20" t="s">
        <v>440</v>
      </c>
      <c r="P23" s="62"/>
    </row>
    <row r="24" spans="1:16" ht="18" customHeight="1" x14ac:dyDescent="0.25">
      <c r="A24" s="59">
        <v>23</v>
      </c>
      <c r="B24" s="58">
        <v>45689</v>
      </c>
      <c r="C24" s="59">
        <v>1</v>
      </c>
      <c r="D24" s="59">
        <v>21</v>
      </c>
      <c r="E24" s="59">
        <v>1</v>
      </c>
      <c r="F24" s="59">
        <v>277</v>
      </c>
      <c r="G24" s="60">
        <v>45733</v>
      </c>
      <c r="H24" s="60">
        <v>45748</v>
      </c>
      <c r="I24" s="59" t="str">
        <f>IF(E24="","",_xlfn.XLOOKUP(E24,'🏢 CLIENTES'!A:A,'🏢 CLIENTES'!B:B,""))</f>
        <v>Celebre Obras e Servicos LTDA</v>
      </c>
      <c r="J24" s="156">
        <v>16000</v>
      </c>
      <c r="K24" s="60">
        <v>45754</v>
      </c>
      <c r="L24" s="156">
        <v>16000</v>
      </c>
      <c r="M24" s="156">
        <f t="shared" si="0"/>
        <v>0</v>
      </c>
      <c r="N24" s="59" t="s">
        <v>441</v>
      </c>
      <c r="O24" s="20" t="s">
        <v>440</v>
      </c>
      <c r="P24" s="59"/>
    </row>
    <row r="25" spans="1:16" ht="18" customHeight="1" x14ac:dyDescent="0.25">
      <c r="A25" s="62">
        <v>24</v>
      </c>
      <c r="B25" s="61">
        <v>45717</v>
      </c>
      <c r="C25" s="62">
        <v>1</v>
      </c>
      <c r="D25" s="62" t="s">
        <v>390</v>
      </c>
      <c r="E25" s="62">
        <v>9</v>
      </c>
      <c r="F25" s="62">
        <v>278</v>
      </c>
      <c r="G25" s="63">
        <v>45748</v>
      </c>
      <c r="H25" s="63">
        <v>45752</v>
      </c>
      <c r="I25" s="62" t="str">
        <f>IF(E25="","",_xlfn.XLOOKUP(E25,'🏢 CLIENTES'!A:A,'🏢 CLIENTES'!B:B,""))</f>
        <v>Polemica Servicos Basicos LTDA</v>
      </c>
      <c r="J25" s="157">
        <v>30300</v>
      </c>
      <c r="K25" s="63">
        <v>45752</v>
      </c>
      <c r="L25" s="157">
        <v>30300</v>
      </c>
      <c r="M25" s="157">
        <f t="shared" si="0"/>
        <v>0</v>
      </c>
      <c r="N25" s="62" t="s">
        <v>439</v>
      </c>
      <c r="O25" s="20" t="s">
        <v>440</v>
      </c>
      <c r="P25" s="62"/>
    </row>
    <row r="26" spans="1:16" ht="18" customHeight="1" x14ac:dyDescent="0.25">
      <c r="A26" s="59">
        <v>25</v>
      </c>
      <c r="B26" s="58">
        <v>45717</v>
      </c>
      <c r="C26" s="59">
        <v>1</v>
      </c>
      <c r="D26" s="59">
        <v>20</v>
      </c>
      <c r="E26" s="59">
        <v>8</v>
      </c>
      <c r="F26" s="59">
        <v>280</v>
      </c>
      <c r="G26" s="60">
        <v>45748</v>
      </c>
      <c r="H26" s="60">
        <v>45755</v>
      </c>
      <c r="I26" s="59" t="str">
        <f>IF(E26="","",_xlfn.XLOOKUP(E26,'🏢 CLIENTES'!A:A,'🏢 CLIENTES'!B:B,""))</f>
        <v>Consorcio Global Franca</v>
      </c>
      <c r="J26" s="156">
        <v>12000</v>
      </c>
      <c r="K26" s="60">
        <v>45755</v>
      </c>
      <c r="L26" s="156">
        <v>12000</v>
      </c>
      <c r="M26" s="156">
        <f t="shared" si="0"/>
        <v>0</v>
      </c>
      <c r="N26" s="59" t="s">
        <v>439</v>
      </c>
      <c r="O26" s="20" t="s">
        <v>440</v>
      </c>
      <c r="P26" s="59"/>
    </row>
    <row r="27" spans="1:16" ht="18" customHeight="1" x14ac:dyDescent="0.25">
      <c r="A27" s="62">
        <v>26</v>
      </c>
      <c r="B27" s="61">
        <v>45717</v>
      </c>
      <c r="C27" s="62">
        <v>1</v>
      </c>
      <c r="D27" s="62">
        <v>16</v>
      </c>
      <c r="E27" s="62">
        <v>7</v>
      </c>
      <c r="F27" s="62">
        <v>282</v>
      </c>
      <c r="G27" s="63">
        <v>45748</v>
      </c>
      <c r="H27" s="63">
        <v>45757</v>
      </c>
      <c r="I27" s="62" t="str">
        <f>IF(E27="","",_xlfn.XLOOKUP(E27,'🏢 CLIENTES'!A:A,'🏢 CLIENTES'!B:B,""))</f>
        <v>Fibertec Engenharia LTDA</v>
      </c>
      <c r="J27" s="157">
        <v>15000</v>
      </c>
      <c r="K27" s="63">
        <v>45757</v>
      </c>
      <c r="L27" s="157">
        <v>15000</v>
      </c>
      <c r="M27" s="157">
        <f t="shared" si="0"/>
        <v>0</v>
      </c>
      <c r="N27" s="62" t="s">
        <v>439</v>
      </c>
      <c r="O27" s="20" t="s">
        <v>440</v>
      </c>
      <c r="P27" s="62"/>
    </row>
    <row r="28" spans="1:16" ht="18" customHeight="1" x14ac:dyDescent="0.25">
      <c r="A28" s="59">
        <v>27</v>
      </c>
      <c r="B28" s="58">
        <v>45717</v>
      </c>
      <c r="C28" s="59">
        <v>1</v>
      </c>
      <c r="D28" s="59" t="s">
        <v>384</v>
      </c>
      <c r="E28" s="59">
        <v>11</v>
      </c>
      <c r="F28" s="59">
        <v>279</v>
      </c>
      <c r="G28" s="60">
        <v>45748</v>
      </c>
      <c r="H28" s="60">
        <v>45757</v>
      </c>
      <c r="I28" s="59" t="str">
        <f>IF(E28="","",_xlfn.XLOOKUP(E28,'🏢 CLIENTES'!A:A,'🏢 CLIENTES'!B:B,""))</f>
        <v>Zigurate Construcao LTDA</v>
      </c>
      <c r="J28" s="156">
        <v>22000</v>
      </c>
      <c r="K28" s="60">
        <v>45763</v>
      </c>
      <c r="L28" s="156">
        <v>24273.32</v>
      </c>
      <c r="M28" s="156">
        <f t="shared" si="0"/>
        <v>2273.3199999999997</v>
      </c>
      <c r="N28" s="59" t="s">
        <v>439</v>
      </c>
      <c r="O28" s="20" t="s">
        <v>440</v>
      </c>
      <c r="P28" s="59"/>
    </row>
    <row r="29" spans="1:16" ht="18" customHeight="1" x14ac:dyDescent="0.25">
      <c r="A29" s="62">
        <v>28</v>
      </c>
      <c r="B29" s="61">
        <v>45717</v>
      </c>
      <c r="C29" s="62">
        <v>1</v>
      </c>
      <c r="D29" s="62">
        <v>19</v>
      </c>
      <c r="E29" s="62">
        <v>7</v>
      </c>
      <c r="F29" s="62">
        <v>283</v>
      </c>
      <c r="G29" s="63">
        <v>45748</v>
      </c>
      <c r="H29" s="63">
        <v>45767</v>
      </c>
      <c r="I29" s="62" t="str">
        <f>IF(E29="","",_xlfn.XLOOKUP(E29,'🏢 CLIENTES'!A:A,'🏢 CLIENTES'!B:B,""))</f>
        <v>Fibertec Engenharia LTDA</v>
      </c>
      <c r="J29" s="157">
        <v>3200</v>
      </c>
      <c r="K29" s="63">
        <v>45770</v>
      </c>
      <c r="L29" s="157">
        <v>3200</v>
      </c>
      <c r="M29" s="157">
        <f t="shared" si="0"/>
        <v>0</v>
      </c>
      <c r="N29" s="62" t="s">
        <v>439</v>
      </c>
      <c r="O29" s="20" t="s">
        <v>440</v>
      </c>
      <c r="P29" s="62"/>
    </row>
    <row r="30" spans="1:16" ht="18" customHeight="1" x14ac:dyDescent="0.25">
      <c r="A30" s="59">
        <v>29</v>
      </c>
      <c r="B30" s="58">
        <v>45717</v>
      </c>
      <c r="C30" s="59">
        <v>1</v>
      </c>
      <c r="D30" s="59">
        <v>6</v>
      </c>
      <c r="E30" s="59">
        <v>1</v>
      </c>
      <c r="F30" s="59">
        <v>281</v>
      </c>
      <c r="G30" s="60">
        <v>45748</v>
      </c>
      <c r="H30" s="60">
        <v>45777</v>
      </c>
      <c r="I30" s="59" t="str">
        <f>IF(E30="","",_xlfn.XLOOKUP(E30,'🏢 CLIENTES'!A:A,'🏢 CLIENTES'!B:B,""))</f>
        <v>Celebre Obras e Servicos LTDA</v>
      </c>
      <c r="J30" s="156">
        <v>20000</v>
      </c>
      <c r="K30" s="60">
        <v>45777</v>
      </c>
      <c r="L30" s="156">
        <v>20000</v>
      </c>
      <c r="M30" s="156">
        <f t="shared" si="0"/>
        <v>0</v>
      </c>
      <c r="N30" s="59" t="s">
        <v>441</v>
      </c>
      <c r="O30" s="20" t="s">
        <v>440</v>
      </c>
      <c r="P30" s="59"/>
    </row>
    <row r="31" spans="1:16" ht="18" customHeight="1" x14ac:dyDescent="0.25">
      <c r="A31" s="62">
        <v>30</v>
      </c>
      <c r="B31" s="61">
        <v>45717</v>
      </c>
      <c r="C31" s="62">
        <v>1</v>
      </c>
      <c r="D31" s="62">
        <v>22</v>
      </c>
      <c r="E31" s="62">
        <v>1</v>
      </c>
      <c r="F31" s="62">
        <v>284</v>
      </c>
      <c r="G31" s="63">
        <v>45764</v>
      </c>
      <c r="H31" s="63">
        <v>45778</v>
      </c>
      <c r="I31" s="62" t="str">
        <f>IF(E31="","",_xlfn.XLOOKUP(E31,'🏢 CLIENTES'!A:A,'🏢 CLIENTES'!B:B,""))</f>
        <v>Celebre Obras e Servicos LTDA</v>
      </c>
      <c r="J31" s="157">
        <v>17000</v>
      </c>
      <c r="K31" s="63">
        <v>45783</v>
      </c>
      <c r="L31" s="157">
        <v>17000</v>
      </c>
      <c r="M31" s="157">
        <f t="shared" si="0"/>
        <v>0</v>
      </c>
      <c r="N31" s="62" t="s">
        <v>441</v>
      </c>
      <c r="O31" s="20" t="s">
        <v>440</v>
      </c>
      <c r="P31" s="62"/>
    </row>
    <row r="32" spans="1:16" ht="18" customHeight="1" x14ac:dyDescent="0.25">
      <c r="A32" s="59">
        <v>31</v>
      </c>
      <c r="B32" s="58">
        <v>45748</v>
      </c>
      <c r="C32" s="59">
        <v>1</v>
      </c>
      <c r="D32" s="59" t="s">
        <v>390</v>
      </c>
      <c r="E32" s="59">
        <v>9</v>
      </c>
      <c r="F32" s="59">
        <v>285</v>
      </c>
      <c r="G32" s="60">
        <v>45778</v>
      </c>
      <c r="H32" s="60">
        <v>45782</v>
      </c>
      <c r="I32" s="59" t="str">
        <f>IF(E32="","",_xlfn.XLOOKUP(E32,'🏢 CLIENTES'!A:A,'🏢 CLIENTES'!B:B,""))</f>
        <v>Polemica Servicos Basicos LTDA</v>
      </c>
      <c r="J32" s="156">
        <v>30300</v>
      </c>
      <c r="K32" s="60">
        <v>45782</v>
      </c>
      <c r="L32" s="156">
        <v>30300</v>
      </c>
      <c r="M32" s="156">
        <f t="shared" si="0"/>
        <v>0</v>
      </c>
      <c r="N32" s="59" t="s">
        <v>439</v>
      </c>
      <c r="O32" s="20" t="s">
        <v>440</v>
      </c>
      <c r="P32" s="59"/>
    </row>
    <row r="33" spans="1:16" ht="18" customHeight="1" x14ac:dyDescent="0.25">
      <c r="A33" s="62">
        <v>32</v>
      </c>
      <c r="B33" s="61">
        <v>45748</v>
      </c>
      <c r="C33" s="62">
        <v>1</v>
      </c>
      <c r="D33" s="62">
        <v>20</v>
      </c>
      <c r="E33" s="62">
        <v>8</v>
      </c>
      <c r="F33" s="62">
        <v>287</v>
      </c>
      <c r="G33" s="63">
        <v>45778</v>
      </c>
      <c r="H33" s="63">
        <v>45785</v>
      </c>
      <c r="I33" s="62" t="str">
        <f>IF(E33="","",_xlfn.XLOOKUP(E33,'🏢 CLIENTES'!A:A,'🏢 CLIENTES'!B:B,""))</f>
        <v>Consorcio Global Franca</v>
      </c>
      <c r="J33" s="157">
        <v>12000</v>
      </c>
      <c r="K33" s="63">
        <v>45785</v>
      </c>
      <c r="L33" s="157">
        <v>12000</v>
      </c>
      <c r="M33" s="157">
        <f t="shared" si="0"/>
        <v>0</v>
      </c>
      <c r="N33" s="62" t="s">
        <v>439</v>
      </c>
      <c r="O33" s="20" t="s">
        <v>440</v>
      </c>
      <c r="P33" s="62"/>
    </row>
    <row r="34" spans="1:16" ht="18" customHeight="1" x14ac:dyDescent="0.25">
      <c r="A34" s="62">
        <v>34</v>
      </c>
      <c r="B34" s="61">
        <v>45748</v>
      </c>
      <c r="C34" s="62">
        <v>1</v>
      </c>
      <c r="D34" s="62" t="s">
        <v>384</v>
      </c>
      <c r="E34" s="62">
        <v>11</v>
      </c>
      <c r="F34" s="62">
        <v>286</v>
      </c>
      <c r="G34" s="63">
        <v>45778</v>
      </c>
      <c r="H34" s="63">
        <v>45786</v>
      </c>
      <c r="I34" s="62" t="str">
        <f>IF(E34="","",_xlfn.XLOOKUP(E34,'🏢 CLIENTES'!A:A,'🏢 CLIENTES'!B:B,""))</f>
        <v>Zigurate Construcao LTDA</v>
      </c>
      <c r="J34" s="157">
        <v>24000</v>
      </c>
      <c r="K34" s="63">
        <v>45796</v>
      </c>
      <c r="L34" s="157">
        <v>26560</v>
      </c>
      <c r="M34" s="157">
        <f t="shared" ref="M34:M65" si="1">IF(OR(L34=0,L34=""),0,L34-J34)</f>
        <v>2560</v>
      </c>
      <c r="N34" s="62" t="s">
        <v>439</v>
      </c>
      <c r="O34" s="20" t="s">
        <v>440</v>
      </c>
      <c r="P34" s="59"/>
    </row>
    <row r="35" spans="1:16" ht="18" customHeight="1" x14ac:dyDescent="0.25">
      <c r="A35" s="59">
        <v>33</v>
      </c>
      <c r="B35" s="58">
        <v>45748</v>
      </c>
      <c r="C35" s="59">
        <v>1</v>
      </c>
      <c r="D35" s="59">
        <v>16</v>
      </c>
      <c r="E35" s="59">
        <v>7</v>
      </c>
      <c r="F35" s="59">
        <v>289</v>
      </c>
      <c r="G35" s="60">
        <v>45778</v>
      </c>
      <c r="H35" s="60">
        <v>45787</v>
      </c>
      <c r="I35" s="59" t="str">
        <f>IF(E35="","",_xlfn.XLOOKUP(E35,'🏢 CLIENTES'!A:A,'🏢 CLIENTES'!B:B,""))</f>
        <v>Fibertec Engenharia LTDA</v>
      </c>
      <c r="J35" s="156">
        <v>15000</v>
      </c>
      <c r="K35" s="60">
        <v>45792</v>
      </c>
      <c r="L35" s="156">
        <v>16560</v>
      </c>
      <c r="M35" s="156">
        <f t="shared" si="1"/>
        <v>1560</v>
      </c>
      <c r="N35" s="59" t="s">
        <v>441</v>
      </c>
      <c r="O35" s="20" t="s">
        <v>440</v>
      </c>
      <c r="P35" s="62"/>
    </row>
    <row r="36" spans="1:16" ht="18" customHeight="1" x14ac:dyDescent="0.25">
      <c r="A36" s="59">
        <v>35</v>
      </c>
      <c r="B36" s="58">
        <v>45748</v>
      </c>
      <c r="C36" s="59">
        <v>1</v>
      </c>
      <c r="D36" s="59">
        <v>23</v>
      </c>
      <c r="E36" s="59">
        <v>1</v>
      </c>
      <c r="F36" s="59">
        <v>288</v>
      </c>
      <c r="G36" s="60">
        <v>45778</v>
      </c>
      <c r="H36" s="60">
        <v>45807</v>
      </c>
      <c r="I36" s="59" t="str">
        <f>IF(E36="","",_xlfn.XLOOKUP(E36,'🏢 CLIENTES'!A:A,'🏢 CLIENTES'!B:B,""))</f>
        <v>Celebre Obras e Servicos LTDA</v>
      </c>
      <c r="J36" s="156">
        <v>21550</v>
      </c>
      <c r="K36" s="60">
        <v>45807</v>
      </c>
      <c r="L36" s="156">
        <v>21550</v>
      </c>
      <c r="M36" s="156">
        <f t="shared" si="1"/>
        <v>0</v>
      </c>
      <c r="N36" s="59" t="s">
        <v>441</v>
      </c>
      <c r="O36" s="20" t="s">
        <v>440</v>
      </c>
      <c r="P36" s="59"/>
    </row>
    <row r="37" spans="1:16" ht="18" customHeight="1" x14ac:dyDescent="0.25">
      <c r="A37" s="62">
        <v>36</v>
      </c>
      <c r="B37" s="61">
        <v>45748</v>
      </c>
      <c r="C37" s="62">
        <v>1</v>
      </c>
      <c r="D37" s="62">
        <v>22</v>
      </c>
      <c r="E37" s="62">
        <v>1</v>
      </c>
      <c r="F37" s="62">
        <v>290</v>
      </c>
      <c r="G37" s="63">
        <v>45793</v>
      </c>
      <c r="H37" s="63">
        <v>45809</v>
      </c>
      <c r="I37" s="62" t="str">
        <f>IF(E37="","",_xlfn.XLOOKUP(E37,'🏢 CLIENTES'!A:A,'🏢 CLIENTES'!B:B,""))</f>
        <v>Celebre Obras e Servicos LTDA</v>
      </c>
      <c r="J37" s="157">
        <v>17000</v>
      </c>
      <c r="K37" s="63">
        <v>45814</v>
      </c>
      <c r="L37" s="157">
        <v>17000</v>
      </c>
      <c r="M37" s="157">
        <f t="shared" si="1"/>
        <v>0</v>
      </c>
      <c r="N37" s="62" t="s">
        <v>441</v>
      </c>
      <c r="O37" s="20" t="s">
        <v>440</v>
      </c>
      <c r="P37" s="62"/>
    </row>
    <row r="38" spans="1:16" ht="18" customHeight="1" x14ac:dyDescent="0.25">
      <c r="A38" s="59">
        <v>37</v>
      </c>
      <c r="B38" s="58">
        <v>45778</v>
      </c>
      <c r="C38" s="59">
        <v>1</v>
      </c>
      <c r="D38" s="59" t="s">
        <v>443</v>
      </c>
      <c r="E38" s="59">
        <v>9</v>
      </c>
      <c r="F38" s="59">
        <v>291</v>
      </c>
      <c r="G38" s="60">
        <v>45809</v>
      </c>
      <c r="H38" s="60">
        <v>45813</v>
      </c>
      <c r="I38" s="59" t="str">
        <f>IF(E38="","",_xlfn.XLOOKUP(E38,'🏢 CLIENTES'!A:A,'🏢 CLIENTES'!B:B,""))</f>
        <v>Polemica Servicos Basicos LTDA</v>
      </c>
      <c r="J38" s="156">
        <v>32620</v>
      </c>
      <c r="K38" s="60">
        <v>45813</v>
      </c>
      <c r="L38" s="156">
        <v>32620</v>
      </c>
      <c r="M38" s="156">
        <f t="shared" si="1"/>
        <v>0</v>
      </c>
      <c r="N38" s="59" t="s">
        <v>439</v>
      </c>
      <c r="O38" s="20" t="s">
        <v>440</v>
      </c>
      <c r="P38" s="59"/>
    </row>
    <row r="39" spans="1:16" ht="18" customHeight="1" x14ac:dyDescent="0.25">
      <c r="A39" s="62">
        <v>38</v>
      </c>
      <c r="B39" s="61">
        <v>45778</v>
      </c>
      <c r="C39" s="62">
        <v>1</v>
      </c>
      <c r="D39" s="62">
        <v>20</v>
      </c>
      <c r="E39" s="62">
        <v>8</v>
      </c>
      <c r="F39" s="62">
        <v>293</v>
      </c>
      <c r="G39" s="63">
        <v>45809</v>
      </c>
      <c r="H39" s="63">
        <v>45816</v>
      </c>
      <c r="I39" s="62" t="str">
        <f>IF(E39="","",_xlfn.XLOOKUP(E39,'🏢 CLIENTES'!A:A,'🏢 CLIENTES'!B:B,""))</f>
        <v>Consorcio Global Franca</v>
      </c>
      <c r="J39" s="157">
        <v>9333.34</v>
      </c>
      <c r="K39" s="63">
        <v>45819</v>
      </c>
      <c r="L39" s="157">
        <v>9538.65</v>
      </c>
      <c r="M39" s="157">
        <f t="shared" si="1"/>
        <v>205.30999999999949</v>
      </c>
      <c r="N39" s="62" t="s">
        <v>439</v>
      </c>
      <c r="O39" s="20" t="s">
        <v>440</v>
      </c>
      <c r="P39" s="62"/>
    </row>
    <row r="40" spans="1:16" ht="18" customHeight="1" x14ac:dyDescent="0.25">
      <c r="A40" s="59">
        <v>39</v>
      </c>
      <c r="B40" s="58">
        <v>45778</v>
      </c>
      <c r="C40" s="59">
        <v>1</v>
      </c>
      <c r="D40" s="59" t="s">
        <v>384</v>
      </c>
      <c r="E40" s="59">
        <v>11</v>
      </c>
      <c r="F40" s="59">
        <v>292</v>
      </c>
      <c r="G40" s="60">
        <v>45809</v>
      </c>
      <c r="H40" s="60">
        <v>45817</v>
      </c>
      <c r="I40" s="59" t="str">
        <f>IF(E40="","",_xlfn.XLOOKUP(E40,'🏢 CLIENTES'!A:A,'🏢 CLIENTES'!B:B,""))</f>
        <v>Zigurate Construcao LTDA</v>
      </c>
      <c r="J40" s="156">
        <v>16000</v>
      </c>
      <c r="K40" s="60">
        <v>45825</v>
      </c>
      <c r="L40" s="156">
        <v>17685.28</v>
      </c>
      <c r="M40" s="156">
        <f t="shared" si="1"/>
        <v>1685.2799999999988</v>
      </c>
      <c r="N40" s="59" t="s">
        <v>441</v>
      </c>
      <c r="O40" s="20" t="s">
        <v>440</v>
      </c>
      <c r="P40" s="59"/>
    </row>
    <row r="41" spans="1:16" ht="18" customHeight="1" x14ac:dyDescent="0.25">
      <c r="A41" s="62">
        <v>40</v>
      </c>
      <c r="B41" s="61">
        <v>45778</v>
      </c>
      <c r="C41" s="62">
        <v>1</v>
      </c>
      <c r="D41" s="62">
        <v>16</v>
      </c>
      <c r="E41" s="62">
        <v>7</v>
      </c>
      <c r="F41" s="62">
        <v>295</v>
      </c>
      <c r="G41" s="63">
        <v>45809</v>
      </c>
      <c r="H41" s="63">
        <v>45818</v>
      </c>
      <c r="I41" s="62" t="str">
        <f>IF(E41="","",_xlfn.XLOOKUP(E41,'🏢 CLIENTES'!A:A,'🏢 CLIENTES'!B:B,""))</f>
        <v>Fibertec Engenharia LTDA</v>
      </c>
      <c r="J41" s="157">
        <v>15000</v>
      </c>
      <c r="K41" s="63">
        <v>45831</v>
      </c>
      <c r="L41" s="157">
        <v>16550</v>
      </c>
      <c r="M41" s="157">
        <f t="shared" si="1"/>
        <v>1550</v>
      </c>
      <c r="N41" s="62" t="s">
        <v>441</v>
      </c>
      <c r="O41" s="20" t="s">
        <v>440</v>
      </c>
      <c r="P41" s="62"/>
    </row>
    <row r="42" spans="1:16" ht="18" customHeight="1" x14ac:dyDescent="0.25">
      <c r="A42" s="59">
        <v>41</v>
      </c>
      <c r="B42" s="58">
        <v>45778</v>
      </c>
      <c r="C42" s="59">
        <v>1</v>
      </c>
      <c r="D42" s="59">
        <v>23</v>
      </c>
      <c r="E42" s="59">
        <v>1</v>
      </c>
      <c r="F42" s="59">
        <v>294</v>
      </c>
      <c r="G42" s="60">
        <v>45810</v>
      </c>
      <c r="H42" s="60">
        <v>45838</v>
      </c>
      <c r="I42" s="59" t="str">
        <f>IF(E42="","",_xlfn.XLOOKUP(E42,'🏢 CLIENTES'!A:A,'🏢 CLIENTES'!B:B,""))</f>
        <v>Celebre Obras e Servicos LTDA</v>
      </c>
      <c r="J42" s="156">
        <v>21550</v>
      </c>
      <c r="K42" s="60">
        <v>45838</v>
      </c>
      <c r="L42" s="156">
        <v>21550</v>
      </c>
      <c r="M42" s="156">
        <f t="shared" si="1"/>
        <v>0</v>
      </c>
      <c r="N42" s="59" t="s">
        <v>441</v>
      </c>
      <c r="O42" s="20" t="s">
        <v>440</v>
      </c>
      <c r="P42" s="59"/>
    </row>
    <row r="43" spans="1:16" ht="18" customHeight="1" x14ac:dyDescent="0.25">
      <c r="A43" s="62">
        <v>42</v>
      </c>
      <c r="B43" s="61">
        <v>45778</v>
      </c>
      <c r="C43" s="62">
        <v>1</v>
      </c>
      <c r="D43" s="62">
        <v>22</v>
      </c>
      <c r="E43" s="62">
        <v>1</v>
      </c>
      <c r="F43" s="62">
        <v>296</v>
      </c>
      <c r="G43" s="63">
        <v>45824</v>
      </c>
      <c r="H43" s="63">
        <v>45839</v>
      </c>
      <c r="I43" s="62" t="str">
        <f>IF(E43="","",_xlfn.XLOOKUP(E43,'🏢 CLIENTES'!A:A,'🏢 CLIENTES'!B:B,""))</f>
        <v>Celebre Obras e Servicos LTDA</v>
      </c>
      <c r="J43" s="157">
        <v>17000</v>
      </c>
      <c r="K43" s="63">
        <v>45840</v>
      </c>
      <c r="L43" s="157">
        <v>17000</v>
      </c>
      <c r="M43" s="157">
        <f t="shared" si="1"/>
        <v>0</v>
      </c>
      <c r="N43" s="62" t="s">
        <v>441</v>
      </c>
      <c r="O43" s="20" t="s">
        <v>440</v>
      </c>
      <c r="P43" s="62"/>
    </row>
    <row r="44" spans="1:16" ht="18" customHeight="1" x14ac:dyDescent="0.25">
      <c r="A44" s="59">
        <v>43</v>
      </c>
      <c r="B44" s="58">
        <v>45809</v>
      </c>
      <c r="C44" s="59">
        <v>1</v>
      </c>
      <c r="D44" s="59" t="s">
        <v>443</v>
      </c>
      <c r="E44" s="59">
        <v>9</v>
      </c>
      <c r="F44" s="59">
        <v>297</v>
      </c>
      <c r="G44" s="60">
        <v>45839</v>
      </c>
      <c r="H44" s="60">
        <v>45843</v>
      </c>
      <c r="I44" s="59" t="str">
        <f>IF(E44="","",_xlfn.XLOOKUP(E44,'🏢 CLIENTES'!A:A,'🏢 CLIENTES'!B:B,""))</f>
        <v>Polemica Servicos Basicos LTDA</v>
      </c>
      <c r="J44" s="156">
        <v>32620</v>
      </c>
      <c r="K44" s="60">
        <v>45843</v>
      </c>
      <c r="L44" s="156">
        <v>32620</v>
      </c>
      <c r="M44" s="156">
        <f t="shared" si="1"/>
        <v>0</v>
      </c>
      <c r="N44" s="59" t="s">
        <v>439</v>
      </c>
      <c r="O44" s="20" t="s">
        <v>440</v>
      </c>
      <c r="P44" s="59"/>
    </row>
    <row r="45" spans="1:16" ht="18" customHeight="1" x14ac:dyDescent="0.25">
      <c r="A45" s="62">
        <v>44</v>
      </c>
      <c r="B45" s="61">
        <v>45809</v>
      </c>
      <c r="C45" s="62">
        <v>1</v>
      </c>
      <c r="D45" s="62" t="s">
        <v>384</v>
      </c>
      <c r="E45" s="62">
        <v>11</v>
      </c>
      <c r="F45" s="62">
        <v>298</v>
      </c>
      <c r="G45" s="63">
        <v>45839</v>
      </c>
      <c r="H45" s="63">
        <v>45845</v>
      </c>
      <c r="I45" s="62" t="str">
        <f>IF(E45="","",_xlfn.XLOOKUP(E45,'🏢 CLIENTES'!A:A,'🏢 CLIENTES'!B:B,""))</f>
        <v>Zigurate Construcao LTDA</v>
      </c>
      <c r="J45" s="157">
        <v>17200</v>
      </c>
      <c r="K45" s="63">
        <v>45845</v>
      </c>
      <c r="L45" s="157">
        <v>17200</v>
      </c>
      <c r="M45" s="157">
        <f t="shared" si="1"/>
        <v>0</v>
      </c>
      <c r="N45" s="62" t="s">
        <v>439</v>
      </c>
      <c r="O45" s="20" t="s">
        <v>440</v>
      </c>
      <c r="P45" s="62"/>
    </row>
    <row r="46" spans="1:16" ht="18" customHeight="1" x14ac:dyDescent="0.25">
      <c r="A46" s="59">
        <v>45</v>
      </c>
      <c r="B46" s="58">
        <v>45809</v>
      </c>
      <c r="C46" s="59">
        <v>1</v>
      </c>
      <c r="D46" s="59">
        <v>20</v>
      </c>
      <c r="E46" s="59">
        <v>8</v>
      </c>
      <c r="F46" s="59">
        <v>299</v>
      </c>
      <c r="G46" s="60">
        <v>45839</v>
      </c>
      <c r="H46" s="60">
        <v>45846</v>
      </c>
      <c r="I46" s="59" t="str">
        <f>IF(E46="","",_xlfn.XLOOKUP(E46,'🏢 CLIENTES'!A:A,'🏢 CLIENTES'!B:B,""))</f>
        <v>Consorcio Global Franca</v>
      </c>
      <c r="J46" s="156">
        <v>9334.34</v>
      </c>
      <c r="K46" s="60">
        <v>45846</v>
      </c>
      <c r="L46" s="156">
        <v>9334.34</v>
      </c>
      <c r="M46" s="156">
        <f t="shared" si="1"/>
        <v>0</v>
      </c>
      <c r="N46" s="59" t="s">
        <v>439</v>
      </c>
      <c r="O46" s="20" t="s">
        <v>440</v>
      </c>
      <c r="P46" s="59"/>
    </row>
    <row r="47" spans="1:16" ht="18" customHeight="1" x14ac:dyDescent="0.25">
      <c r="A47" s="62">
        <v>46</v>
      </c>
      <c r="B47" s="61">
        <v>45809</v>
      </c>
      <c r="C47" s="62">
        <v>1</v>
      </c>
      <c r="D47" s="62">
        <v>16</v>
      </c>
      <c r="E47" s="62">
        <v>7</v>
      </c>
      <c r="F47" s="62">
        <v>300</v>
      </c>
      <c r="G47" s="63">
        <v>45839</v>
      </c>
      <c r="H47" s="63">
        <v>45848</v>
      </c>
      <c r="I47" s="62" t="str">
        <f>IF(E47="","",_xlfn.XLOOKUP(E47,'🏢 CLIENTES'!A:A,'🏢 CLIENTES'!B:B,""))</f>
        <v>Fibertec Engenharia LTDA</v>
      </c>
      <c r="J47" s="157">
        <v>15000</v>
      </c>
      <c r="K47" s="63">
        <v>45854</v>
      </c>
      <c r="L47" s="157">
        <v>15000</v>
      </c>
      <c r="M47" s="157">
        <f t="shared" si="1"/>
        <v>0</v>
      </c>
      <c r="N47" s="62" t="s">
        <v>441</v>
      </c>
      <c r="O47" s="20" t="s">
        <v>440</v>
      </c>
      <c r="P47" s="62"/>
    </row>
    <row r="48" spans="1:16" ht="18" customHeight="1" x14ac:dyDescent="0.25">
      <c r="A48" s="59">
        <v>47</v>
      </c>
      <c r="B48" s="58">
        <v>45809</v>
      </c>
      <c r="C48" s="59">
        <v>1</v>
      </c>
      <c r="D48" s="59">
        <v>23</v>
      </c>
      <c r="E48" s="59">
        <v>1</v>
      </c>
      <c r="F48" s="59">
        <v>301</v>
      </c>
      <c r="G48" s="60">
        <v>45839</v>
      </c>
      <c r="H48" s="60">
        <v>45868</v>
      </c>
      <c r="I48" s="59" t="str">
        <f>IF(E48="","",_xlfn.XLOOKUP(E48,'🏢 CLIENTES'!A:A,'🏢 CLIENTES'!B:B,""))</f>
        <v>Celebre Obras e Servicos LTDA</v>
      </c>
      <c r="J48" s="156">
        <v>21550</v>
      </c>
      <c r="K48" s="60">
        <v>45868</v>
      </c>
      <c r="L48" s="156">
        <v>21550</v>
      </c>
      <c r="M48" s="156">
        <f t="shared" si="1"/>
        <v>0</v>
      </c>
      <c r="N48" s="59" t="s">
        <v>441</v>
      </c>
      <c r="O48" s="20" t="s">
        <v>440</v>
      </c>
      <c r="P48" s="59"/>
    </row>
    <row r="49" spans="1:16" ht="18" customHeight="1" x14ac:dyDescent="0.25">
      <c r="A49" s="62">
        <v>48</v>
      </c>
      <c r="B49" s="61">
        <v>45809</v>
      </c>
      <c r="C49" s="62">
        <v>1</v>
      </c>
      <c r="D49" s="62">
        <v>22</v>
      </c>
      <c r="E49" s="62">
        <v>1</v>
      </c>
      <c r="F49" s="62">
        <v>302</v>
      </c>
      <c r="G49" s="63">
        <v>45861</v>
      </c>
      <c r="H49" s="63">
        <v>45870</v>
      </c>
      <c r="I49" s="62" t="str">
        <f>IF(E49="","",_xlfn.XLOOKUP(E49,'🏢 CLIENTES'!A:A,'🏢 CLIENTES'!B:B,""))</f>
        <v>Celebre Obras e Servicos LTDA</v>
      </c>
      <c r="J49" s="157">
        <v>9633.33</v>
      </c>
      <c r="K49" s="63">
        <v>45874</v>
      </c>
      <c r="L49" s="157">
        <v>9633.33</v>
      </c>
      <c r="M49" s="157">
        <f t="shared" si="1"/>
        <v>0</v>
      </c>
      <c r="N49" s="62" t="s">
        <v>441</v>
      </c>
      <c r="O49" s="20" t="s">
        <v>440</v>
      </c>
      <c r="P49" s="62"/>
    </row>
    <row r="50" spans="1:16" ht="18" customHeight="1" x14ac:dyDescent="0.25">
      <c r="A50" s="59">
        <v>49</v>
      </c>
      <c r="B50" s="58">
        <v>45839</v>
      </c>
      <c r="C50" s="59">
        <v>1</v>
      </c>
      <c r="D50" s="59" t="s">
        <v>444</v>
      </c>
      <c r="E50" s="59">
        <v>9</v>
      </c>
      <c r="F50" s="59">
        <v>303</v>
      </c>
      <c r="G50" s="60">
        <v>45870</v>
      </c>
      <c r="H50" s="60">
        <v>45874</v>
      </c>
      <c r="I50" s="59" t="str">
        <f>IF(E50="","",_xlfn.XLOOKUP(E50,'🏢 CLIENTES'!A:A,'🏢 CLIENTES'!B:B,""))</f>
        <v>Polemica Servicos Basicos LTDA</v>
      </c>
      <c r="J50" s="156">
        <v>33330</v>
      </c>
      <c r="K50" s="60">
        <v>45875</v>
      </c>
      <c r="L50" s="156">
        <v>33330</v>
      </c>
      <c r="M50" s="156">
        <f t="shared" si="1"/>
        <v>0</v>
      </c>
      <c r="N50" s="59" t="s">
        <v>441</v>
      </c>
      <c r="O50" s="20" t="s">
        <v>440</v>
      </c>
      <c r="P50" s="59"/>
    </row>
    <row r="51" spans="1:16" ht="18" customHeight="1" x14ac:dyDescent="0.25">
      <c r="A51" s="62">
        <v>50</v>
      </c>
      <c r="B51" s="61">
        <v>45839</v>
      </c>
      <c r="C51" s="62">
        <v>1</v>
      </c>
      <c r="D51" s="62" t="s">
        <v>384</v>
      </c>
      <c r="E51" s="62">
        <v>11</v>
      </c>
      <c r="F51" s="62">
        <v>304</v>
      </c>
      <c r="G51" s="63">
        <v>45870</v>
      </c>
      <c r="H51" s="63">
        <v>45877</v>
      </c>
      <c r="I51" s="62" t="str">
        <f>IF(E51="","",_xlfn.XLOOKUP(E51,'🏢 CLIENTES'!A:A,'🏢 CLIENTES'!B:B,""))</f>
        <v>Zigurate Construcao LTDA</v>
      </c>
      <c r="J51" s="157">
        <v>29200</v>
      </c>
      <c r="K51" s="63">
        <v>45877</v>
      </c>
      <c r="L51" s="157">
        <v>29200</v>
      </c>
      <c r="M51" s="157">
        <f t="shared" si="1"/>
        <v>0</v>
      </c>
      <c r="N51" s="62" t="s">
        <v>439</v>
      </c>
      <c r="O51" s="20" t="s">
        <v>440</v>
      </c>
      <c r="P51" s="62"/>
    </row>
    <row r="52" spans="1:16" ht="18" customHeight="1" x14ac:dyDescent="0.25">
      <c r="A52" s="59">
        <v>51</v>
      </c>
      <c r="B52" s="58">
        <v>45839</v>
      </c>
      <c r="C52" s="59">
        <v>1</v>
      </c>
      <c r="D52" s="59">
        <v>20</v>
      </c>
      <c r="E52" s="59">
        <v>8</v>
      </c>
      <c r="F52" s="59">
        <v>305</v>
      </c>
      <c r="G52" s="60">
        <v>45870</v>
      </c>
      <c r="H52" s="60">
        <v>45877</v>
      </c>
      <c r="I52" s="59" t="str">
        <f>IF(E52="","",_xlfn.XLOOKUP(E52,'🏢 CLIENTES'!A:A,'🏢 CLIENTES'!B:B,""))</f>
        <v>Consorcio Global Franca</v>
      </c>
      <c r="J52" s="156">
        <v>9333.32</v>
      </c>
      <c r="K52" s="60">
        <v>45877</v>
      </c>
      <c r="L52" s="156">
        <v>9333.32</v>
      </c>
      <c r="M52" s="156">
        <f t="shared" si="1"/>
        <v>0</v>
      </c>
      <c r="N52" s="59" t="s">
        <v>439</v>
      </c>
      <c r="O52" s="20" t="s">
        <v>440</v>
      </c>
      <c r="P52" s="59"/>
    </row>
    <row r="53" spans="1:16" ht="18" customHeight="1" x14ac:dyDescent="0.25">
      <c r="A53" s="62">
        <v>52</v>
      </c>
      <c r="B53" s="61">
        <v>45839</v>
      </c>
      <c r="C53" s="62">
        <v>1</v>
      </c>
      <c r="D53" s="62">
        <v>16</v>
      </c>
      <c r="E53" s="62">
        <v>7</v>
      </c>
      <c r="F53" s="62">
        <v>307</v>
      </c>
      <c r="G53" s="63">
        <v>45870</v>
      </c>
      <c r="H53" s="63">
        <v>45879</v>
      </c>
      <c r="I53" s="62" t="str">
        <f>IF(E53="","",_xlfn.XLOOKUP(E53,'🏢 CLIENTES'!A:A,'🏢 CLIENTES'!B:B,""))</f>
        <v>Fibertec Engenharia LTDA</v>
      </c>
      <c r="J53" s="157">
        <v>15000</v>
      </c>
      <c r="K53" s="63">
        <v>45884</v>
      </c>
      <c r="L53" s="157">
        <v>15000</v>
      </c>
      <c r="M53" s="157">
        <f t="shared" si="1"/>
        <v>0</v>
      </c>
      <c r="N53" s="62" t="s">
        <v>441</v>
      </c>
      <c r="O53" s="20" t="s">
        <v>440</v>
      </c>
      <c r="P53" s="62"/>
    </row>
    <row r="54" spans="1:16" ht="18" customHeight="1" x14ac:dyDescent="0.25">
      <c r="A54" s="59">
        <v>53</v>
      </c>
      <c r="B54" s="58">
        <v>45839</v>
      </c>
      <c r="C54" s="59">
        <v>1</v>
      </c>
      <c r="D54" s="59">
        <v>23</v>
      </c>
      <c r="E54" s="59">
        <v>1</v>
      </c>
      <c r="F54" s="59">
        <v>306</v>
      </c>
      <c r="G54" s="60">
        <v>45870</v>
      </c>
      <c r="H54" s="60">
        <v>45899</v>
      </c>
      <c r="I54" s="59" t="str">
        <f>IF(E54="","",_xlfn.XLOOKUP(E54,'🏢 CLIENTES'!A:A,'🏢 CLIENTES'!B:B,""))</f>
        <v>Celebre Obras e Servicos LTDA</v>
      </c>
      <c r="J54" s="156">
        <v>21550</v>
      </c>
      <c r="K54" s="60">
        <v>45899</v>
      </c>
      <c r="L54" s="156">
        <v>21550</v>
      </c>
      <c r="M54" s="156">
        <f t="shared" si="1"/>
        <v>0</v>
      </c>
      <c r="N54" s="59" t="s">
        <v>441</v>
      </c>
      <c r="O54" s="20" t="s">
        <v>440</v>
      </c>
      <c r="P54" s="59"/>
    </row>
    <row r="55" spans="1:16" ht="18" customHeight="1" x14ac:dyDescent="0.25">
      <c r="A55" s="62">
        <v>54</v>
      </c>
      <c r="B55" s="61">
        <v>45839</v>
      </c>
      <c r="C55" s="62">
        <v>1</v>
      </c>
      <c r="D55" s="62">
        <v>22</v>
      </c>
      <c r="E55" s="62">
        <v>1</v>
      </c>
      <c r="F55" s="62">
        <v>308</v>
      </c>
      <c r="G55" s="63">
        <v>45887</v>
      </c>
      <c r="H55" s="63">
        <v>45901</v>
      </c>
      <c r="I55" s="62" t="str">
        <f>IF(E55="","",_xlfn.XLOOKUP(E55,'🏢 CLIENTES'!A:A,'🏢 CLIENTES'!B:B,""))</f>
        <v>Celebre Obras e Servicos LTDA</v>
      </c>
      <c r="J55" s="157">
        <v>17000</v>
      </c>
      <c r="K55" s="63">
        <v>45901</v>
      </c>
      <c r="L55" s="157">
        <v>17000</v>
      </c>
      <c r="M55" s="157">
        <f t="shared" si="1"/>
        <v>0</v>
      </c>
      <c r="N55" s="62" t="s">
        <v>441</v>
      </c>
      <c r="O55" s="20" t="s">
        <v>440</v>
      </c>
      <c r="P55" s="62"/>
    </row>
    <row r="56" spans="1:16" ht="18" customHeight="1" x14ac:dyDescent="0.25">
      <c r="A56" s="59">
        <v>55</v>
      </c>
      <c r="B56" s="58">
        <v>45870</v>
      </c>
      <c r="C56" s="59">
        <v>1</v>
      </c>
      <c r="D56" s="59" t="s">
        <v>444</v>
      </c>
      <c r="E56" s="59">
        <v>9</v>
      </c>
      <c r="F56" s="59">
        <v>310</v>
      </c>
      <c r="G56" s="60">
        <v>45901</v>
      </c>
      <c r="H56" s="60">
        <v>45905</v>
      </c>
      <c r="I56" s="59" t="str">
        <f>IF(E56="","",_xlfn.XLOOKUP(E56,'🏢 CLIENTES'!A:A,'🏢 CLIENTES'!B:B,""))</f>
        <v>Polemica Servicos Basicos LTDA</v>
      </c>
      <c r="J56" s="156">
        <v>33330</v>
      </c>
      <c r="K56" s="60">
        <v>45905</v>
      </c>
      <c r="L56" s="156">
        <v>33330</v>
      </c>
      <c r="M56" s="156">
        <f t="shared" si="1"/>
        <v>0</v>
      </c>
      <c r="N56" s="59" t="s">
        <v>441</v>
      </c>
      <c r="O56" s="20" t="s">
        <v>440</v>
      </c>
      <c r="P56" s="59"/>
    </row>
    <row r="57" spans="1:16" ht="18" customHeight="1" x14ac:dyDescent="0.25">
      <c r="A57" s="62">
        <v>56</v>
      </c>
      <c r="B57" s="61">
        <v>45870</v>
      </c>
      <c r="C57" s="62">
        <v>3</v>
      </c>
      <c r="D57" s="62">
        <v>28</v>
      </c>
      <c r="E57" s="62">
        <v>12</v>
      </c>
      <c r="F57" s="62">
        <v>103</v>
      </c>
      <c r="G57" s="63">
        <v>45901</v>
      </c>
      <c r="H57" s="63">
        <v>45908</v>
      </c>
      <c r="I57" s="62" t="str">
        <f>IF(E57="","",_xlfn.XLOOKUP(E57,'🏢 CLIENTES'!A:A,'🏢 CLIENTES'!B:B,""))</f>
        <v>Consorcio Global Franca II</v>
      </c>
      <c r="J57" s="157">
        <v>12000</v>
      </c>
      <c r="K57" s="63">
        <v>45908</v>
      </c>
      <c r="L57" s="157">
        <v>12000</v>
      </c>
      <c r="M57" s="157">
        <f t="shared" si="1"/>
        <v>0</v>
      </c>
      <c r="N57" s="62" t="s">
        <v>439</v>
      </c>
      <c r="O57" s="20" t="s">
        <v>440</v>
      </c>
      <c r="P57" s="62"/>
    </row>
    <row r="58" spans="1:16" ht="18" customHeight="1" x14ac:dyDescent="0.25">
      <c r="A58" s="59">
        <v>57</v>
      </c>
      <c r="B58" s="58">
        <v>45870</v>
      </c>
      <c r="C58" s="59">
        <v>1</v>
      </c>
      <c r="D58" s="59" t="s">
        <v>384</v>
      </c>
      <c r="E58" s="59">
        <v>11</v>
      </c>
      <c r="F58" s="59">
        <v>311</v>
      </c>
      <c r="G58" s="60">
        <v>45901</v>
      </c>
      <c r="H58" s="60">
        <v>45908</v>
      </c>
      <c r="I58" s="59" t="str">
        <f>IF(E58="","",_xlfn.XLOOKUP(E58,'🏢 CLIENTES'!A:A,'🏢 CLIENTES'!B:B,""))</f>
        <v>Zigurate Construcao LTDA</v>
      </c>
      <c r="J58" s="156">
        <v>27500</v>
      </c>
      <c r="K58" s="60">
        <v>45909</v>
      </c>
      <c r="L58" s="156">
        <v>28187.5</v>
      </c>
      <c r="M58" s="156">
        <f t="shared" si="1"/>
        <v>687.5</v>
      </c>
      <c r="N58" s="59" t="s">
        <v>439</v>
      </c>
      <c r="O58" s="20" t="s">
        <v>440</v>
      </c>
      <c r="P58" s="59"/>
    </row>
    <row r="59" spans="1:16" ht="18" customHeight="1" x14ac:dyDescent="0.25">
      <c r="A59" s="62">
        <v>58</v>
      </c>
      <c r="B59" s="61">
        <v>45870</v>
      </c>
      <c r="C59" s="62">
        <v>3</v>
      </c>
      <c r="D59" s="62">
        <v>27</v>
      </c>
      <c r="E59" s="62">
        <v>7</v>
      </c>
      <c r="F59" s="62">
        <v>101</v>
      </c>
      <c r="G59" s="63">
        <v>45901</v>
      </c>
      <c r="H59" s="63">
        <v>45910</v>
      </c>
      <c r="I59" s="62" t="str">
        <f>IF(E59="","",_xlfn.XLOOKUP(E59,'🏢 CLIENTES'!A:A,'🏢 CLIENTES'!B:B,""))</f>
        <v>Fibertec Engenharia LTDA</v>
      </c>
      <c r="J59" s="157">
        <v>18500</v>
      </c>
      <c r="K59" s="63">
        <v>45918</v>
      </c>
      <c r="L59" s="157">
        <v>20436.310000000001</v>
      </c>
      <c r="M59" s="157">
        <f t="shared" si="1"/>
        <v>1936.3100000000013</v>
      </c>
      <c r="N59" s="62" t="s">
        <v>439</v>
      </c>
      <c r="O59" s="20" t="s">
        <v>440</v>
      </c>
      <c r="P59" s="62"/>
    </row>
    <row r="60" spans="1:16" ht="18" customHeight="1" x14ac:dyDescent="0.25">
      <c r="A60" s="62">
        <v>60</v>
      </c>
      <c r="B60" s="61">
        <v>45870</v>
      </c>
      <c r="C60" s="62">
        <v>3</v>
      </c>
      <c r="D60" s="62" t="s">
        <v>384</v>
      </c>
      <c r="E60" s="62">
        <v>11</v>
      </c>
      <c r="F60" s="62">
        <v>102</v>
      </c>
      <c r="G60" s="63">
        <v>45901</v>
      </c>
      <c r="H60" s="63">
        <v>45910</v>
      </c>
      <c r="I60" s="62" t="str">
        <f>IF(E60="","",_xlfn.XLOOKUP(E60,'🏢 CLIENTES'!A:A,'🏢 CLIENTES'!B:B,""))</f>
        <v>Zigurate Construcao LTDA</v>
      </c>
      <c r="J60" s="157">
        <v>0</v>
      </c>
      <c r="K60" s="63">
        <v>45910</v>
      </c>
      <c r="L60" s="157">
        <v>0</v>
      </c>
      <c r="M60" s="157">
        <f t="shared" si="1"/>
        <v>0</v>
      </c>
      <c r="N60" s="62" t="s">
        <v>439</v>
      </c>
      <c r="O60" s="44" t="s">
        <v>445</v>
      </c>
      <c r="P60" s="59"/>
    </row>
    <row r="61" spans="1:16" ht="18" customHeight="1" x14ac:dyDescent="0.25">
      <c r="A61" s="59">
        <v>59</v>
      </c>
      <c r="B61" s="58">
        <v>45870</v>
      </c>
      <c r="C61" s="59">
        <v>1</v>
      </c>
      <c r="D61" s="59">
        <v>23</v>
      </c>
      <c r="E61" s="59">
        <v>1</v>
      </c>
      <c r="F61" s="59">
        <v>309</v>
      </c>
      <c r="G61" s="60">
        <v>45901</v>
      </c>
      <c r="H61" s="60">
        <v>45930</v>
      </c>
      <c r="I61" s="59" t="str">
        <f>IF(E61="","",_xlfn.XLOOKUP(E61,'🏢 CLIENTES'!A:A,'🏢 CLIENTES'!B:B,""))</f>
        <v>Celebre Obras e Servicos LTDA</v>
      </c>
      <c r="J61" s="156">
        <v>21550</v>
      </c>
      <c r="K61" s="60">
        <v>45940</v>
      </c>
      <c r="L61" s="156">
        <v>21550</v>
      </c>
      <c r="M61" s="156">
        <f t="shared" si="1"/>
        <v>0</v>
      </c>
      <c r="N61" s="59" t="s">
        <v>441</v>
      </c>
      <c r="O61" s="114" t="s">
        <v>440</v>
      </c>
      <c r="P61" s="62"/>
    </row>
    <row r="62" spans="1:16" ht="18" customHeight="1" x14ac:dyDescent="0.25">
      <c r="A62" s="59">
        <v>61</v>
      </c>
      <c r="B62" s="58">
        <v>45870</v>
      </c>
      <c r="C62" s="59">
        <v>1</v>
      </c>
      <c r="D62" s="59">
        <v>22</v>
      </c>
      <c r="E62" s="59">
        <v>1</v>
      </c>
      <c r="F62" s="59">
        <v>312</v>
      </c>
      <c r="G62" s="60">
        <v>45917</v>
      </c>
      <c r="H62" s="60">
        <v>45931</v>
      </c>
      <c r="I62" s="59" t="str">
        <f>IF(E62="","",_xlfn.XLOOKUP(E62,'🏢 CLIENTES'!A:A,'🏢 CLIENTES'!B:B,""))</f>
        <v>Celebre Obras e Servicos LTDA</v>
      </c>
      <c r="J62" s="156">
        <v>17000</v>
      </c>
      <c r="K62" s="60">
        <v>45931</v>
      </c>
      <c r="L62" s="156">
        <v>17000</v>
      </c>
      <c r="M62" s="156">
        <f t="shared" si="1"/>
        <v>0</v>
      </c>
      <c r="N62" s="59" t="s">
        <v>441</v>
      </c>
      <c r="O62" s="20" t="s">
        <v>440</v>
      </c>
      <c r="P62" s="59"/>
    </row>
    <row r="63" spans="1:16" ht="18" customHeight="1" x14ac:dyDescent="0.25">
      <c r="A63" s="62">
        <v>62</v>
      </c>
      <c r="B63" s="61">
        <v>45901</v>
      </c>
      <c r="C63" s="62">
        <v>3</v>
      </c>
      <c r="D63" s="62">
        <v>29</v>
      </c>
      <c r="E63" s="62">
        <v>9</v>
      </c>
      <c r="F63" s="62">
        <v>104</v>
      </c>
      <c r="G63" s="63">
        <v>45931</v>
      </c>
      <c r="H63" s="63">
        <v>45935</v>
      </c>
      <c r="I63" s="62" t="str">
        <f>IF(E63="","",_xlfn.XLOOKUP(E63,'🏢 CLIENTES'!A:A,'🏢 CLIENTES'!B:B,""))</f>
        <v>Polemica Servicos Basicos LTDA</v>
      </c>
      <c r="J63" s="157">
        <v>33330</v>
      </c>
      <c r="K63" s="63">
        <v>45935</v>
      </c>
      <c r="L63" s="157">
        <v>33330</v>
      </c>
      <c r="M63" s="157">
        <f t="shared" si="1"/>
        <v>0</v>
      </c>
      <c r="N63" s="62" t="s">
        <v>439</v>
      </c>
      <c r="O63" s="20" t="s">
        <v>440</v>
      </c>
      <c r="P63" s="62"/>
    </row>
    <row r="64" spans="1:16" ht="18" customHeight="1" x14ac:dyDescent="0.25">
      <c r="A64" s="59">
        <v>63</v>
      </c>
      <c r="B64" s="58">
        <v>45901</v>
      </c>
      <c r="C64" s="59">
        <v>3</v>
      </c>
      <c r="D64" s="59">
        <v>28</v>
      </c>
      <c r="E64" s="59">
        <v>12</v>
      </c>
      <c r="F64" s="59">
        <v>106</v>
      </c>
      <c r="G64" s="60">
        <v>45931</v>
      </c>
      <c r="H64" s="60">
        <v>45938</v>
      </c>
      <c r="I64" s="59" t="str">
        <f>IF(E64="","",_xlfn.XLOOKUP(E64,'🏢 CLIENTES'!A:A,'🏢 CLIENTES'!B:B,""))</f>
        <v>Consorcio Global Franca II</v>
      </c>
      <c r="J64" s="156">
        <v>12000</v>
      </c>
      <c r="K64" s="60">
        <v>45938</v>
      </c>
      <c r="L64" s="156">
        <v>12000</v>
      </c>
      <c r="M64" s="156">
        <f t="shared" si="1"/>
        <v>0</v>
      </c>
      <c r="N64" s="59" t="s">
        <v>439</v>
      </c>
      <c r="O64" s="20" t="s">
        <v>440</v>
      </c>
      <c r="P64" s="59"/>
    </row>
    <row r="65" spans="1:16" ht="18" customHeight="1" x14ac:dyDescent="0.25">
      <c r="A65" s="59">
        <v>65</v>
      </c>
      <c r="B65" s="58">
        <v>45901</v>
      </c>
      <c r="C65" s="59">
        <v>3</v>
      </c>
      <c r="D65" s="59">
        <v>26</v>
      </c>
      <c r="E65" s="59">
        <v>11</v>
      </c>
      <c r="F65" s="59">
        <v>105</v>
      </c>
      <c r="G65" s="60">
        <v>45931</v>
      </c>
      <c r="H65" s="60">
        <v>45938</v>
      </c>
      <c r="I65" s="59" t="str">
        <f>IF(E65="","",_xlfn.XLOOKUP(E65,'🏢 CLIENTES'!A:A,'🏢 CLIENTES'!B:B,""))</f>
        <v>Zigurate Construcao LTDA</v>
      </c>
      <c r="J65" s="156">
        <v>27500</v>
      </c>
      <c r="K65" s="60">
        <v>45950</v>
      </c>
      <c r="L65" s="156">
        <v>28875</v>
      </c>
      <c r="M65" s="156">
        <f t="shared" si="1"/>
        <v>1375</v>
      </c>
      <c r="N65" s="59" t="s">
        <v>439</v>
      </c>
      <c r="O65" s="20" t="s">
        <v>440</v>
      </c>
      <c r="P65" s="62"/>
    </row>
    <row r="66" spans="1:16" ht="18" customHeight="1" x14ac:dyDescent="0.25">
      <c r="A66" s="62">
        <v>64</v>
      </c>
      <c r="B66" s="61">
        <v>45901</v>
      </c>
      <c r="C66" s="62">
        <v>3</v>
      </c>
      <c r="D66" s="62">
        <v>27</v>
      </c>
      <c r="E66" s="62">
        <v>7</v>
      </c>
      <c r="F66" s="62">
        <v>107</v>
      </c>
      <c r="G66" s="63">
        <v>45931</v>
      </c>
      <c r="H66" s="63">
        <v>45940</v>
      </c>
      <c r="I66" s="62" t="str">
        <f>IF(E66="","",_xlfn.XLOOKUP(E66,'🏢 CLIENTES'!A:A,'🏢 CLIENTES'!B:B,""))</f>
        <v>Fibertec Engenharia LTDA</v>
      </c>
      <c r="J66" s="157">
        <v>18500</v>
      </c>
      <c r="K66" s="63">
        <v>45940</v>
      </c>
      <c r="L66" s="157">
        <v>18500</v>
      </c>
      <c r="M66" s="157">
        <f t="shared" ref="M66:M97" si="2">IF(OR(L66=0,L66=""),0,L66-J66)</f>
        <v>0</v>
      </c>
      <c r="N66" s="62" t="s">
        <v>439</v>
      </c>
      <c r="O66" s="20" t="s">
        <v>440</v>
      </c>
      <c r="P66" s="59"/>
    </row>
    <row r="67" spans="1:16" ht="18" customHeight="1" x14ac:dyDescent="0.25">
      <c r="A67" s="62">
        <v>66</v>
      </c>
      <c r="B67" s="61">
        <v>45901</v>
      </c>
      <c r="C67" s="62">
        <v>1</v>
      </c>
      <c r="D67" s="62">
        <v>23</v>
      </c>
      <c r="E67" s="62">
        <v>1</v>
      </c>
      <c r="F67" s="62">
        <v>313</v>
      </c>
      <c r="G67" s="63">
        <v>45931</v>
      </c>
      <c r="H67" s="63">
        <v>45960</v>
      </c>
      <c r="I67" s="62" t="str">
        <f>IF(E67="","",_xlfn.XLOOKUP(E67,'🏢 CLIENTES'!A:A,'🏢 CLIENTES'!B:B,""))</f>
        <v>Celebre Obras e Servicos LTDA</v>
      </c>
      <c r="J67" s="157">
        <v>21550</v>
      </c>
      <c r="K67" s="63">
        <v>45960</v>
      </c>
      <c r="L67" s="157">
        <v>21550</v>
      </c>
      <c r="M67" s="157">
        <f t="shared" si="2"/>
        <v>0</v>
      </c>
      <c r="N67" s="62" t="s">
        <v>441</v>
      </c>
      <c r="O67" s="20" t="s">
        <v>440</v>
      </c>
      <c r="P67" s="62"/>
    </row>
    <row r="68" spans="1:16" ht="18" customHeight="1" x14ac:dyDescent="0.25">
      <c r="A68" s="59">
        <v>67</v>
      </c>
      <c r="B68" s="58">
        <v>45901</v>
      </c>
      <c r="C68" s="59">
        <v>1</v>
      </c>
      <c r="D68" s="59">
        <v>22</v>
      </c>
      <c r="E68" s="59">
        <v>1</v>
      </c>
      <c r="F68" s="59">
        <v>314</v>
      </c>
      <c r="G68" s="60">
        <v>45945</v>
      </c>
      <c r="H68" s="60">
        <v>45962</v>
      </c>
      <c r="I68" s="59" t="str">
        <f>IF(E68="","",_xlfn.XLOOKUP(E68,'🏢 CLIENTES'!A:A,'🏢 CLIENTES'!B:B,""))</f>
        <v>Celebre Obras e Servicos LTDA</v>
      </c>
      <c r="J68" s="156">
        <v>13316.67</v>
      </c>
      <c r="K68" s="60">
        <v>45964</v>
      </c>
      <c r="L68" s="156">
        <v>13316.67</v>
      </c>
      <c r="M68" s="156">
        <f t="shared" si="2"/>
        <v>0</v>
      </c>
      <c r="N68" s="59" t="s">
        <v>441</v>
      </c>
      <c r="O68" s="20" t="s">
        <v>440</v>
      </c>
      <c r="P68" s="59"/>
    </row>
    <row r="69" spans="1:16" ht="18" customHeight="1" x14ac:dyDescent="0.25">
      <c r="A69" s="59">
        <v>69</v>
      </c>
      <c r="B69" s="58">
        <v>45931</v>
      </c>
      <c r="C69" s="59">
        <v>3</v>
      </c>
      <c r="D69" s="59">
        <v>29</v>
      </c>
      <c r="E69" s="59">
        <v>9</v>
      </c>
      <c r="F69" s="59">
        <v>108</v>
      </c>
      <c r="G69" s="60">
        <v>45965</v>
      </c>
      <c r="H69" s="60">
        <v>45966</v>
      </c>
      <c r="I69" s="59" t="str">
        <f>IF(E69="","",_xlfn.XLOOKUP(E69,'🏢 CLIENTES'!A:A,'🏢 CLIENTES'!B:B,""))</f>
        <v>Polemica Servicos Basicos LTDA</v>
      </c>
      <c r="J69" s="156">
        <v>33330</v>
      </c>
      <c r="K69" s="60">
        <v>45966</v>
      </c>
      <c r="L69" s="156">
        <v>33330</v>
      </c>
      <c r="M69" s="156">
        <f t="shared" si="2"/>
        <v>0</v>
      </c>
      <c r="N69" s="59" t="s">
        <v>439</v>
      </c>
      <c r="O69" s="20" t="s">
        <v>440</v>
      </c>
      <c r="P69" s="62"/>
    </row>
    <row r="70" spans="1:16" ht="18" customHeight="1" x14ac:dyDescent="0.25">
      <c r="A70" s="62">
        <v>68</v>
      </c>
      <c r="B70" s="61">
        <v>45931</v>
      </c>
      <c r="C70" s="62">
        <v>3</v>
      </c>
      <c r="D70" s="62">
        <v>28</v>
      </c>
      <c r="E70" s="62">
        <v>12</v>
      </c>
      <c r="F70" s="62">
        <v>110</v>
      </c>
      <c r="G70" s="63">
        <v>45962</v>
      </c>
      <c r="H70" s="63">
        <v>45969</v>
      </c>
      <c r="I70" s="62" t="str">
        <f>IF(E70="","",_xlfn.XLOOKUP(E70,'🏢 CLIENTES'!A:A,'🏢 CLIENTES'!B:B,""))</f>
        <v>Consorcio Global Franca II</v>
      </c>
      <c r="J70" s="157">
        <v>12500</v>
      </c>
      <c r="K70" s="63">
        <v>45978</v>
      </c>
      <c r="L70" s="157">
        <v>12500</v>
      </c>
      <c r="M70" s="157">
        <f t="shared" si="2"/>
        <v>0</v>
      </c>
      <c r="N70" s="62" t="s">
        <v>439</v>
      </c>
      <c r="O70" s="20" t="s">
        <v>440</v>
      </c>
      <c r="P70" s="59"/>
    </row>
    <row r="71" spans="1:16" ht="18" customHeight="1" x14ac:dyDescent="0.25">
      <c r="A71" s="62">
        <v>70</v>
      </c>
      <c r="B71" s="61">
        <v>45931</v>
      </c>
      <c r="C71" s="62">
        <v>3</v>
      </c>
      <c r="D71" s="62">
        <v>27</v>
      </c>
      <c r="E71" s="62">
        <v>7</v>
      </c>
      <c r="F71" s="62">
        <v>111</v>
      </c>
      <c r="G71" s="63">
        <v>45965</v>
      </c>
      <c r="H71" s="63">
        <v>45971</v>
      </c>
      <c r="I71" s="62" t="str">
        <f>IF(E71="","",_xlfn.XLOOKUP(E71,'🏢 CLIENTES'!A:A,'🏢 CLIENTES'!B:B,""))</f>
        <v>Fibertec Engenharia LTDA</v>
      </c>
      <c r="J71" s="157">
        <v>18500</v>
      </c>
      <c r="K71" s="63">
        <v>45980</v>
      </c>
      <c r="L71" s="157">
        <v>18550</v>
      </c>
      <c r="M71" s="157">
        <f t="shared" si="2"/>
        <v>50</v>
      </c>
      <c r="N71" s="62" t="s">
        <v>439</v>
      </c>
      <c r="O71" s="20" t="s">
        <v>440</v>
      </c>
      <c r="P71" s="62"/>
    </row>
    <row r="72" spans="1:16" ht="18" customHeight="1" x14ac:dyDescent="0.25">
      <c r="A72" s="59">
        <v>71</v>
      </c>
      <c r="B72" s="58">
        <v>45931</v>
      </c>
      <c r="C72" s="59">
        <v>3</v>
      </c>
      <c r="D72" s="59">
        <v>26</v>
      </c>
      <c r="E72" s="59">
        <v>11</v>
      </c>
      <c r="F72" s="59">
        <v>109</v>
      </c>
      <c r="G72" s="60">
        <v>45965</v>
      </c>
      <c r="H72" s="60">
        <v>45974</v>
      </c>
      <c r="I72" s="59" t="str">
        <f>IF(E72="","",_xlfn.XLOOKUP(E72,'🏢 CLIENTES'!A:A,'🏢 CLIENTES'!B:B,""))</f>
        <v>Zigurate Construcao LTDA</v>
      </c>
      <c r="J72" s="156">
        <v>25900</v>
      </c>
      <c r="K72" s="60">
        <v>45982</v>
      </c>
      <c r="L72" s="156">
        <v>27000</v>
      </c>
      <c r="M72" s="156">
        <f t="shared" si="2"/>
        <v>1100</v>
      </c>
      <c r="N72" s="59" t="s">
        <v>439</v>
      </c>
      <c r="O72" s="20" t="s">
        <v>440</v>
      </c>
      <c r="P72" s="59"/>
    </row>
    <row r="73" spans="1:16" ht="18" customHeight="1" x14ac:dyDescent="0.25">
      <c r="A73" s="62">
        <v>72</v>
      </c>
      <c r="B73" s="61">
        <v>45931</v>
      </c>
      <c r="C73" s="62">
        <v>1</v>
      </c>
      <c r="D73" s="62">
        <v>23</v>
      </c>
      <c r="E73" s="62">
        <v>1</v>
      </c>
      <c r="F73" s="62">
        <v>315</v>
      </c>
      <c r="G73" s="63">
        <v>45965</v>
      </c>
      <c r="H73" s="63">
        <v>45991</v>
      </c>
      <c r="I73" s="62" t="str">
        <f>IF(E73="","",_xlfn.XLOOKUP(E73,'🏢 CLIENTES'!A:A,'🏢 CLIENTES'!B:B,""))</f>
        <v>Celebre Obras e Servicos LTDA</v>
      </c>
      <c r="J73" s="157">
        <v>21550</v>
      </c>
      <c r="K73" s="63">
        <v>45991</v>
      </c>
      <c r="L73" s="157">
        <v>21550</v>
      </c>
      <c r="M73" s="157">
        <f t="shared" si="2"/>
        <v>0</v>
      </c>
      <c r="N73" s="62" t="s">
        <v>441</v>
      </c>
      <c r="O73" s="20" t="s">
        <v>440</v>
      </c>
      <c r="P73" s="62"/>
    </row>
    <row r="74" spans="1:16" ht="18" customHeight="1" x14ac:dyDescent="0.25">
      <c r="A74" s="59">
        <v>73</v>
      </c>
      <c r="B74" s="58">
        <v>45931</v>
      </c>
      <c r="C74" s="59">
        <v>1</v>
      </c>
      <c r="D74" s="59">
        <v>22</v>
      </c>
      <c r="E74" s="59">
        <v>1</v>
      </c>
      <c r="F74" s="59">
        <v>316</v>
      </c>
      <c r="G74" s="60">
        <v>45978</v>
      </c>
      <c r="H74" s="60">
        <v>45992</v>
      </c>
      <c r="I74" s="59" t="str">
        <f>IF(E74="","",_xlfn.XLOOKUP(E74,'🏢 CLIENTES'!A:A,'🏢 CLIENTES'!B:B,""))</f>
        <v>Celebre Obras e Servicos LTDA</v>
      </c>
      <c r="J74" s="156">
        <v>15583.33</v>
      </c>
      <c r="K74" s="60">
        <v>46007</v>
      </c>
      <c r="L74" s="156">
        <v>16406.12</v>
      </c>
      <c r="M74" s="156">
        <f t="shared" si="2"/>
        <v>822.78999999999905</v>
      </c>
      <c r="N74" s="59" t="s">
        <v>439</v>
      </c>
      <c r="O74" s="20" t="s">
        <v>440</v>
      </c>
      <c r="P74" s="59"/>
    </row>
    <row r="75" spans="1:16" ht="18" customHeight="1" x14ac:dyDescent="0.25">
      <c r="A75" s="62">
        <v>76</v>
      </c>
      <c r="B75" s="61">
        <v>45962</v>
      </c>
      <c r="C75" s="62">
        <v>3</v>
      </c>
      <c r="D75" s="62">
        <v>29</v>
      </c>
      <c r="E75" s="62">
        <v>9</v>
      </c>
      <c r="F75" s="62">
        <v>112</v>
      </c>
      <c r="G75" s="63">
        <v>45993</v>
      </c>
      <c r="H75" s="63">
        <v>45996</v>
      </c>
      <c r="I75" s="62" t="str">
        <f>IF(E75="","",_xlfn.XLOOKUP(E75,'🏢 CLIENTES'!A:A,'🏢 CLIENTES'!B:B,""))</f>
        <v>Polemica Servicos Basicos LTDA</v>
      </c>
      <c r="J75" s="157">
        <v>33330</v>
      </c>
      <c r="K75" s="63">
        <v>45996</v>
      </c>
      <c r="L75" s="157">
        <v>33330</v>
      </c>
      <c r="M75" s="157">
        <f t="shared" si="2"/>
        <v>0</v>
      </c>
      <c r="N75" s="62" t="s">
        <v>439</v>
      </c>
      <c r="O75" s="20" t="s">
        <v>440</v>
      </c>
      <c r="P75" s="62"/>
    </row>
    <row r="76" spans="1:16" ht="18" customHeight="1" x14ac:dyDescent="0.25">
      <c r="A76" s="59">
        <v>77</v>
      </c>
      <c r="B76" s="58">
        <v>45962</v>
      </c>
      <c r="C76" s="59">
        <v>3</v>
      </c>
      <c r="D76" s="59">
        <v>26</v>
      </c>
      <c r="E76" s="59">
        <v>11</v>
      </c>
      <c r="F76" s="59">
        <v>113</v>
      </c>
      <c r="G76" s="60">
        <v>45994</v>
      </c>
      <c r="H76" s="60">
        <v>45999</v>
      </c>
      <c r="I76" s="59" t="str">
        <f>IF(E76="","",_xlfn.XLOOKUP(E76,'🏢 CLIENTES'!A:A,'🏢 CLIENTES'!B:B,""))</f>
        <v>Zigurate Construcao LTDA</v>
      </c>
      <c r="J76" s="156">
        <v>27500</v>
      </c>
      <c r="K76" s="60">
        <v>46006</v>
      </c>
      <c r="L76" s="156">
        <v>27500</v>
      </c>
      <c r="M76" s="156">
        <f t="shared" si="2"/>
        <v>0</v>
      </c>
      <c r="N76" s="59" t="s">
        <v>439</v>
      </c>
      <c r="O76" s="20" t="s">
        <v>440</v>
      </c>
      <c r="P76" s="59"/>
    </row>
    <row r="77" spans="1:16" ht="18" customHeight="1" x14ac:dyDescent="0.25">
      <c r="A77" s="62">
        <v>80</v>
      </c>
      <c r="B77" s="61">
        <v>45962</v>
      </c>
      <c r="C77" s="62">
        <v>3</v>
      </c>
      <c r="D77" s="62">
        <v>28</v>
      </c>
      <c r="E77" s="62">
        <v>12</v>
      </c>
      <c r="F77" s="62">
        <v>114</v>
      </c>
      <c r="G77" s="63">
        <v>45996</v>
      </c>
      <c r="H77" s="63">
        <v>45999</v>
      </c>
      <c r="I77" s="62" t="str">
        <f>IF(E77="","",_xlfn.XLOOKUP(E77,'🏢 CLIENTES'!A:A,'🏢 CLIENTES'!B:B,""))</f>
        <v>Consorcio Global Franca II</v>
      </c>
      <c r="J77" s="157">
        <v>12500</v>
      </c>
      <c r="K77" s="63">
        <v>45999</v>
      </c>
      <c r="L77" s="157">
        <v>12500</v>
      </c>
      <c r="M77" s="157">
        <f t="shared" si="2"/>
        <v>0</v>
      </c>
      <c r="N77" s="62" t="s">
        <v>439</v>
      </c>
      <c r="O77" s="20" t="s">
        <v>440</v>
      </c>
      <c r="P77" s="62"/>
    </row>
    <row r="78" spans="1:16" ht="18" customHeight="1" x14ac:dyDescent="0.25">
      <c r="A78" s="62">
        <v>78</v>
      </c>
      <c r="B78" s="61">
        <v>45962</v>
      </c>
      <c r="C78" s="62">
        <v>3</v>
      </c>
      <c r="D78" s="62">
        <v>27</v>
      </c>
      <c r="E78" s="62">
        <v>7</v>
      </c>
      <c r="F78" s="62">
        <v>115</v>
      </c>
      <c r="G78" s="63">
        <v>45995</v>
      </c>
      <c r="H78" s="63">
        <v>46001</v>
      </c>
      <c r="I78" s="62" t="str">
        <f>IF(E78="","",_xlfn.XLOOKUP(E78,'🏢 CLIENTES'!A:A,'🏢 CLIENTES'!B:B,""))</f>
        <v>Fibertec Engenharia LTDA</v>
      </c>
      <c r="J78" s="157">
        <v>18500</v>
      </c>
      <c r="K78" s="63">
        <v>46001</v>
      </c>
      <c r="L78" s="157">
        <v>18500</v>
      </c>
      <c r="M78" s="157">
        <f t="shared" si="2"/>
        <v>0</v>
      </c>
      <c r="N78" s="62" t="s">
        <v>439</v>
      </c>
      <c r="O78" s="20" t="s">
        <v>440</v>
      </c>
      <c r="P78" s="59"/>
    </row>
    <row r="79" spans="1:16" ht="18" customHeight="1" x14ac:dyDescent="0.25">
      <c r="A79" s="62">
        <v>74</v>
      </c>
      <c r="B79" s="61">
        <v>45962</v>
      </c>
      <c r="C79" s="62">
        <v>1</v>
      </c>
      <c r="D79" s="62">
        <v>23</v>
      </c>
      <c r="E79" s="62">
        <v>1</v>
      </c>
      <c r="F79" s="62">
        <v>317</v>
      </c>
      <c r="G79" s="63">
        <v>45992</v>
      </c>
      <c r="H79" s="63">
        <v>46021</v>
      </c>
      <c r="I79" s="62" t="str">
        <f>IF(E79="","",_xlfn.XLOOKUP(E79,'🏢 CLIENTES'!A:A,'🏢 CLIENTES'!B:B,""))</f>
        <v>Celebre Obras e Servicos LTDA</v>
      </c>
      <c r="J79" s="157">
        <v>21550</v>
      </c>
      <c r="K79" s="63">
        <v>46021</v>
      </c>
      <c r="L79" s="157">
        <v>21550</v>
      </c>
      <c r="M79" s="157">
        <f t="shared" si="2"/>
        <v>0</v>
      </c>
      <c r="N79" s="62" t="s">
        <v>441</v>
      </c>
      <c r="O79" s="20" t="s">
        <v>440</v>
      </c>
      <c r="P79" s="62"/>
    </row>
    <row r="80" spans="1:16" ht="18" customHeight="1" x14ac:dyDescent="0.25">
      <c r="A80" s="59">
        <v>75</v>
      </c>
      <c r="B80" s="58">
        <v>45962</v>
      </c>
      <c r="C80" s="59">
        <v>1</v>
      </c>
      <c r="D80" s="59">
        <v>30</v>
      </c>
      <c r="E80" s="59">
        <v>13</v>
      </c>
      <c r="F80" s="59">
        <v>318</v>
      </c>
      <c r="G80" s="60">
        <v>45992</v>
      </c>
      <c r="H80" s="60">
        <v>46021</v>
      </c>
      <c r="I80" s="59" t="str">
        <f>IF(E80="","",_xlfn.XLOOKUP(E80,'🏢 CLIENTES'!A:A,'🏢 CLIENTES'!B:B,""))</f>
        <v>Consorcio Manutencao Guarapiranga</v>
      </c>
      <c r="J80" s="156">
        <v>12000</v>
      </c>
      <c r="K80" s="60">
        <v>46037</v>
      </c>
      <c r="L80" s="156">
        <v>13328</v>
      </c>
      <c r="M80" s="156">
        <f t="shared" si="2"/>
        <v>1328</v>
      </c>
      <c r="N80" s="59" t="s">
        <v>439</v>
      </c>
      <c r="O80" s="20" t="s">
        <v>440</v>
      </c>
      <c r="P80" s="59"/>
    </row>
    <row r="81" spans="1:16" ht="18" customHeight="1" x14ac:dyDescent="0.25">
      <c r="A81" s="59">
        <v>79</v>
      </c>
      <c r="B81" s="58">
        <v>45962</v>
      </c>
      <c r="C81" s="59">
        <v>1</v>
      </c>
      <c r="D81" s="59">
        <v>30</v>
      </c>
      <c r="E81" s="59">
        <v>13</v>
      </c>
      <c r="F81" s="59">
        <v>319</v>
      </c>
      <c r="G81" s="60">
        <v>45995</v>
      </c>
      <c r="H81" s="60">
        <v>46021</v>
      </c>
      <c r="I81" s="59" t="str">
        <f>IF(E81="","",_xlfn.XLOOKUP(E81,'🏢 CLIENTES'!A:A,'🏢 CLIENTES'!B:B,""))</f>
        <v>Consorcio Manutencao Guarapiranga</v>
      </c>
      <c r="J81" s="156">
        <v>1500</v>
      </c>
      <c r="K81" s="60">
        <v>46037</v>
      </c>
      <c r="L81" s="156">
        <v>1666</v>
      </c>
      <c r="M81" s="156">
        <f t="shared" si="2"/>
        <v>166</v>
      </c>
      <c r="N81" s="59" t="s">
        <v>439</v>
      </c>
      <c r="O81" s="20" t="s">
        <v>440</v>
      </c>
      <c r="P81" s="62"/>
    </row>
    <row r="82" spans="1:16" ht="18" customHeight="1" x14ac:dyDescent="0.25">
      <c r="A82" s="62">
        <v>82</v>
      </c>
      <c r="B82" s="61">
        <v>45992</v>
      </c>
      <c r="C82" s="62">
        <v>3</v>
      </c>
      <c r="D82" s="62">
        <v>29</v>
      </c>
      <c r="E82" s="62">
        <v>9</v>
      </c>
      <c r="F82" s="62">
        <v>116</v>
      </c>
      <c r="G82" s="63">
        <v>46024</v>
      </c>
      <c r="H82" s="63">
        <v>46027</v>
      </c>
      <c r="I82" s="62" t="str">
        <f>IF(E82="","",_xlfn.XLOOKUP(E82,'🏢 CLIENTES'!A:A,'🏢 CLIENTES'!B:B,""))</f>
        <v>Polemica Servicos Basicos LTDA</v>
      </c>
      <c r="J82" s="157">
        <v>33330</v>
      </c>
      <c r="K82" s="63">
        <v>46027</v>
      </c>
      <c r="L82" s="157">
        <v>33330</v>
      </c>
      <c r="M82" s="157">
        <f t="shared" si="2"/>
        <v>0</v>
      </c>
      <c r="N82" s="62" t="s">
        <v>439</v>
      </c>
      <c r="O82" s="20" t="s">
        <v>440</v>
      </c>
      <c r="P82" s="59"/>
    </row>
    <row r="83" spans="1:16" ht="18" customHeight="1" x14ac:dyDescent="0.25">
      <c r="A83" s="59">
        <v>83</v>
      </c>
      <c r="B83" s="58">
        <v>45992</v>
      </c>
      <c r="C83" s="59">
        <v>3</v>
      </c>
      <c r="D83" s="59">
        <v>28</v>
      </c>
      <c r="E83" s="59">
        <v>12</v>
      </c>
      <c r="F83" s="59">
        <v>119</v>
      </c>
      <c r="G83" s="60">
        <v>46024</v>
      </c>
      <c r="H83" s="60">
        <v>46030</v>
      </c>
      <c r="I83" s="59" t="str">
        <f>IF(E83="","",_xlfn.XLOOKUP(E83,'🏢 CLIENTES'!A:A,'🏢 CLIENTES'!B:B,""))</f>
        <v>Consorcio Global Franca II</v>
      </c>
      <c r="J83" s="156">
        <v>12700</v>
      </c>
      <c r="K83" s="60">
        <v>46030</v>
      </c>
      <c r="L83" s="156">
        <v>12700</v>
      </c>
      <c r="M83" s="156">
        <f t="shared" si="2"/>
        <v>0</v>
      </c>
      <c r="N83" s="59" t="s">
        <v>439</v>
      </c>
      <c r="O83" s="20" t="s">
        <v>440</v>
      </c>
      <c r="P83" s="62"/>
    </row>
    <row r="84" spans="1:16" ht="18" customHeight="1" x14ac:dyDescent="0.25">
      <c r="A84" s="62">
        <v>84</v>
      </c>
      <c r="B84" s="61">
        <v>45992</v>
      </c>
      <c r="C84" s="62">
        <v>3</v>
      </c>
      <c r="D84" s="62">
        <v>27</v>
      </c>
      <c r="E84" s="62">
        <v>7</v>
      </c>
      <c r="F84" s="62">
        <v>118</v>
      </c>
      <c r="G84" s="63">
        <v>46024</v>
      </c>
      <c r="H84" s="63">
        <v>46032</v>
      </c>
      <c r="I84" s="62" t="str">
        <f>IF(E84="","",_xlfn.XLOOKUP(E84,'🏢 CLIENTES'!A:A,'🏢 CLIENTES'!B:B,""))</f>
        <v>Fibertec Engenharia LTDA</v>
      </c>
      <c r="J84" s="157">
        <v>18500</v>
      </c>
      <c r="K84" s="63">
        <v>46036</v>
      </c>
      <c r="L84" s="157">
        <v>18550</v>
      </c>
      <c r="M84" s="157">
        <f t="shared" si="2"/>
        <v>50</v>
      </c>
      <c r="N84" s="62" t="s">
        <v>439</v>
      </c>
      <c r="O84" s="20" t="s">
        <v>440</v>
      </c>
      <c r="P84" s="59"/>
    </row>
    <row r="85" spans="1:16" ht="18" customHeight="1" x14ac:dyDescent="0.25">
      <c r="A85" s="59">
        <v>81</v>
      </c>
      <c r="B85" s="58">
        <v>45962</v>
      </c>
      <c r="C85" s="59">
        <v>1</v>
      </c>
      <c r="D85" s="59">
        <v>31</v>
      </c>
      <c r="E85" s="59">
        <v>1</v>
      </c>
      <c r="F85" s="59">
        <v>320</v>
      </c>
      <c r="G85" s="60">
        <v>46021</v>
      </c>
      <c r="H85" s="60">
        <v>46037</v>
      </c>
      <c r="I85" s="59" t="str">
        <f>IF(E85="","",_xlfn.XLOOKUP(E85,'🏢 CLIENTES'!A:A,'🏢 CLIENTES'!B:B,""))</f>
        <v>Celebre Obras e Servicos LTDA</v>
      </c>
      <c r="J85" s="156">
        <v>13400</v>
      </c>
      <c r="K85" s="60">
        <v>46042</v>
      </c>
      <c r="L85" s="156">
        <v>13400</v>
      </c>
      <c r="M85" s="156">
        <f t="shared" si="2"/>
        <v>0</v>
      </c>
      <c r="N85" s="59" t="s">
        <v>441</v>
      </c>
      <c r="O85" s="20" t="s">
        <v>440</v>
      </c>
      <c r="P85" s="62"/>
    </row>
    <row r="86" spans="1:16" ht="18" customHeight="1" x14ac:dyDescent="0.25">
      <c r="A86" s="59">
        <v>85</v>
      </c>
      <c r="B86" s="58">
        <v>45992</v>
      </c>
      <c r="C86" s="59">
        <v>3</v>
      </c>
      <c r="D86" s="59">
        <v>26</v>
      </c>
      <c r="E86" s="59">
        <v>11</v>
      </c>
      <c r="F86" s="59">
        <v>117</v>
      </c>
      <c r="G86" s="60">
        <v>46024</v>
      </c>
      <c r="H86" s="60">
        <v>46037</v>
      </c>
      <c r="I86" s="59" t="str">
        <f>IF(E86="","",_xlfn.XLOOKUP(E86,'🏢 CLIENTES'!A:A,'🏢 CLIENTES'!B:B,""))</f>
        <v>Zigurate Construcao LTDA</v>
      </c>
      <c r="J86" s="156">
        <v>27500</v>
      </c>
      <c r="K86" s="60">
        <v>46037</v>
      </c>
      <c r="L86" s="156">
        <v>27500</v>
      </c>
      <c r="M86" s="156">
        <f t="shared" si="2"/>
        <v>0</v>
      </c>
      <c r="N86" s="59" t="s">
        <v>439</v>
      </c>
      <c r="O86" s="20" t="s">
        <v>440</v>
      </c>
      <c r="P86" s="59"/>
    </row>
    <row r="87" spans="1:16" ht="18" customHeight="1" x14ac:dyDescent="0.25">
      <c r="A87" s="62">
        <v>86</v>
      </c>
      <c r="B87" s="61">
        <v>45992</v>
      </c>
      <c r="C87" s="62">
        <v>1</v>
      </c>
      <c r="D87" s="62">
        <v>23</v>
      </c>
      <c r="E87" s="62">
        <v>1</v>
      </c>
      <c r="F87" s="62">
        <v>321</v>
      </c>
      <c r="G87" s="63">
        <v>46024</v>
      </c>
      <c r="H87" s="63">
        <v>46052</v>
      </c>
      <c r="I87" s="62" t="str">
        <f>IF(E87="","",_xlfn.XLOOKUP(E87,'🏢 CLIENTES'!A:A,'🏢 CLIENTES'!B:B,""))</f>
        <v>Celebre Obras e Servicos LTDA</v>
      </c>
      <c r="J87" s="157">
        <v>21550</v>
      </c>
      <c r="K87" s="63">
        <v>46052</v>
      </c>
      <c r="L87" s="157">
        <v>21550</v>
      </c>
      <c r="M87" s="157">
        <f t="shared" si="2"/>
        <v>0</v>
      </c>
      <c r="N87" s="62" t="s">
        <v>441</v>
      </c>
      <c r="O87" s="20" t="s">
        <v>440</v>
      </c>
      <c r="P87" s="62"/>
    </row>
    <row r="88" spans="1:16" ht="18" customHeight="1" x14ac:dyDescent="0.25">
      <c r="A88" s="59">
        <v>87</v>
      </c>
      <c r="B88" s="58">
        <v>46023</v>
      </c>
      <c r="C88" s="59">
        <v>1</v>
      </c>
      <c r="D88" s="59">
        <v>26</v>
      </c>
      <c r="E88" s="59">
        <v>11</v>
      </c>
      <c r="F88" s="59">
        <v>322</v>
      </c>
      <c r="G88" s="60">
        <v>46036</v>
      </c>
      <c r="H88" s="60">
        <v>46052</v>
      </c>
      <c r="I88" s="59" t="str">
        <f>IF(E88="","",_xlfn.XLOOKUP(E88,'🏢 CLIENTES'!A:A,'🏢 CLIENTES'!B:B,""))</f>
        <v>Zigurate Construcao LTDA</v>
      </c>
      <c r="J88" s="156">
        <v>0</v>
      </c>
      <c r="K88" s="60">
        <f ca="1">TODAY()</f>
        <v>46152</v>
      </c>
      <c r="L88" s="156">
        <v>0</v>
      </c>
      <c r="M88" s="156">
        <f t="shared" si="2"/>
        <v>0</v>
      </c>
      <c r="N88" s="59" t="s">
        <v>439</v>
      </c>
      <c r="O88" s="64" t="s">
        <v>445</v>
      </c>
      <c r="P88" s="59"/>
    </row>
    <row r="89" spans="1:16" ht="18" customHeight="1" x14ac:dyDescent="0.25">
      <c r="A89" s="59">
        <v>89</v>
      </c>
      <c r="B89" s="58">
        <v>46023</v>
      </c>
      <c r="C89" s="59">
        <v>3</v>
      </c>
      <c r="D89" s="59">
        <v>29</v>
      </c>
      <c r="E89" s="59">
        <v>9</v>
      </c>
      <c r="F89" s="59">
        <v>120</v>
      </c>
      <c r="G89" s="60">
        <v>46055</v>
      </c>
      <c r="H89" s="60">
        <v>46058</v>
      </c>
      <c r="I89" s="59" t="str">
        <f>IF(E89="","",_xlfn.XLOOKUP(E89,'🏢 CLIENTES'!A:A,'🏢 CLIENTES'!B:B,""))</f>
        <v>Polemica Servicos Basicos LTDA</v>
      </c>
      <c r="J89" s="156">
        <v>33330</v>
      </c>
      <c r="K89" s="60">
        <v>46058</v>
      </c>
      <c r="L89" s="156">
        <v>33330</v>
      </c>
      <c r="M89" s="156">
        <f t="shared" si="2"/>
        <v>0</v>
      </c>
      <c r="N89" s="59" t="s">
        <v>439</v>
      </c>
      <c r="O89" s="20" t="s">
        <v>440</v>
      </c>
      <c r="P89" s="62"/>
    </row>
    <row r="90" spans="1:16" ht="18" customHeight="1" x14ac:dyDescent="0.25">
      <c r="A90" s="59">
        <v>91</v>
      </c>
      <c r="B90" s="58">
        <v>46023</v>
      </c>
      <c r="C90" s="59">
        <v>3</v>
      </c>
      <c r="D90" s="59">
        <v>28</v>
      </c>
      <c r="E90" s="59">
        <v>12</v>
      </c>
      <c r="F90" s="59">
        <v>122</v>
      </c>
      <c r="G90" s="60">
        <v>46055</v>
      </c>
      <c r="H90" s="60">
        <v>46061</v>
      </c>
      <c r="I90" s="59" t="str">
        <f>IF(E90="","",_xlfn.XLOOKUP(E90,'🏢 CLIENTES'!A:A,'🏢 CLIENTES'!B:B,""))</f>
        <v>Consorcio Global Franca II</v>
      </c>
      <c r="J90" s="156">
        <v>12550</v>
      </c>
      <c r="K90" s="60">
        <v>46061</v>
      </c>
      <c r="L90" s="156">
        <v>12550</v>
      </c>
      <c r="M90" s="156">
        <f t="shared" si="2"/>
        <v>0</v>
      </c>
      <c r="N90" s="59" t="s">
        <v>439</v>
      </c>
      <c r="O90" s="20" t="s">
        <v>440</v>
      </c>
      <c r="P90" s="59"/>
    </row>
    <row r="91" spans="1:16" ht="18" customHeight="1" x14ac:dyDescent="0.25">
      <c r="A91" s="62">
        <v>92</v>
      </c>
      <c r="B91" s="61">
        <v>46023</v>
      </c>
      <c r="C91" s="62">
        <v>3</v>
      </c>
      <c r="D91" s="62">
        <v>27</v>
      </c>
      <c r="E91" s="62">
        <v>7</v>
      </c>
      <c r="F91" s="62">
        <v>123</v>
      </c>
      <c r="G91" s="63">
        <v>46055</v>
      </c>
      <c r="H91" s="63">
        <v>46063</v>
      </c>
      <c r="I91" s="62" t="str">
        <f>IF(E91="","",_xlfn.XLOOKUP(E91,'🏢 CLIENTES'!A:A,'🏢 CLIENTES'!B:B,""))</f>
        <v>Fibertec Engenharia LTDA</v>
      </c>
      <c r="J91" s="157">
        <v>18500</v>
      </c>
      <c r="K91" s="63">
        <v>46064</v>
      </c>
      <c r="L91" s="157">
        <v>20362.330000000002</v>
      </c>
      <c r="M91" s="157">
        <f t="shared" si="2"/>
        <v>1862.3300000000017</v>
      </c>
      <c r="N91" s="62" t="s">
        <v>439</v>
      </c>
      <c r="O91" s="20" t="s">
        <v>440</v>
      </c>
      <c r="P91" s="62"/>
    </row>
    <row r="92" spans="1:16" ht="18" customHeight="1" x14ac:dyDescent="0.25">
      <c r="A92" s="62">
        <v>88</v>
      </c>
      <c r="B92" s="61">
        <v>46023</v>
      </c>
      <c r="C92" s="62">
        <v>1</v>
      </c>
      <c r="D92" s="62">
        <v>31</v>
      </c>
      <c r="E92" s="62">
        <v>1</v>
      </c>
      <c r="F92" s="62">
        <v>323</v>
      </c>
      <c r="G92" s="63">
        <v>46037</v>
      </c>
      <c r="H92" s="63">
        <v>46068</v>
      </c>
      <c r="I92" s="62" t="str">
        <f>IF(E92="","",_xlfn.XLOOKUP(E92,'🏢 CLIENTES'!A:A,'🏢 CLIENTES'!B:B,""))</f>
        <v>Celebre Obras e Servicos LTDA</v>
      </c>
      <c r="J92" s="157">
        <v>10050</v>
      </c>
      <c r="K92" s="63">
        <v>46073</v>
      </c>
      <c r="L92" s="157">
        <v>10565.89</v>
      </c>
      <c r="M92" s="157">
        <f t="shared" si="2"/>
        <v>515.88999999999942</v>
      </c>
      <c r="N92" s="62" t="s">
        <v>439</v>
      </c>
      <c r="O92" s="20" t="s">
        <v>440</v>
      </c>
      <c r="P92" s="59"/>
    </row>
    <row r="93" spans="1:16" ht="18" customHeight="1" x14ac:dyDescent="0.25">
      <c r="A93" s="62">
        <v>90</v>
      </c>
      <c r="B93" s="61">
        <v>46023</v>
      </c>
      <c r="C93" s="62">
        <v>3</v>
      </c>
      <c r="D93" s="62">
        <v>26</v>
      </c>
      <c r="E93" s="62">
        <v>11</v>
      </c>
      <c r="F93" s="62">
        <v>121</v>
      </c>
      <c r="G93" s="63">
        <v>46055</v>
      </c>
      <c r="H93" s="63">
        <v>46068</v>
      </c>
      <c r="I93" s="62" t="str">
        <f>IF(E93="","",_xlfn.XLOOKUP(E93,'🏢 CLIENTES'!A:A,'🏢 CLIENTES'!B:B,""))</f>
        <v>Zigurate Construcao LTDA</v>
      </c>
      <c r="J93" s="157">
        <v>27500</v>
      </c>
      <c r="K93" s="63">
        <v>46072</v>
      </c>
      <c r="L93" s="157">
        <v>28550</v>
      </c>
      <c r="M93" s="157">
        <f t="shared" si="2"/>
        <v>1050</v>
      </c>
      <c r="N93" s="62" t="s">
        <v>439</v>
      </c>
      <c r="O93" s="20" t="s">
        <v>440</v>
      </c>
      <c r="P93" s="62"/>
    </row>
    <row r="94" spans="1:16" ht="18" customHeight="1" x14ac:dyDescent="0.25">
      <c r="A94" s="59">
        <v>93</v>
      </c>
      <c r="B94" s="58">
        <v>46023</v>
      </c>
      <c r="C94" s="59">
        <v>1</v>
      </c>
      <c r="D94" s="59">
        <v>23</v>
      </c>
      <c r="E94" s="59">
        <v>1</v>
      </c>
      <c r="F94" s="59">
        <v>324</v>
      </c>
      <c r="G94" s="60">
        <v>46063</v>
      </c>
      <c r="H94" s="60">
        <v>46081</v>
      </c>
      <c r="I94" s="59" t="str">
        <f>IF(E94="","",_xlfn.XLOOKUP(E94,'🏢 CLIENTES'!A:A,'🏢 CLIENTES'!B:B,""))</f>
        <v>Celebre Obras e Servicos LTDA</v>
      </c>
      <c r="J94" s="156">
        <v>18026.72</v>
      </c>
      <c r="K94" s="60">
        <v>46081</v>
      </c>
      <c r="L94" s="156">
        <v>18026.72</v>
      </c>
      <c r="M94" s="156">
        <f t="shared" si="2"/>
        <v>0</v>
      </c>
      <c r="N94" s="59" t="s">
        <v>441</v>
      </c>
      <c r="O94" s="20" t="s">
        <v>440</v>
      </c>
      <c r="P94" s="59"/>
    </row>
    <row r="95" spans="1:16" ht="18" customHeight="1" x14ac:dyDescent="0.25">
      <c r="A95" s="62">
        <v>96</v>
      </c>
      <c r="B95" s="61">
        <v>46054</v>
      </c>
      <c r="C95" s="62">
        <v>3</v>
      </c>
      <c r="D95" s="62">
        <v>29</v>
      </c>
      <c r="E95" s="62">
        <v>9</v>
      </c>
      <c r="F95" s="62">
        <v>124</v>
      </c>
      <c r="G95" s="63">
        <v>46083</v>
      </c>
      <c r="H95" s="63">
        <v>46086</v>
      </c>
      <c r="I95" s="62" t="str">
        <f>IF(E95="","",_xlfn.XLOOKUP(E95,'🏢 CLIENTES'!A:A,'🏢 CLIENTES'!B:B,""))</f>
        <v>Polemica Servicos Basicos LTDA</v>
      </c>
      <c r="J95" s="157">
        <v>32918.9</v>
      </c>
      <c r="K95" s="63">
        <v>46090</v>
      </c>
      <c r="L95" s="157">
        <f>J95+3381.9</f>
        <v>36300.800000000003</v>
      </c>
      <c r="M95" s="157">
        <f t="shared" si="2"/>
        <v>3381.9000000000015</v>
      </c>
      <c r="N95" s="62" t="s">
        <v>439</v>
      </c>
      <c r="O95" s="20" t="s">
        <v>440</v>
      </c>
      <c r="P95" s="62"/>
    </row>
    <row r="96" spans="1:16" ht="18" customHeight="1" x14ac:dyDescent="0.25">
      <c r="A96" s="62">
        <v>98</v>
      </c>
      <c r="B96" s="61">
        <v>46054</v>
      </c>
      <c r="C96" s="62">
        <v>3</v>
      </c>
      <c r="D96" s="62">
        <v>28</v>
      </c>
      <c r="E96" s="62">
        <v>12</v>
      </c>
      <c r="F96" s="62">
        <v>126</v>
      </c>
      <c r="G96" s="63">
        <v>46083</v>
      </c>
      <c r="H96" s="63">
        <v>46089</v>
      </c>
      <c r="I96" s="62" t="str">
        <f>IF(E96="","",_xlfn.XLOOKUP(E96,'🏢 CLIENTES'!A:A,'🏢 CLIENTES'!B:B,""))</f>
        <v>Consorcio Global Franca II</v>
      </c>
      <c r="J96" s="157">
        <v>12550</v>
      </c>
      <c r="K96" s="63">
        <v>46098</v>
      </c>
      <c r="L96" s="157">
        <v>13252.77</v>
      </c>
      <c r="M96" s="157">
        <f t="shared" si="2"/>
        <v>702.77000000000044</v>
      </c>
      <c r="N96" s="62" t="s">
        <v>439</v>
      </c>
      <c r="O96" s="20" t="s">
        <v>440</v>
      </c>
      <c r="P96" s="59"/>
    </row>
    <row r="97" spans="1:16" ht="18" customHeight="1" x14ac:dyDescent="0.25">
      <c r="A97" s="59">
        <v>99</v>
      </c>
      <c r="B97" s="58">
        <v>46054</v>
      </c>
      <c r="C97" s="59">
        <v>3</v>
      </c>
      <c r="D97" s="59">
        <v>27</v>
      </c>
      <c r="E97" s="59">
        <v>7</v>
      </c>
      <c r="F97" s="59">
        <v>127</v>
      </c>
      <c r="G97" s="60">
        <v>46083</v>
      </c>
      <c r="H97" s="60">
        <v>46091</v>
      </c>
      <c r="I97" s="59" t="str">
        <f>IF(E97="","",_xlfn.XLOOKUP(E97,'🏢 CLIENTES'!A:A,'🏢 CLIENTES'!B:B,""))</f>
        <v>Fibertec Engenharia LTDA</v>
      </c>
      <c r="J97" s="156">
        <v>18500</v>
      </c>
      <c r="K97" s="60">
        <v>46100</v>
      </c>
      <c r="L97" s="156">
        <v>18500</v>
      </c>
      <c r="M97" s="156">
        <f t="shared" si="2"/>
        <v>0</v>
      </c>
      <c r="N97" s="59" t="s">
        <v>439</v>
      </c>
      <c r="O97" s="20" t="s">
        <v>440</v>
      </c>
      <c r="P97" s="62"/>
    </row>
    <row r="98" spans="1:16" ht="18" customHeight="1" x14ac:dyDescent="0.25">
      <c r="A98" s="59">
        <v>97</v>
      </c>
      <c r="B98" s="58">
        <v>46054</v>
      </c>
      <c r="C98" s="59">
        <v>3</v>
      </c>
      <c r="D98" s="59">
        <v>26</v>
      </c>
      <c r="E98" s="59">
        <v>11</v>
      </c>
      <c r="F98" s="59">
        <v>125</v>
      </c>
      <c r="G98" s="60">
        <v>46083</v>
      </c>
      <c r="H98" s="60">
        <v>46094</v>
      </c>
      <c r="I98" s="59" t="str">
        <f>IF(E98="","",_xlfn.XLOOKUP(E98,'🏢 CLIENTES'!A:A,'🏢 CLIENTES'!B:B,""))</f>
        <v>Zigurate Construcao LTDA</v>
      </c>
      <c r="J98" s="156">
        <v>27500</v>
      </c>
      <c r="K98" s="60">
        <f ca="1">TODAY()</f>
        <v>46152</v>
      </c>
      <c r="L98" s="156">
        <v>28000</v>
      </c>
      <c r="M98" s="156">
        <f t="shared" ref="M98:M110" si="3">IF(OR(L98=0,L98=""),0,L98-J98)</f>
        <v>500</v>
      </c>
      <c r="N98" s="59" t="s">
        <v>439</v>
      </c>
      <c r="O98" s="20" t="s">
        <v>440</v>
      </c>
      <c r="P98" s="59"/>
    </row>
    <row r="99" spans="1:16" ht="18" customHeight="1" x14ac:dyDescent="0.25">
      <c r="A99" s="62">
        <v>94</v>
      </c>
      <c r="B99" s="61">
        <v>46054</v>
      </c>
      <c r="C99" s="62">
        <v>1</v>
      </c>
      <c r="D99" s="62">
        <v>31</v>
      </c>
      <c r="E99" s="62">
        <v>1</v>
      </c>
      <c r="F99" s="62">
        <v>325</v>
      </c>
      <c r="G99" s="63">
        <v>46072</v>
      </c>
      <c r="H99" s="63">
        <v>46096</v>
      </c>
      <c r="I99" s="62" t="str">
        <f>IF(E99="","",_xlfn.XLOOKUP(E99,'🏢 CLIENTES'!A:A,'🏢 CLIENTES'!B:B,""))</f>
        <v>Celebre Obras e Servicos LTDA</v>
      </c>
      <c r="J99" s="157">
        <v>10050</v>
      </c>
      <c r="K99" s="63">
        <v>46097</v>
      </c>
      <c r="L99" s="157">
        <v>10562.55</v>
      </c>
      <c r="M99" s="157">
        <f t="shared" si="3"/>
        <v>512.54999999999927</v>
      </c>
      <c r="N99" s="62" t="s">
        <v>439</v>
      </c>
      <c r="O99" s="20" t="s">
        <v>440</v>
      </c>
      <c r="P99" s="62"/>
    </row>
    <row r="100" spans="1:16" ht="18" customHeight="1" x14ac:dyDescent="0.25">
      <c r="A100" s="59">
        <v>95</v>
      </c>
      <c r="B100" s="58">
        <v>46054</v>
      </c>
      <c r="C100" s="59">
        <v>1</v>
      </c>
      <c r="D100" s="59">
        <v>31</v>
      </c>
      <c r="E100" s="59">
        <v>1</v>
      </c>
      <c r="F100" s="59">
        <v>326</v>
      </c>
      <c r="G100" s="60">
        <v>46072</v>
      </c>
      <c r="H100" s="60">
        <v>46096</v>
      </c>
      <c r="I100" s="59" t="str">
        <f>IF(E100="","",_xlfn.XLOOKUP(E100,'🏢 CLIENTES'!A:A,'🏢 CLIENTES'!B:B,""))</f>
        <v>Celebre Obras e Servicos LTDA</v>
      </c>
      <c r="J100" s="156">
        <v>5025</v>
      </c>
      <c r="K100" s="60">
        <v>46097</v>
      </c>
      <c r="L100" s="156">
        <v>5281.27</v>
      </c>
      <c r="M100" s="156">
        <f t="shared" si="3"/>
        <v>256.27000000000044</v>
      </c>
      <c r="N100" s="59" t="s">
        <v>439</v>
      </c>
      <c r="O100" s="20" t="s">
        <v>440</v>
      </c>
      <c r="P100" s="59"/>
    </row>
    <row r="101" spans="1:16" ht="18" customHeight="1" x14ac:dyDescent="0.25">
      <c r="A101" s="62">
        <v>100</v>
      </c>
      <c r="B101" s="61">
        <v>46054</v>
      </c>
      <c r="C101" s="62">
        <v>1</v>
      </c>
      <c r="D101" s="62">
        <v>23</v>
      </c>
      <c r="E101" s="62">
        <v>1</v>
      </c>
      <c r="F101" s="62">
        <v>327</v>
      </c>
      <c r="G101" s="63">
        <v>46086</v>
      </c>
      <c r="H101" s="63">
        <v>46111</v>
      </c>
      <c r="I101" s="62" t="str">
        <f>IF(E101="","",_xlfn.XLOOKUP(E101,'🏢 CLIENTES'!A:A,'🏢 CLIENTES'!B:B,""))</f>
        <v>Celebre Obras e Servicos LTDA</v>
      </c>
      <c r="J101" s="157">
        <v>21550</v>
      </c>
      <c r="K101" s="63">
        <v>46111</v>
      </c>
      <c r="L101" s="157">
        <v>21550</v>
      </c>
      <c r="M101" s="157">
        <f t="shared" si="3"/>
        <v>0</v>
      </c>
      <c r="N101" s="62" t="s">
        <v>441</v>
      </c>
      <c r="O101" s="20" t="s">
        <v>440</v>
      </c>
      <c r="P101" s="62"/>
    </row>
    <row r="102" spans="1:16" ht="18" customHeight="1" x14ac:dyDescent="0.25">
      <c r="A102" s="59">
        <v>101</v>
      </c>
      <c r="B102" s="58">
        <v>46054</v>
      </c>
      <c r="C102" s="59">
        <v>1</v>
      </c>
      <c r="D102" s="59">
        <v>32</v>
      </c>
      <c r="E102" s="59">
        <v>16</v>
      </c>
      <c r="F102" s="59">
        <v>328</v>
      </c>
      <c r="G102" s="60">
        <v>46086</v>
      </c>
      <c r="H102" s="60">
        <v>46111</v>
      </c>
      <c r="I102" s="59" t="str">
        <f>IF(E102="","",_xlfn.XLOOKUP(E102,'🏢 CLIENTES'!A:A,'🏢 CLIENTES'!B:B,""))</f>
        <v>Angra Construcoes e Saneamento LTDA</v>
      </c>
      <c r="J102" s="156">
        <v>4795</v>
      </c>
      <c r="K102" s="60">
        <v>46111</v>
      </c>
      <c r="L102" s="156">
        <v>4795</v>
      </c>
      <c r="M102" s="156">
        <f t="shared" si="3"/>
        <v>0</v>
      </c>
      <c r="N102" s="59" t="s">
        <v>439</v>
      </c>
      <c r="O102" s="20" t="s">
        <v>440</v>
      </c>
      <c r="P102" s="59"/>
    </row>
    <row r="103" spans="1:16" ht="18" customHeight="1" x14ac:dyDescent="0.25">
      <c r="A103" s="59">
        <v>103</v>
      </c>
      <c r="B103" s="58">
        <v>46082</v>
      </c>
      <c r="C103" s="59">
        <v>3</v>
      </c>
      <c r="D103" s="59">
        <v>29</v>
      </c>
      <c r="E103" s="59">
        <v>9</v>
      </c>
      <c r="F103" s="59">
        <v>128</v>
      </c>
      <c r="G103" s="60">
        <v>46083</v>
      </c>
      <c r="H103" s="60">
        <v>46117</v>
      </c>
      <c r="I103" s="59" t="str">
        <f>IF(E103="","",_xlfn.XLOOKUP(E103,'🏢 CLIENTES'!A:A,'🏢 CLIENTES'!B:B,""))</f>
        <v>Polemica Servicos Basicos LTDA</v>
      </c>
      <c r="J103" s="156">
        <v>32918.9</v>
      </c>
      <c r="K103" s="60">
        <v>46117</v>
      </c>
      <c r="L103" s="156">
        <v>32918.9</v>
      </c>
      <c r="M103" s="156">
        <f t="shared" si="3"/>
        <v>0</v>
      </c>
      <c r="N103" s="59" t="s">
        <v>439</v>
      </c>
      <c r="O103" s="20" t="s">
        <v>440</v>
      </c>
      <c r="P103" s="62"/>
    </row>
    <row r="104" spans="1:16" ht="18" customHeight="1" x14ac:dyDescent="0.25">
      <c r="A104" s="62">
        <v>106</v>
      </c>
      <c r="B104" s="61">
        <v>46082</v>
      </c>
      <c r="C104" s="62">
        <v>3</v>
      </c>
      <c r="D104" s="62">
        <v>28</v>
      </c>
      <c r="E104" s="62">
        <v>12</v>
      </c>
      <c r="F104" s="62">
        <v>131</v>
      </c>
      <c r="G104" s="63">
        <v>46083</v>
      </c>
      <c r="H104" s="63">
        <v>46120</v>
      </c>
      <c r="I104" s="62" t="str">
        <f>IF(E104="","",_xlfn.XLOOKUP(E104,'🏢 CLIENTES'!A:A,'🏢 CLIENTES'!B:B,""))</f>
        <v>Consorcio Global Franca II</v>
      </c>
      <c r="J104" s="157">
        <v>12550</v>
      </c>
      <c r="K104" s="63">
        <v>46120</v>
      </c>
      <c r="L104" s="157">
        <v>12550</v>
      </c>
      <c r="M104" s="157">
        <f t="shared" si="3"/>
        <v>0</v>
      </c>
      <c r="N104" s="62" t="s">
        <v>439</v>
      </c>
      <c r="O104" s="20" t="s">
        <v>440</v>
      </c>
      <c r="P104" s="59"/>
    </row>
    <row r="105" spans="1:16" ht="18" customHeight="1" x14ac:dyDescent="0.25">
      <c r="A105" s="59">
        <v>107</v>
      </c>
      <c r="B105" s="58">
        <v>46082</v>
      </c>
      <c r="C105" s="59">
        <v>3</v>
      </c>
      <c r="D105" s="59">
        <v>33</v>
      </c>
      <c r="E105" s="59">
        <v>7</v>
      </c>
      <c r="F105" s="59">
        <v>132</v>
      </c>
      <c r="G105" s="60">
        <v>46083</v>
      </c>
      <c r="H105" s="60">
        <v>46122</v>
      </c>
      <c r="I105" s="59" t="str">
        <f>IF(E105="","",_xlfn.XLOOKUP(E105,'🏢 CLIENTES'!A:A,'🏢 CLIENTES'!B:B,""))</f>
        <v>Fibertec Engenharia LTDA</v>
      </c>
      <c r="J105" s="156">
        <v>20550</v>
      </c>
      <c r="K105" s="60">
        <v>46126</v>
      </c>
      <c r="L105" s="156">
        <v>20550</v>
      </c>
      <c r="M105" s="156">
        <f t="shared" si="3"/>
        <v>0</v>
      </c>
      <c r="N105" s="59" t="s">
        <v>439</v>
      </c>
      <c r="O105" s="20" t="s">
        <v>440</v>
      </c>
      <c r="P105" s="62"/>
    </row>
    <row r="106" spans="1:16" ht="18" customHeight="1" x14ac:dyDescent="0.25">
      <c r="A106" s="59">
        <v>105</v>
      </c>
      <c r="B106" s="58">
        <v>46082</v>
      </c>
      <c r="C106" s="59">
        <v>3</v>
      </c>
      <c r="D106" s="59">
        <v>26</v>
      </c>
      <c r="E106" s="59">
        <v>11</v>
      </c>
      <c r="F106" s="59">
        <v>130</v>
      </c>
      <c r="G106" s="60">
        <v>46083</v>
      </c>
      <c r="H106" s="60">
        <v>46125</v>
      </c>
      <c r="I106" s="59" t="str">
        <f>IF(E106="","",_xlfn.XLOOKUP(E106,'🏢 CLIENTES'!A:A,'🏢 CLIENTES'!B:B,""))</f>
        <v>Zigurate Construcao LTDA</v>
      </c>
      <c r="J106" s="156">
        <v>27550</v>
      </c>
      <c r="K106" s="60">
        <v>46135</v>
      </c>
      <c r="L106" s="156">
        <v>28000</v>
      </c>
      <c r="M106" s="156">
        <f t="shared" si="3"/>
        <v>450</v>
      </c>
      <c r="N106" s="59" t="s">
        <v>439</v>
      </c>
      <c r="O106" s="20" t="s">
        <v>440</v>
      </c>
      <c r="P106" s="59"/>
    </row>
    <row r="107" spans="1:16" ht="18" customHeight="1" x14ac:dyDescent="0.25">
      <c r="A107" s="62">
        <v>102</v>
      </c>
      <c r="B107" s="61">
        <v>46082</v>
      </c>
      <c r="C107" s="62">
        <v>1</v>
      </c>
      <c r="D107" s="62">
        <v>31</v>
      </c>
      <c r="E107" s="62">
        <v>1</v>
      </c>
      <c r="F107" s="62">
        <v>329</v>
      </c>
      <c r="G107" s="63">
        <v>46098</v>
      </c>
      <c r="H107" s="63">
        <v>46127</v>
      </c>
      <c r="I107" s="62" t="str">
        <f>IF(E107="","",_xlfn.XLOOKUP(E107,'🏢 CLIENTES'!A:A,'🏢 CLIENTES'!B:B,""))</f>
        <v>Celebre Obras e Servicos LTDA</v>
      </c>
      <c r="J107" s="157">
        <f>335*9</f>
        <v>3015</v>
      </c>
      <c r="K107" s="63">
        <v>46127</v>
      </c>
      <c r="L107" s="157">
        <v>3015</v>
      </c>
      <c r="M107" s="157">
        <f t="shared" si="3"/>
        <v>0</v>
      </c>
      <c r="N107" s="62" t="s">
        <v>439</v>
      </c>
      <c r="O107" s="20" t="s">
        <v>440</v>
      </c>
      <c r="P107" s="59"/>
    </row>
    <row r="108" spans="1:16" ht="18" customHeight="1" x14ac:dyDescent="0.25">
      <c r="A108" s="62">
        <v>104</v>
      </c>
      <c r="B108" s="61">
        <v>46082</v>
      </c>
      <c r="C108" s="62">
        <v>3</v>
      </c>
      <c r="D108" s="62">
        <v>34</v>
      </c>
      <c r="E108" s="62">
        <v>9</v>
      </c>
      <c r="F108" s="62">
        <v>129</v>
      </c>
      <c r="G108" s="63">
        <v>46083</v>
      </c>
      <c r="H108" s="63">
        <v>46127</v>
      </c>
      <c r="I108" s="62" t="str">
        <f>IF(E108="","",_xlfn.XLOOKUP(E108,'🏢 CLIENTES'!A:A,'🏢 CLIENTES'!B:B,""))</f>
        <v>Polemica Servicos Basicos LTDA</v>
      </c>
      <c r="J108" s="157">
        <v>9550</v>
      </c>
      <c r="K108" s="63">
        <v>46127</v>
      </c>
      <c r="L108" s="157">
        <v>9550</v>
      </c>
      <c r="M108" s="157">
        <f t="shared" si="3"/>
        <v>0</v>
      </c>
      <c r="N108" s="62" t="s">
        <v>439</v>
      </c>
      <c r="O108" s="20" t="s">
        <v>440</v>
      </c>
      <c r="P108" s="62"/>
    </row>
    <row r="109" spans="1:16" ht="18" customHeight="1" x14ac:dyDescent="0.25">
      <c r="A109" s="59">
        <v>109</v>
      </c>
      <c r="B109" s="58">
        <v>46082</v>
      </c>
      <c r="C109" s="59">
        <v>1</v>
      </c>
      <c r="D109" s="59">
        <v>35</v>
      </c>
      <c r="E109" s="59">
        <v>1</v>
      </c>
      <c r="F109" s="59">
        <v>330</v>
      </c>
      <c r="G109" s="60">
        <v>46086</v>
      </c>
      <c r="H109" s="60">
        <v>46142</v>
      </c>
      <c r="I109" s="59" t="str">
        <f>IF(E109="","",_xlfn.XLOOKUP(E109,'🏢 CLIENTES'!A:A,'🏢 CLIENTES'!B:B,""))</f>
        <v>Celebre Obras e Servicos LTDA</v>
      </c>
      <c r="J109" s="156">
        <v>21550</v>
      </c>
      <c r="K109" s="60">
        <v>46142</v>
      </c>
      <c r="L109" s="156">
        <v>21550</v>
      </c>
      <c r="M109" s="156">
        <f t="shared" si="3"/>
        <v>0</v>
      </c>
      <c r="N109" s="59" t="s">
        <v>441</v>
      </c>
      <c r="O109" s="20" t="s">
        <v>440</v>
      </c>
      <c r="P109" s="59"/>
    </row>
    <row r="110" spans="1:16" ht="18" customHeight="1" x14ac:dyDescent="0.25">
      <c r="A110" s="62">
        <v>110</v>
      </c>
      <c r="B110" s="61">
        <v>46082</v>
      </c>
      <c r="C110" s="62">
        <v>1</v>
      </c>
      <c r="D110" s="62">
        <v>32</v>
      </c>
      <c r="E110" s="62">
        <v>16</v>
      </c>
      <c r="F110" s="62">
        <v>331</v>
      </c>
      <c r="G110" s="63">
        <v>46086</v>
      </c>
      <c r="H110" s="63">
        <v>46142</v>
      </c>
      <c r="I110" s="62" t="str">
        <f>IF(E110="","",_xlfn.XLOOKUP(E110,'🏢 CLIENTES'!A:A,'🏢 CLIENTES'!B:B,""))</f>
        <v>Angra Construcoes e Saneamento LTDA</v>
      </c>
      <c r="J110" s="157">
        <v>6650</v>
      </c>
      <c r="K110" s="63"/>
      <c r="L110" s="157">
        <v>0</v>
      </c>
      <c r="M110" s="157">
        <f t="shared" si="3"/>
        <v>0</v>
      </c>
      <c r="N110" s="62" t="s">
        <v>439</v>
      </c>
      <c r="O110" s="21" t="s">
        <v>446</v>
      </c>
      <c r="P110" s="62"/>
    </row>
  </sheetData>
  <autoFilter ref="A1:O110" xr:uid="{00000000-0009-0000-0000-000005000000}">
    <sortState xmlns:xlrd2="http://schemas.microsoft.com/office/spreadsheetml/2017/richdata2" ref="A2:O110">
      <sortCondition ref="H1:H110"/>
    </sortState>
  </autoFilter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2"/>
  <sheetViews>
    <sheetView topLeftCell="A31" zoomScale="85" zoomScaleNormal="85" workbookViewId="0">
      <selection activeCell="A52" sqref="A52"/>
    </sheetView>
  </sheetViews>
  <sheetFormatPr defaultColWidth="8.85546875" defaultRowHeight="18" customHeight="1" x14ac:dyDescent="0.25"/>
  <cols>
    <col min="1" max="1" width="16.28515625" style="41" bestFit="1" customWidth="1"/>
    <col min="2" max="2" width="22.85546875" style="41" bestFit="1" customWidth="1"/>
    <col min="3" max="3" width="13.7109375" style="41" bestFit="1" customWidth="1"/>
    <col min="4" max="4" width="13.5703125" style="41" bestFit="1" customWidth="1"/>
    <col min="5" max="5" width="12.140625" style="41" bestFit="1" customWidth="1"/>
    <col min="6" max="6" width="12.140625" style="41" customWidth="1"/>
    <col min="7" max="7" width="17" style="41" bestFit="1" customWidth="1"/>
    <col min="8" max="8" width="10.5703125" style="41" bestFit="1" customWidth="1"/>
    <col min="9" max="9" width="10" style="41" bestFit="1" customWidth="1"/>
    <col min="10" max="10" width="11.7109375" style="49" bestFit="1" customWidth="1"/>
    <col min="11" max="11" width="15.140625" style="49" bestFit="1" customWidth="1"/>
    <col min="12" max="12" width="32.28515625" style="41" bestFit="1" customWidth="1"/>
    <col min="13" max="13" width="19.42578125" style="149" bestFit="1" customWidth="1"/>
    <col min="14" max="14" width="14.5703125" style="49" bestFit="1" customWidth="1"/>
    <col min="15" max="15" width="17.42578125" style="149" bestFit="1" customWidth="1"/>
    <col min="16" max="16" width="28" style="149" bestFit="1" customWidth="1"/>
    <col min="17" max="18" width="22.28515625" style="41" bestFit="1" customWidth="1"/>
    <col min="19" max="19" width="19.28515625" style="41" bestFit="1" customWidth="1"/>
    <col min="20" max="20" width="8.85546875" style="41" customWidth="1"/>
    <col min="21" max="16384" width="8.85546875" style="41"/>
  </cols>
  <sheetData>
    <row r="1" spans="1:19" ht="18" customHeight="1" x14ac:dyDescent="0.25">
      <c r="A1" s="19" t="s">
        <v>447</v>
      </c>
      <c r="B1" s="19" t="s">
        <v>448</v>
      </c>
      <c r="C1" s="19" t="s">
        <v>0</v>
      </c>
      <c r="D1" s="19" t="s">
        <v>277</v>
      </c>
      <c r="E1" s="19" t="s">
        <v>189</v>
      </c>
      <c r="F1" s="19" t="s">
        <v>46</v>
      </c>
      <c r="G1" s="19" t="s">
        <v>449</v>
      </c>
      <c r="H1" s="19" t="s">
        <v>450</v>
      </c>
      <c r="I1" s="19" t="s">
        <v>451</v>
      </c>
      <c r="J1" s="19" t="s">
        <v>430</v>
      </c>
      <c r="K1" s="19" t="s">
        <v>431</v>
      </c>
      <c r="L1" s="19" t="s">
        <v>432</v>
      </c>
      <c r="M1" s="19" t="s">
        <v>452</v>
      </c>
      <c r="N1" s="19" t="s">
        <v>434</v>
      </c>
      <c r="O1" s="19" t="s">
        <v>435</v>
      </c>
      <c r="P1" s="19" t="s">
        <v>453</v>
      </c>
      <c r="Q1" s="19" t="s">
        <v>437</v>
      </c>
      <c r="R1" s="19" t="s">
        <v>438</v>
      </c>
      <c r="S1" s="4" t="s">
        <v>292</v>
      </c>
    </row>
    <row r="2" spans="1:19" ht="18" customHeight="1" x14ac:dyDescent="0.25">
      <c r="A2" s="59">
        <v>1</v>
      </c>
      <c r="B2" s="59" t="s">
        <v>454</v>
      </c>
      <c r="C2" s="59">
        <v>1</v>
      </c>
      <c r="D2" s="59">
        <v>20</v>
      </c>
      <c r="E2" s="59">
        <v>8</v>
      </c>
      <c r="F2" s="59">
        <v>20</v>
      </c>
      <c r="G2" s="59"/>
      <c r="H2" s="59"/>
      <c r="I2" s="59">
        <v>12003</v>
      </c>
      <c r="J2" s="60">
        <v>45659</v>
      </c>
      <c r="K2" s="60">
        <v>45663</v>
      </c>
      <c r="L2" s="59" t="s">
        <v>455</v>
      </c>
      <c r="M2" s="156">
        <v>2333.33</v>
      </c>
      <c r="N2" s="60">
        <v>45663</v>
      </c>
      <c r="O2" s="156">
        <v>2333.33</v>
      </c>
      <c r="P2" s="156">
        <f t="shared" ref="P2:P37" si="0">IF(OR(O2=0,O2=""),0,O2-M2)</f>
        <v>0</v>
      </c>
      <c r="Q2" s="59" t="s">
        <v>439</v>
      </c>
      <c r="R2" s="20" t="s">
        <v>440</v>
      </c>
      <c r="S2" s="59"/>
    </row>
    <row r="3" spans="1:19" ht="18" customHeight="1" x14ac:dyDescent="0.25">
      <c r="A3" s="62">
        <v>2</v>
      </c>
      <c r="B3" s="62" t="s">
        <v>456</v>
      </c>
      <c r="C3" s="62">
        <v>1</v>
      </c>
      <c r="D3" s="62">
        <v>9</v>
      </c>
      <c r="E3" s="62">
        <v>4</v>
      </c>
      <c r="F3" s="62">
        <v>6</v>
      </c>
      <c r="G3" s="62"/>
      <c r="H3" s="62"/>
      <c r="I3" s="62">
        <v>12004</v>
      </c>
      <c r="J3" s="63">
        <v>45674</v>
      </c>
      <c r="K3" s="63">
        <v>45687</v>
      </c>
      <c r="L3" s="62" t="s">
        <v>213</v>
      </c>
      <c r="M3" s="157">
        <v>2010.28</v>
      </c>
      <c r="N3" s="63"/>
      <c r="O3" s="157">
        <v>0</v>
      </c>
      <c r="P3" s="157">
        <f t="shared" si="0"/>
        <v>0</v>
      </c>
      <c r="Q3" s="62" t="s">
        <v>441</v>
      </c>
      <c r="R3" s="64" t="s">
        <v>442</v>
      </c>
      <c r="S3" s="62"/>
    </row>
    <row r="4" spans="1:19" ht="18" customHeight="1" x14ac:dyDescent="0.25">
      <c r="A4" s="59">
        <v>3</v>
      </c>
      <c r="B4" s="59" t="s">
        <v>457</v>
      </c>
      <c r="C4" s="59">
        <v>1</v>
      </c>
      <c r="D4" s="59">
        <v>15</v>
      </c>
      <c r="E4" s="59">
        <v>1</v>
      </c>
      <c r="F4" s="59"/>
      <c r="G4" s="59"/>
      <c r="H4" s="59"/>
      <c r="I4" s="59">
        <v>12005</v>
      </c>
      <c r="J4" s="60">
        <v>45659</v>
      </c>
      <c r="K4" s="60">
        <v>45691</v>
      </c>
      <c r="L4" s="59" t="s">
        <v>195</v>
      </c>
      <c r="M4" s="156">
        <v>1669.3889999999999</v>
      </c>
      <c r="N4" s="60"/>
      <c r="O4" s="156">
        <v>0</v>
      </c>
      <c r="P4" s="156">
        <f t="shared" si="0"/>
        <v>0</v>
      </c>
      <c r="Q4" s="59" t="s">
        <v>441</v>
      </c>
      <c r="R4" s="64" t="s">
        <v>445</v>
      </c>
      <c r="S4" s="59"/>
    </row>
    <row r="5" spans="1:19" ht="18" customHeight="1" x14ac:dyDescent="0.25">
      <c r="A5" s="62">
        <v>4</v>
      </c>
      <c r="B5" s="62" t="s">
        <v>458</v>
      </c>
      <c r="C5" s="62">
        <v>1</v>
      </c>
      <c r="D5" s="62">
        <v>13</v>
      </c>
      <c r="E5" s="62">
        <v>9</v>
      </c>
      <c r="F5" s="62">
        <v>46</v>
      </c>
      <c r="G5" s="62"/>
      <c r="H5" s="62"/>
      <c r="I5" s="62">
        <v>12006</v>
      </c>
      <c r="J5" s="63">
        <v>45691</v>
      </c>
      <c r="K5" s="63">
        <v>45693</v>
      </c>
      <c r="L5" s="62" t="s">
        <v>241</v>
      </c>
      <c r="M5" s="157">
        <v>547</v>
      </c>
      <c r="N5" s="63">
        <v>45693</v>
      </c>
      <c r="O5" s="157">
        <v>547</v>
      </c>
      <c r="P5" s="157">
        <f t="shared" si="0"/>
        <v>0</v>
      </c>
      <c r="Q5" s="62" t="s">
        <v>439</v>
      </c>
      <c r="R5" s="20" t="s">
        <v>440</v>
      </c>
      <c r="S5" s="62"/>
    </row>
    <row r="6" spans="1:19" ht="18" customHeight="1" x14ac:dyDescent="0.25">
      <c r="A6" s="59">
        <v>5</v>
      </c>
      <c r="B6" s="59" t="s">
        <v>457</v>
      </c>
      <c r="C6" s="59">
        <v>1</v>
      </c>
      <c r="D6" s="59">
        <v>17</v>
      </c>
      <c r="E6" s="59">
        <v>11</v>
      </c>
      <c r="F6" s="59">
        <v>17</v>
      </c>
      <c r="G6" s="59"/>
      <c r="H6" s="59"/>
      <c r="I6" s="59">
        <v>12007</v>
      </c>
      <c r="J6" s="60">
        <v>45691</v>
      </c>
      <c r="K6" s="60">
        <v>45693</v>
      </c>
      <c r="L6" s="59" t="s">
        <v>249</v>
      </c>
      <c r="M6" s="156">
        <v>1100</v>
      </c>
      <c r="N6" s="60">
        <v>45693</v>
      </c>
      <c r="O6" s="156">
        <v>1100</v>
      </c>
      <c r="P6" s="156">
        <f t="shared" si="0"/>
        <v>0</v>
      </c>
      <c r="Q6" s="59" t="s">
        <v>439</v>
      </c>
      <c r="R6" s="20" t="s">
        <v>440</v>
      </c>
      <c r="S6" s="59"/>
    </row>
    <row r="7" spans="1:19" ht="18" customHeight="1" x14ac:dyDescent="0.25">
      <c r="A7" s="62">
        <v>6</v>
      </c>
      <c r="B7" s="62" t="s">
        <v>456</v>
      </c>
      <c r="C7" s="62">
        <v>1</v>
      </c>
      <c r="D7" s="62">
        <v>16</v>
      </c>
      <c r="E7" s="62">
        <v>7</v>
      </c>
      <c r="F7" s="62">
        <v>47</v>
      </c>
      <c r="G7" s="62"/>
      <c r="H7" s="62"/>
      <c r="I7" s="62">
        <v>12008</v>
      </c>
      <c r="J7" s="63">
        <v>45691</v>
      </c>
      <c r="K7" s="63">
        <v>45698</v>
      </c>
      <c r="L7" s="62" t="s">
        <v>230</v>
      </c>
      <c r="M7" s="157">
        <v>195.23</v>
      </c>
      <c r="N7" s="63">
        <v>45698</v>
      </c>
      <c r="O7" s="157">
        <v>195.23</v>
      </c>
      <c r="P7" s="157">
        <f t="shared" si="0"/>
        <v>0</v>
      </c>
      <c r="Q7" s="62" t="s">
        <v>439</v>
      </c>
      <c r="R7" s="20" t="s">
        <v>440</v>
      </c>
      <c r="S7" s="62"/>
    </row>
    <row r="8" spans="1:19" ht="18" customHeight="1" x14ac:dyDescent="0.25">
      <c r="A8" s="59">
        <v>7</v>
      </c>
      <c r="B8" s="59" t="s">
        <v>459</v>
      </c>
      <c r="C8" s="59">
        <v>1</v>
      </c>
      <c r="D8" s="59">
        <v>21</v>
      </c>
      <c r="E8" s="59">
        <v>1</v>
      </c>
      <c r="F8" s="59">
        <v>33</v>
      </c>
      <c r="G8" s="59"/>
      <c r="H8" s="59"/>
      <c r="I8" s="59">
        <v>12009</v>
      </c>
      <c r="J8" s="60">
        <v>45698</v>
      </c>
      <c r="K8" s="60">
        <v>45716</v>
      </c>
      <c r="L8" s="59" t="s">
        <v>195</v>
      </c>
      <c r="M8" s="156">
        <v>6011.98</v>
      </c>
      <c r="N8" s="60">
        <v>45716</v>
      </c>
      <c r="O8" s="156">
        <v>6011.98</v>
      </c>
      <c r="P8" s="156">
        <f t="shared" si="0"/>
        <v>0</v>
      </c>
      <c r="Q8" s="59" t="s">
        <v>441</v>
      </c>
      <c r="R8" s="20" t="s">
        <v>440</v>
      </c>
      <c r="S8" s="59"/>
    </row>
    <row r="9" spans="1:19" ht="18" customHeight="1" x14ac:dyDescent="0.25">
      <c r="A9" s="62">
        <v>8</v>
      </c>
      <c r="B9" s="62" t="s">
        <v>457</v>
      </c>
      <c r="C9" s="62">
        <v>1</v>
      </c>
      <c r="D9" s="62">
        <v>16</v>
      </c>
      <c r="E9" s="62">
        <v>7</v>
      </c>
      <c r="F9" s="62">
        <v>47</v>
      </c>
      <c r="G9" s="62"/>
      <c r="H9" s="62"/>
      <c r="I9" s="62">
        <v>12010</v>
      </c>
      <c r="J9" s="63">
        <v>45722</v>
      </c>
      <c r="K9" s="63">
        <v>45736</v>
      </c>
      <c r="L9" s="62" t="s">
        <v>230</v>
      </c>
      <c r="M9" s="157">
        <v>6500</v>
      </c>
      <c r="N9" s="63">
        <v>45736</v>
      </c>
      <c r="O9" s="157">
        <v>6500</v>
      </c>
      <c r="P9" s="157">
        <f t="shared" si="0"/>
        <v>0</v>
      </c>
      <c r="Q9" s="62" t="s">
        <v>439</v>
      </c>
      <c r="R9" s="20" t="s">
        <v>440</v>
      </c>
      <c r="S9" s="62"/>
    </row>
    <row r="10" spans="1:19" ht="18" customHeight="1" x14ac:dyDescent="0.25">
      <c r="A10" s="59">
        <v>9</v>
      </c>
      <c r="B10" s="59" t="s">
        <v>457</v>
      </c>
      <c r="C10" s="59">
        <v>1</v>
      </c>
      <c r="D10" s="59">
        <v>10</v>
      </c>
      <c r="E10" s="59">
        <v>9</v>
      </c>
      <c r="F10" s="59">
        <v>42</v>
      </c>
      <c r="G10" s="59" t="s">
        <v>460</v>
      </c>
      <c r="H10" s="59"/>
      <c r="I10" s="59">
        <v>12011</v>
      </c>
      <c r="J10" s="60">
        <v>45726</v>
      </c>
      <c r="K10" s="60">
        <v>45713</v>
      </c>
      <c r="L10" s="59" t="s">
        <v>241</v>
      </c>
      <c r="M10" s="156">
        <v>2962.25</v>
      </c>
      <c r="N10" s="60">
        <v>45713</v>
      </c>
      <c r="O10" s="156">
        <v>2962.25</v>
      </c>
      <c r="P10" s="156">
        <f t="shared" si="0"/>
        <v>0</v>
      </c>
      <c r="Q10" s="59" t="s">
        <v>439</v>
      </c>
      <c r="R10" s="20" t="s">
        <v>440</v>
      </c>
      <c r="S10" s="59"/>
    </row>
    <row r="11" spans="1:19" ht="18" customHeight="1" x14ac:dyDescent="0.25">
      <c r="A11" s="62">
        <v>10</v>
      </c>
      <c r="B11" s="62" t="s">
        <v>456</v>
      </c>
      <c r="C11" s="62">
        <v>1</v>
      </c>
      <c r="D11" s="62">
        <v>14</v>
      </c>
      <c r="E11" s="62">
        <v>11</v>
      </c>
      <c r="F11" s="62">
        <v>24</v>
      </c>
      <c r="G11" s="62"/>
      <c r="H11" s="62"/>
      <c r="I11" s="62">
        <v>12012</v>
      </c>
      <c r="J11" s="63">
        <v>45764</v>
      </c>
      <c r="K11" s="63">
        <v>45782</v>
      </c>
      <c r="L11" s="62" t="s">
        <v>249</v>
      </c>
      <c r="M11" s="157">
        <v>2064.62</v>
      </c>
      <c r="N11" s="63">
        <v>45825</v>
      </c>
      <c r="O11" s="157">
        <v>2330.34</v>
      </c>
      <c r="P11" s="157">
        <f t="shared" si="0"/>
        <v>265.72000000000025</v>
      </c>
      <c r="Q11" s="62" t="s">
        <v>441</v>
      </c>
      <c r="R11" s="20" t="s">
        <v>440</v>
      </c>
      <c r="S11" s="62"/>
    </row>
    <row r="12" spans="1:19" ht="18" customHeight="1" x14ac:dyDescent="0.25">
      <c r="A12" s="59">
        <v>11</v>
      </c>
      <c r="B12" s="59" t="s">
        <v>456</v>
      </c>
      <c r="C12" s="59">
        <v>1</v>
      </c>
      <c r="D12" s="59">
        <v>16</v>
      </c>
      <c r="E12" s="59">
        <v>7</v>
      </c>
      <c r="F12" s="59">
        <v>6</v>
      </c>
      <c r="G12" s="59"/>
      <c r="H12" s="59"/>
      <c r="I12" s="59">
        <v>12013</v>
      </c>
      <c r="J12" s="60">
        <v>45764</v>
      </c>
      <c r="K12" s="60">
        <v>45777</v>
      </c>
      <c r="L12" s="59" t="s">
        <v>230</v>
      </c>
      <c r="M12" s="156">
        <v>3028</v>
      </c>
      <c r="N12" s="60">
        <v>45792</v>
      </c>
      <c r="O12" s="156">
        <v>3361.08</v>
      </c>
      <c r="P12" s="156">
        <f t="shared" si="0"/>
        <v>333.07999999999993</v>
      </c>
      <c r="Q12" s="59" t="s">
        <v>441</v>
      </c>
      <c r="R12" s="20" t="s">
        <v>440</v>
      </c>
      <c r="S12" s="59"/>
    </row>
    <row r="13" spans="1:19" ht="18" customHeight="1" x14ac:dyDescent="0.25">
      <c r="A13" s="62">
        <v>12</v>
      </c>
      <c r="B13" s="62" t="s">
        <v>456</v>
      </c>
      <c r="C13" s="62">
        <v>1</v>
      </c>
      <c r="D13" s="62">
        <v>22</v>
      </c>
      <c r="E13" s="62">
        <v>1</v>
      </c>
      <c r="F13" s="62">
        <v>39</v>
      </c>
      <c r="G13" s="62"/>
      <c r="H13" s="62"/>
      <c r="I13" s="62">
        <v>12014</v>
      </c>
      <c r="J13" s="63">
        <v>45764</v>
      </c>
      <c r="K13" s="63">
        <v>45782</v>
      </c>
      <c r="L13" s="62" t="s">
        <v>195</v>
      </c>
      <c r="M13" s="157">
        <v>390.48</v>
      </c>
      <c r="N13" s="63">
        <v>45849</v>
      </c>
      <c r="O13" s="157">
        <v>390.48</v>
      </c>
      <c r="P13" s="157">
        <f t="shared" si="0"/>
        <v>0</v>
      </c>
      <c r="Q13" s="62" t="s">
        <v>441</v>
      </c>
      <c r="R13" s="20" t="s">
        <v>440</v>
      </c>
      <c r="S13" s="62"/>
    </row>
    <row r="14" spans="1:19" ht="18" customHeight="1" x14ac:dyDescent="0.25">
      <c r="A14" s="59">
        <v>13</v>
      </c>
      <c r="B14" s="59" t="s">
        <v>457</v>
      </c>
      <c r="C14" s="59">
        <v>1</v>
      </c>
      <c r="D14" s="59">
        <v>17</v>
      </c>
      <c r="E14" s="59">
        <v>11</v>
      </c>
      <c r="F14" s="59">
        <v>17</v>
      </c>
      <c r="G14" s="59" t="s">
        <v>461</v>
      </c>
      <c r="H14" s="59"/>
      <c r="I14" s="59">
        <v>12015</v>
      </c>
      <c r="J14" s="60">
        <v>45778</v>
      </c>
      <c r="K14" s="60">
        <v>45786</v>
      </c>
      <c r="L14" s="59" t="s">
        <v>249</v>
      </c>
      <c r="M14" s="156">
        <v>932.13</v>
      </c>
      <c r="N14" s="60">
        <v>45796</v>
      </c>
      <c r="O14" s="156">
        <v>1031.54</v>
      </c>
      <c r="P14" s="156">
        <f t="shared" si="0"/>
        <v>99.409999999999968</v>
      </c>
      <c r="Q14" s="59" t="s">
        <v>439</v>
      </c>
      <c r="R14" s="20" t="s">
        <v>440</v>
      </c>
      <c r="S14" s="59"/>
    </row>
    <row r="15" spans="1:19" ht="18" customHeight="1" x14ac:dyDescent="0.25">
      <c r="A15" s="62">
        <v>14</v>
      </c>
      <c r="B15" s="62" t="s">
        <v>458</v>
      </c>
      <c r="C15" s="62">
        <v>1</v>
      </c>
      <c r="D15" s="62">
        <v>10</v>
      </c>
      <c r="E15" s="62">
        <v>9</v>
      </c>
      <c r="F15" s="62">
        <v>34</v>
      </c>
      <c r="G15" s="62"/>
      <c r="H15" s="62"/>
      <c r="I15" s="62">
        <v>12016</v>
      </c>
      <c r="J15" s="63">
        <v>45778</v>
      </c>
      <c r="K15" s="63">
        <v>45782</v>
      </c>
      <c r="L15" s="62" t="s">
        <v>241</v>
      </c>
      <c r="M15" s="157">
        <v>659</v>
      </c>
      <c r="N15" s="63">
        <v>45782</v>
      </c>
      <c r="O15" s="157">
        <v>659</v>
      </c>
      <c r="P15" s="157">
        <f t="shared" si="0"/>
        <v>0</v>
      </c>
      <c r="Q15" s="62" t="s">
        <v>439</v>
      </c>
      <c r="R15" s="20" t="s">
        <v>440</v>
      </c>
      <c r="S15" s="62"/>
    </row>
    <row r="16" spans="1:19" ht="18" customHeight="1" x14ac:dyDescent="0.25">
      <c r="A16" s="59">
        <v>15</v>
      </c>
      <c r="B16" s="59" t="s">
        <v>457</v>
      </c>
      <c r="C16" s="59">
        <v>1</v>
      </c>
      <c r="D16" s="59">
        <v>22</v>
      </c>
      <c r="E16" s="59">
        <v>1</v>
      </c>
      <c r="F16" s="59"/>
      <c r="G16" s="59"/>
      <c r="H16" s="59"/>
      <c r="I16" s="59">
        <v>12017</v>
      </c>
      <c r="J16" s="60">
        <v>45793</v>
      </c>
      <c r="K16" s="60">
        <v>45870</v>
      </c>
      <c r="L16" s="59" t="s">
        <v>195</v>
      </c>
      <c r="M16" s="156">
        <v>3933.67</v>
      </c>
      <c r="N16" s="60"/>
      <c r="O16" s="156">
        <v>0</v>
      </c>
      <c r="P16" s="156">
        <f t="shared" si="0"/>
        <v>0</v>
      </c>
      <c r="Q16" s="59" t="s">
        <v>441</v>
      </c>
      <c r="R16" s="64" t="s">
        <v>445</v>
      </c>
      <c r="S16" s="59"/>
    </row>
    <row r="17" spans="1:19" ht="18" customHeight="1" x14ac:dyDescent="0.25">
      <c r="A17" s="62">
        <v>16</v>
      </c>
      <c r="B17" s="62" t="s">
        <v>457</v>
      </c>
      <c r="C17" s="62">
        <v>1</v>
      </c>
      <c r="D17" s="62">
        <v>24</v>
      </c>
      <c r="E17" s="62">
        <v>9</v>
      </c>
      <c r="F17" s="62">
        <v>42</v>
      </c>
      <c r="G17" s="62" t="s">
        <v>462</v>
      </c>
      <c r="H17" s="62"/>
      <c r="I17" s="62">
        <v>12018</v>
      </c>
      <c r="J17" s="63">
        <v>45809</v>
      </c>
      <c r="K17" s="63">
        <v>45813</v>
      </c>
      <c r="L17" s="62" t="s">
        <v>241</v>
      </c>
      <c r="M17" s="157">
        <v>1318</v>
      </c>
      <c r="N17" s="63">
        <v>45813</v>
      </c>
      <c r="O17" s="157">
        <v>1318</v>
      </c>
      <c r="P17" s="157">
        <f t="shared" si="0"/>
        <v>0</v>
      </c>
      <c r="Q17" s="62" t="s">
        <v>439</v>
      </c>
      <c r="R17" s="20" t="s">
        <v>440</v>
      </c>
      <c r="S17" s="62"/>
    </row>
    <row r="18" spans="1:19" ht="18" customHeight="1" x14ac:dyDescent="0.25">
      <c r="A18" s="59">
        <v>17</v>
      </c>
      <c r="B18" s="59" t="s">
        <v>456</v>
      </c>
      <c r="C18" s="59">
        <v>1</v>
      </c>
      <c r="D18" s="59">
        <v>13</v>
      </c>
      <c r="E18" s="59">
        <v>9</v>
      </c>
      <c r="F18" s="59"/>
      <c r="G18" s="59"/>
      <c r="H18" s="59"/>
      <c r="I18" s="59">
        <v>12019</v>
      </c>
      <c r="J18" s="60">
        <v>45809</v>
      </c>
      <c r="K18" s="60">
        <v>45835</v>
      </c>
      <c r="L18" s="59" t="s">
        <v>241</v>
      </c>
      <c r="M18" s="156">
        <v>0</v>
      </c>
      <c r="N18" s="60"/>
      <c r="O18" s="156">
        <v>0</v>
      </c>
      <c r="P18" s="156">
        <f t="shared" si="0"/>
        <v>0</v>
      </c>
      <c r="Q18" s="59" t="s">
        <v>439</v>
      </c>
      <c r="R18" s="64" t="s">
        <v>445</v>
      </c>
      <c r="S18" s="59"/>
    </row>
    <row r="19" spans="1:19" ht="18" customHeight="1" x14ac:dyDescent="0.25">
      <c r="A19" s="62">
        <v>18</v>
      </c>
      <c r="B19" s="62" t="s">
        <v>457</v>
      </c>
      <c r="C19" s="62">
        <v>1</v>
      </c>
      <c r="D19" s="62">
        <v>24</v>
      </c>
      <c r="E19" s="62">
        <v>9</v>
      </c>
      <c r="F19" s="62">
        <v>43</v>
      </c>
      <c r="G19" s="62"/>
      <c r="H19" s="62"/>
      <c r="I19" s="62">
        <v>12020</v>
      </c>
      <c r="J19" s="63">
        <v>45839</v>
      </c>
      <c r="K19" s="63">
        <v>45843</v>
      </c>
      <c r="L19" s="62" t="s">
        <v>241</v>
      </c>
      <c r="M19" s="157">
        <v>235</v>
      </c>
      <c r="N19" s="63">
        <v>45843</v>
      </c>
      <c r="O19" s="157">
        <v>235</v>
      </c>
      <c r="P19" s="157">
        <f t="shared" si="0"/>
        <v>0</v>
      </c>
      <c r="Q19" s="62" t="s">
        <v>439</v>
      </c>
      <c r="R19" s="20" t="s">
        <v>440</v>
      </c>
      <c r="S19" s="62"/>
    </row>
    <row r="20" spans="1:19" ht="18" customHeight="1" x14ac:dyDescent="0.25">
      <c r="A20" s="59">
        <v>19</v>
      </c>
      <c r="B20" s="59" t="s">
        <v>457</v>
      </c>
      <c r="C20" s="59">
        <v>1</v>
      </c>
      <c r="D20" s="59">
        <v>16</v>
      </c>
      <c r="E20" s="59">
        <v>7</v>
      </c>
      <c r="F20" s="59">
        <v>43</v>
      </c>
      <c r="G20" s="59" t="s">
        <v>463</v>
      </c>
      <c r="H20" s="59"/>
      <c r="I20" s="59">
        <v>12021</v>
      </c>
      <c r="J20" s="60">
        <v>45839</v>
      </c>
      <c r="K20" s="60">
        <v>45848</v>
      </c>
      <c r="L20" s="59" t="s">
        <v>230</v>
      </c>
      <c r="M20" s="156">
        <v>1450</v>
      </c>
      <c r="N20" s="60">
        <v>45854</v>
      </c>
      <c r="O20" s="156">
        <v>1450</v>
      </c>
      <c r="P20" s="156">
        <f t="shared" si="0"/>
        <v>0</v>
      </c>
      <c r="Q20" s="59" t="s">
        <v>441</v>
      </c>
      <c r="R20" s="20" t="s">
        <v>440</v>
      </c>
      <c r="S20" s="59"/>
    </row>
    <row r="21" spans="1:19" ht="18" customHeight="1" x14ac:dyDescent="0.25">
      <c r="A21" s="62">
        <v>20</v>
      </c>
      <c r="B21" s="62" t="s">
        <v>457</v>
      </c>
      <c r="C21" s="62">
        <v>1</v>
      </c>
      <c r="D21" s="62">
        <v>22</v>
      </c>
      <c r="E21" s="62">
        <v>1</v>
      </c>
      <c r="F21" s="62">
        <v>41</v>
      </c>
      <c r="G21" s="62" t="s">
        <v>464</v>
      </c>
      <c r="H21" s="62"/>
      <c r="I21" s="62">
        <v>12022</v>
      </c>
      <c r="J21" s="63">
        <v>45856</v>
      </c>
      <c r="K21" s="63">
        <v>45870</v>
      </c>
      <c r="L21" s="62" t="s">
        <v>195</v>
      </c>
      <c r="M21" s="157">
        <v>366.2</v>
      </c>
      <c r="N21" s="63">
        <v>45874</v>
      </c>
      <c r="O21" s="157">
        <v>366.2</v>
      </c>
      <c r="P21" s="157">
        <f t="shared" si="0"/>
        <v>0</v>
      </c>
      <c r="Q21" s="62" t="s">
        <v>441</v>
      </c>
      <c r="R21" s="20" t="s">
        <v>440</v>
      </c>
      <c r="S21" s="62"/>
    </row>
    <row r="22" spans="1:19" ht="18" customHeight="1" x14ac:dyDescent="0.25">
      <c r="A22" s="59"/>
      <c r="B22" s="59" t="s">
        <v>457</v>
      </c>
      <c r="C22" s="59">
        <v>1</v>
      </c>
      <c r="D22" s="59">
        <v>22</v>
      </c>
      <c r="E22" s="59">
        <v>1</v>
      </c>
      <c r="F22" s="59">
        <v>41</v>
      </c>
      <c r="G22" s="59" t="s">
        <v>465</v>
      </c>
      <c r="H22" s="59"/>
      <c r="I22" s="59">
        <v>12022</v>
      </c>
      <c r="J22" s="60">
        <v>45856</v>
      </c>
      <c r="K22" s="60">
        <v>45870</v>
      </c>
      <c r="L22" s="59" t="s">
        <v>195</v>
      </c>
      <c r="M22" s="156">
        <v>2426.91</v>
      </c>
      <c r="N22" s="60">
        <v>45874</v>
      </c>
      <c r="O22" s="156">
        <v>2426.91</v>
      </c>
      <c r="P22" s="156">
        <f t="shared" si="0"/>
        <v>0</v>
      </c>
      <c r="Q22" s="59" t="s">
        <v>441</v>
      </c>
      <c r="R22" s="20" t="s">
        <v>440</v>
      </c>
      <c r="S22" s="62"/>
    </row>
    <row r="23" spans="1:19" ht="18" customHeight="1" x14ac:dyDescent="0.25">
      <c r="A23" s="62"/>
      <c r="B23" s="62" t="s">
        <v>457</v>
      </c>
      <c r="C23" s="62">
        <v>1</v>
      </c>
      <c r="D23" s="62">
        <v>22</v>
      </c>
      <c r="E23" s="62">
        <v>1</v>
      </c>
      <c r="F23" s="62">
        <v>39</v>
      </c>
      <c r="G23" s="62" t="s">
        <v>466</v>
      </c>
      <c r="H23" s="62"/>
      <c r="I23" s="62">
        <v>12022</v>
      </c>
      <c r="J23" s="63">
        <v>45856</v>
      </c>
      <c r="K23" s="63">
        <v>45870</v>
      </c>
      <c r="L23" s="62" t="s">
        <v>195</v>
      </c>
      <c r="M23" s="157">
        <v>3656.62</v>
      </c>
      <c r="N23" s="63">
        <v>45874</v>
      </c>
      <c r="O23" s="157">
        <v>3656.62</v>
      </c>
      <c r="P23" s="157">
        <f t="shared" si="0"/>
        <v>0</v>
      </c>
      <c r="Q23" s="62" t="s">
        <v>441</v>
      </c>
      <c r="R23" s="20" t="s">
        <v>440</v>
      </c>
      <c r="S23" s="62"/>
    </row>
    <row r="24" spans="1:19" ht="18" customHeight="1" x14ac:dyDescent="0.25">
      <c r="A24" s="59">
        <v>21</v>
      </c>
      <c r="B24" s="59" t="s">
        <v>453</v>
      </c>
      <c r="C24" s="59">
        <v>1</v>
      </c>
      <c r="D24" s="59">
        <v>22</v>
      </c>
      <c r="E24" s="59">
        <v>1</v>
      </c>
      <c r="F24" s="59"/>
      <c r="G24" s="59"/>
      <c r="H24" s="59"/>
      <c r="I24" s="59">
        <v>12023</v>
      </c>
      <c r="J24" s="60">
        <v>45901</v>
      </c>
      <c r="K24" s="60">
        <v>45910</v>
      </c>
      <c r="L24" s="59" t="s">
        <v>195</v>
      </c>
      <c r="M24" s="156">
        <v>0</v>
      </c>
      <c r="N24" s="60"/>
      <c r="O24" s="156">
        <v>0</v>
      </c>
      <c r="P24" s="156">
        <f t="shared" si="0"/>
        <v>0</v>
      </c>
      <c r="Q24" s="59" t="s">
        <v>441</v>
      </c>
      <c r="R24" s="64" t="s">
        <v>445</v>
      </c>
      <c r="S24" s="59"/>
    </row>
    <row r="25" spans="1:19" ht="18" customHeight="1" x14ac:dyDescent="0.25">
      <c r="A25" s="62">
        <v>22</v>
      </c>
      <c r="B25" s="62" t="s">
        <v>457</v>
      </c>
      <c r="C25" s="62">
        <v>1</v>
      </c>
      <c r="D25" s="62">
        <v>9</v>
      </c>
      <c r="E25" s="62">
        <v>4</v>
      </c>
      <c r="F25" s="62"/>
      <c r="G25" s="62"/>
      <c r="H25" s="62"/>
      <c r="I25" s="62">
        <v>12024</v>
      </c>
      <c r="J25" s="63">
        <v>45901</v>
      </c>
      <c r="K25" s="63">
        <v>45905</v>
      </c>
      <c r="L25" s="62" t="s">
        <v>213</v>
      </c>
      <c r="M25" s="157">
        <v>22859</v>
      </c>
      <c r="N25" s="63"/>
      <c r="O25" s="157">
        <v>0</v>
      </c>
      <c r="P25" s="157">
        <f t="shared" si="0"/>
        <v>0</v>
      </c>
      <c r="Q25" s="62" t="s">
        <v>441</v>
      </c>
      <c r="R25" s="64" t="s">
        <v>442</v>
      </c>
      <c r="S25" s="62"/>
    </row>
    <row r="26" spans="1:19" ht="18" customHeight="1" x14ac:dyDescent="0.25">
      <c r="A26" s="59">
        <v>23</v>
      </c>
      <c r="B26" s="59" t="s">
        <v>456</v>
      </c>
      <c r="C26" s="59">
        <v>1</v>
      </c>
      <c r="D26" s="59">
        <v>22</v>
      </c>
      <c r="E26" s="59">
        <v>1</v>
      </c>
      <c r="F26" s="59">
        <v>44</v>
      </c>
      <c r="G26" s="59"/>
      <c r="H26" s="59"/>
      <c r="I26" s="59">
        <v>12025</v>
      </c>
      <c r="J26" s="60">
        <v>45901</v>
      </c>
      <c r="K26" s="60">
        <v>45915</v>
      </c>
      <c r="L26" s="59" t="s">
        <v>195</v>
      </c>
      <c r="M26" s="156">
        <v>6526.18</v>
      </c>
      <c r="N26" s="60">
        <v>45922</v>
      </c>
      <c r="O26" s="156">
        <v>6526.18</v>
      </c>
      <c r="P26" s="156">
        <f t="shared" si="0"/>
        <v>0</v>
      </c>
      <c r="Q26" s="59" t="s">
        <v>441</v>
      </c>
      <c r="R26" s="20" t="s">
        <v>440</v>
      </c>
      <c r="S26" s="59"/>
    </row>
    <row r="27" spans="1:19" ht="18" customHeight="1" x14ac:dyDescent="0.25">
      <c r="A27" s="62">
        <v>24</v>
      </c>
      <c r="B27" s="62" t="s">
        <v>457</v>
      </c>
      <c r="C27" s="62">
        <v>1</v>
      </c>
      <c r="D27" s="62">
        <v>14</v>
      </c>
      <c r="E27" s="62">
        <v>11</v>
      </c>
      <c r="F27" s="62">
        <v>6</v>
      </c>
      <c r="G27" s="62" t="s">
        <v>467</v>
      </c>
      <c r="H27" s="62"/>
      <c r="I27" s="62">
        <v>12026</v>
      </c>
      <c r="J27" s="63">
        <v>45901</v>
      </c>
      <c r="K27" s="63">
        <v>45908</v>
      </c>
      <c r="L27" s="62" t="s">
        <v>249</v>
      </c>
      <c r="M27" s="157">
        <v>15500</v>
      </c>
      <c r="N27" s="63">
        <v>45908</v>
      </c>
      <c r="O27" s="157">
        <v>15887.5</v>
      </c>
      <c r="P27" s="157">
        <f t="shared" si="0"/>
        <v>387.5</v>
      </c>
      <c r="Q27" s="62" t="s">
        <v>439</v>
      </c>
      <c r="R27" s="20" t="s">
        <v>440</v>
      </c>
      <c r="S27" s="62"/>
    </row>
    <row r="28" spans="1:19" ht="18" customHeight="1" x14ac:dyDescent="0.25">
      <c r="A28" s="59">
        <v>25</v>
      </c>
      <c r="B28" s="59" t="s">
        <v>453</v>
      </c>
      <c r="C28" s="59">
        <v>3</v>
      </c>
      <c r="D28" s="59">
        <v>27</v>
      </c>
      <c r="E28" s="59">
        <v>7</v>
      </c>
      <c r="F28" s="59"/>
      <c r="G28" s="59"/>
      <c r="H28" s="59"/>
      <c r="I28" s="59">
        <v>1001</v>
      </c>
      <c r="J28" s="60">
        <v>45901</v>
      </c>
      <c r="K28" s="60">
        <v>45910</v>
      </c>
      <c r="L28" s="59" t="s">
        <v>230</v>
      </c>
      <c r="M28" s="156">
        <v>1550</v>
      </c>
      <c r="N28" s="60">
        <v>45910</v>
      </c>
      <c r="O28" s="156">
        <v>1550</v>
      </c>
      <c r="P28" s="156">
        <f t="shared" si="0"/>
        <v>0</v>
      </c>
      <c r="Q28" s="59" t="s">
        <v>439</v>
      </c>
      <c r="R28" s="20" t="s">
        <v>440</v>
      </c>
      <c r="S28" s="59"/>
    </row>
    <row r="29" spans="1:19" ht="18" customHeight="1" x14ac:dyDescent="0.25">
      <c r="A29" s="62">
        <v>26</v>
      </c>
      <c r="B29" s="62" t="s">
        <v>457</v>
      </c>
      <c r="C29" s="62">
        <v>1</v>
      </c>
      <c r="D29" s="62">
        <v>26</v>
      </c>
      <c r="E29" s="62">
        <v>11</v>
      </c>
      <c r="F29" s="62">
        <v>6</v>
      </c>
      <c r="G29" s="62" t="s">
        <v>467</v>
      </c>
      <c r="H29" s="62"/>
      <c r="I29" s="62">
        <v>12027</v>
      </c>
      <c r="J29" s="63">
        <v>45931</v>
      </c>
      <c r="K29" s="63">
        <v>45938</v>
      </c>
      <c r="L29" s="62" t="s">
        <v>249</v>
      </c>
      <c r="M29" s="157">
        <v>7647.77</v>
      </c>
      <c r="N29" s="63">
        <v>45950</v>
      </c>
      <c r="O29" s="157">
        <v>7647.77</v>
      </c>
      <c r="P29" s="157">
        <f t="shared" si="0"/>
        <v>0</v>
      </c>
      <c r="Q29" s="62" t="s">
        <v>439</v>
      </c>
      <c r="R29" s="20" t="s">
        <v>440</v>
      </c>
      <c r="S29" s="62"/>
    </row>
    <row r="30" spans="1:19" ht="18" customHeight="1" x14ac:dyDescent="0.25">
      <c r="A30" s="59">
        <v>27</v>
      </c>
      <c r="B30" s="59" t="s">
        <v>456</v>
      </c>
      <c r="C30" s="59">
        <v>3</v>
      </c>
      <c r="D30" s="59">
        <v>26</v>
      </c>
      <c r="E30" s="59">
        <v>11</v>
      </c>
      <c r="F30" s="59">
        <v>24</v>
      </c>
      <c r="G30" s="59"/>
      <c r="H30" s="59"/>
      <c r="I30" s="59">
        <v>1002</v>
      </c>
      <c r="J30" s="60">
        <v>45931</v>
      </c>
      <c r="K30" s="60">
        <v>45944</v>
      </c>
      <c r="L30" s="59" t="s">
        <v>249</v>
      </c>
      <c r="M30" s="156">
        <v>2541.7800000000002</v>
      </c>
      <c r="N30" s="60">
        <v>45965</v>
      </c>
      <c r="O30" s="156">
        <v>2826.45</v>
      </c>
      <c r="P30" s="156">
        <f t="shared" si="0"/>
        <v>284.66999999999962</v>
      </c>
      <c r="Q30" s="59" t="s">
        <v>439</v>
      </c>
      <c r="R30" s="20" t="s">
        <v>440</v>
      </c>
      <c r="S30" s="59"/>
    </row>
    <row r="31" spans="1:19" ht="18" customHeight="1" x14ac:dyDescent="0.25">
      <c r="A31" s="62">
        <v>28</v>
      </c>
      <c r="B31" s="62" t="s">
        <v>456</v>
      </c>
      <c r="C31" s="62">
        <v>3</v>
      </c>
      <c r="D31" s="62">
        <v>29</v>
      </c>
      <c r="E31" s="62">
        <v>9</v>
      </c>
      <c r="F31" s="62">
        <v>46</v>
      </c>
      <c r="G31" s="62"/>
      <c r="H31" s="62"/>
      <c r="I31" s="62">
        <v>1003</v>
      </c>
      <c r="J31" s="63">
        <v>45931</v>
      </c>
      <c r="K31" s="63">
        <v>45960</v>
      </c>
      <c r="L31" s="62" t="s">
        <v>241</v>
      </c>
      <c r="M31" s="157">
        <v>880.41</v>
      </c>
      <c r="N31" s="63">
        <v>45960</v>
      </c>
      <c r="O31" s="157">
        <v>0</v>
      </c>
      <c r="P31" s="157">
        <f t="shared" si="0"/>
        <v>0</v>
      </c>
      <c r="Q31" s="62" t="s">
        <v>439</v>
      </c>
      <c r="R31" s="20" t="s">
        <v>440</v>
      </c>
      <c r="S31" s="62"/>
    </row>
    <row r="32" spans="1:19" ht="18" customHeight="1" x14ac:dyDescent="0.25">
      <c r="A32" s="59">
        <v>29</v>
      </c>
      <c r="B32" s="59" t="s">
        <v>457</v>
      </c>
      <c r="C32" s="59">
        <v>1</v>
      </c>
      <c r="D32" s="59">
        <v>23</v>
      </c>
      <c r="E32" s="59">
        <v>1</v>
      </c>
      <c r="F32" s="59">
        <v>39</v>
      </c>
      <c r="G32" s="59" t="s">
        <v>468</v>
      </c>
      <c r="H32" s="59"/>
      <c r="I32" s="59">
        <v>12028</v>
      </c>
      <c r="J32" s="60">
        <v>45959</v>
      </c>
      <c r="K32" s="60">
        <v>45971</v>
      </c>
      <c r="L32" s="59" t="s">
        <v>195</v>
      </c>
      <c r="M32" s="156">
        <v>3460</v>
      </c>
      <c r="N32" s="60">
        <v>45971</v>
      </c>
      <c r="O32" s="156">
        <v>3460</v>
      </c>
      <c r="P32" s="156">
        <f t="shared" si="0"/>
        <v>0</v>
      </c>
      <c r="Q32" s="59" t="s">
        <v>441</v>
      </c>
      <c r="R32" s="20" t="s">
        <v>440</v>
      </c>
      <c r="S32" s="59"/>
    </row>
    <row r="33" spans="1:19" ht="18" customHeight="1" x14ac:dyDescent="0.25">
      <c r="A33" s="62">
        <v>30</v>
      </c>
      <c r="B33" s="62" t="s">
        <v>456</v>
      </c>
      <c r="C33" s="62">
        <v>3</v>
      </c>
      <c r="D33" s="62">
        <v>26</v>
      </c>
      <c r="E33" s="62">
        <v>11</v>
      </c>
      <c r="F33" s="62">
        <v>6</v>
      </c>
      <c r="G33" s="62"/>
      <c r="H33" s="62"/>
      <c r="I33" s="62">
        <v>1004</v>
      </c>
      <c r="J33" s="63">
        <v>45965</v>
      </c>
      <c r="K33" s="63">
        <v>45978</v>
      </c>
      <c r="L33" s="62" t="s">
        <v>249</v>
      </c>
      <c r="M33" s="157">
        <v>590.84</v>
      </c>
      <c r="N33" s="63">
        <v>45982</v>
      </c>
      <c r="O33" s="157">
        <v>657.79</v>
      </c>
      <c r="P33" s="157">
        <f t="shared" si="0"/>
        <v>66.949999999999932</v>
      </c>
      <c r="Q33" s="62" t="s">
        <v>439</v>
      </c>
      <c r="R33" s="20" t="s">
        <v>440</v>
      </c>
      <c r="S33" s="62"/>
    </row>
    <row r="34" spans="1:19" ht="18" customHeight="1" x14ac:dyDescent="0.25">
      <c r="A34" s="62">
        <v>31</v>
      </c>
      <c r="B34" s="62" t="s">
        <v>457</v>
      </c>
      <c r="C34" s="62">
        <v>3</v>
      </c>
      <c r="D34" s="62">
        <v>29</v>
      </c>
      <c r="E34" s="62">
        <v>9</v>
      </c>
      <c r="F34" s="62">
        <v>34</v>
      </c>
      <c r="G34" s="62"/>
      <c r="H34" s="62"/>
      <c r="I34" s="62">
        <v>1005</v>
      </c>
      <c r="J34" s="63">
        <v>45978</v>
      </c>
      <c r="K34" s="63">
        <v>45989</v>
      </c>
      <c r="L34" s="62" t="s">
        <v>241</v>
      </c>
      <c r="M34" s="157">
        <v>1529.44</v>
      </c>
      <c r="N34" s="63">
        <v>45965</v>
      </c>
      <c r="O34" s="157">
        <v>0</v>
      </c>
      <c r="P34" s="157">
        <f t="shared" si="0"/>
        <v>0</v>
      </c>
      <c r="Q34" s="62" t="s">
        <v>439</v>
      </c>
      <c r="R34" s="20" t="s">
        <v>440</v>
      </c>
      <c r="S34" s="59"/>
    </row>
    <row r="35" spans="1:19" ht="18" customHeight="1" x14ac:dyDescent="0.25">
      <c r="A35" s="59">
        <v>31</v>
      </c>
      <c r="B35" s="59" t="s">
        <v>457</v>
      </c>
      <c r="C35" s="59">
        <v>3</v>
      </c>
      <c r="D35" s="59">
        <v>29</v>
      </c>
      <c r="E35" s="59">
        <v>9</v>
      </c>
      <c r="F35" s="59">
        <v>42</v>
      </c>
      <c r="G35" s="59"/>
      <c r="H35" s="59"/>
      <c r="I35" s="59">
        <v>1005</v>
      </c>
      <c r="J35" s="60">
        <v>45978</v>
      </c>
      <c r="K35" s="60">
        <v>45989</v>
      </c>
      <c r="L35" s="59" t="s">
        <v>241</v>
      </c>
      <c r="M35" s="156">
        <v>576</v>
      </c>
      <c r="N35" s="60">
        <v>45965</v>
      </c>
      <c r="O35" s="156">
        <v>0</v>
      </c>
      <c r="P35" s="156">
        <f t="shared" si="0"/>
        <v>0</v>
      </c>
      <c r="Q35" s="59" t="s">
        <v>439</v>
      </c>
      <c r="R35" s="20" t="s">
        <v>440</v>
      </c>
      <c r="S35" s="59"/>
    </row>
    <row r="36" spans="1:19" ht="18" customHeight="1" x14ac:dyDescent="0.25">
      <c r="A36" s="62">
        <v>32</v>
      </c>
      <c r="B36" s="62" t="s">
        <v>457</v>
      </c>
      <c r="C36" s="62">
        <v>1</v>
      </c>
      <c r="D36" s="62">
        <v>22</v>
      </c>
      <c r="E36" s="62">
        <v>1</v>
      </c>
      <c r="F36" s="62">
        <v>39</v>
      </c>
      <c r="G36" s="62" t="s">
        <v>469</v>
      </c>
      <c r="H36" s="62"/>
      <c r="I36" s="62">
        <v>12029</v>
      </c>
      <c r="J36" s="63">
        <v>45979</v>
      </c>
      <c r="K36" s="63">
        <v>45992</v>
      </c>
      <c r="L36" s="62" t="s">
        <v>195</v>
      </c>
      <c r="M36" s="157">
        <v>1740</v>
      </c>
      <c r="N36" s="63">
        <v>46036</v>
      </c>
      <c r="O36" s="157">
        <v>1740</v>
      </c>
      <c r="P36" s="157">
        <f t="shared" si="0"/>
        <v>0</v>
      </c>
      <c r="Q36" s="62" t="s">
        <v>441</v>
      </c>
      <c r="R36" s="20" t="s">
        <v>440</v>
      </c>
      <c r="S36" s="62"/>
    </row>
    <row r="37" spans="1:19" ht="18" customHeight="1" x14ac:dyDescent="0.25">
      <c r="A37" s="62">
        <v>32</v>
      </c>
      <c r="B37" s="62" t="s">
        <v>457</v>
      </c>
      <c r="C37" s="62">
        <v>1</v>
      </c>
      <c r="D37" s="62">
        <v>22</v>
      </c>
      <c r="E37" s="62">
        <v>1</v>
      </c>
      <c r="F37" s="62">
        <v>41</v>
      </c>
      <c r="G37" s="62" t="s">
        <v>470</v>
      </c>
      <c r="H37" s="62"/>
      <c r="I37" s="62">
        <v>12029</v>
      </c>
      <c r="J37" s="63">
        <v>45979</v>
      </c>
      <c r="K37" s="63">
        <v>45992</v>
      </c>
      <c r="L37" s="62" t="s">
        <v>195</v>
      </c>
      <c r="M37" s="157">
        <v>280</v>
      </c>
      <c r="N37" s="63">
        <v>46036</v>
      </c>
      <c r="O37" s="157">
        <v>280</v>
      </c>
      <c r="P37" s="157">
        <f t="shared" si="0"/>
        <v>0</v>
      </c>
      <c r="Q37" s="62" t="s">
        <v>441</v>
      </c>
      <c r="R37" s="20" t="s">
        <v>440</v>
      </c>
      <c r="S37" s="62"/>
    </row>
    <row r="38" spans="1:19" ht="18" customHeight="1" x14ac:dyDescent="0.25">
      <c r="A38" s="59">
        <v>33</v>
      </c>
      <c r="B38" s="59" t="s">
        <v>453</v>
      </c>
      <c r="C38" s="59">
        <v>3</v>
      </c>
      <c r="D38" s="59">
        <v>27</v>
      </c>
      <c r="E38" s="59">
        <v>7</v>
      </c>
      <c r="F38" s="59"/>
      <c r="G38" s="59"/>
      <c r="H38" s="59"/>
      <c r="I38" s="59">
        <v>1006</v>
      </c>
      <c r="J38" s="60">
        <v>45980</v>
      </c>
      <c r="K38" s="60">
        <v>45989</v>
      </c>
      <c r="L38" s="59" t="s">
        <v>230</v>
      </c>
      <c r="M38" s="156">
        <v>0</v>
      </c>
      <c r="N38" s="60"/>
      <c r="O38" s="156">
        <v>0</v>
      </c>
      <c r="P38" s="156">
        <v>0</v>
      </c>
      <c r="Q38" s="59" t="s">
        <v>439</v>
      </c>
      <c r="R38" s="64" t="s">
        <v>445</v>
      </c>
      <c r="S38" s="59"/>
    </row>
    <row r="39" spans="1:19" ht="18" customHeight="1" x14ac:dyDescent="0.25">
      <c r="A39" s="62">
        <v>34</v>
      </c>
      <c r="B39" s="62" t="s">
        <v>457</v>
      </c>
      <c r="C39" s="62">
        <v>1</v>
      </c>
      <c r="D39" s="62">
        <v>26</v>
      </c>
      <c r="E39" s="62">
        <v>11</v>
      </c>
      <c r="F39" s="62">
        <v>6</v>
      </c>
      <c r="G39" s="62"/>
      <c r="H39" s="62"/>
      <c r="I39" s="62">
        <v>12030</v>
      </c>
      <c r="J39" s="63">
        <v>45962</v>
      </c>
      <c r="K39" s="63">
        <v>45989</v>
      </c>
      <c r="L39" s="62" t="s">
        <v>249</v>
      </c>
      <c r="M39" s="157">
        <v>0</v>
      </c>
      <c r="N39" s="63"/>
      <c r="O39" s="157">
        <v>0</v>
      </c>
      <c r="P39" s="157">
        <f t="shared" ref="P39:P52" si="1">IF(OR(O39=0,O39=""),0,O39-M39)</f>
        <v>0</v>
      </c>
      <c r="Q39" s="62" t="s">
        <v>439</v>
      </c>
      <c r="R39" s="64" t="s">
        <v>445</v>
      </c>
      <c r="S39" s="62"/>
    </row>
    <row r="40" spans="1:19" ht="18" customHeight="1" x14ac:dyDescent="0.25">
      <c r="A40" s="59">
        <v>35</v>
      </c>
      <c r="B40" s="59" t="s">
        <v>457</v>
      </c>
      <c r="C40" s="59">
        <v>1</v>
      </c>
      <c r="D40" s="59">
        <v>30</v>
      </c>
      <c r="E40" s="59">
        <v>13</v>
      </c>
      <c r="F40" s="59">
        <v>6</v>
      </c>
      <c r="G40" s="59"/>
      <c r="H40" s="59"/>
      <c r="I40" s="59">
        <v>12031</v>
      </c>
      <c r="J40" s="60">
        <v>45995</v>
      </c>
      <c r="K40" s="60">
        <v>46021</v>
      </c>
      <c r="L40" s="59" t="s">
        <v>257</v>
      </c>
      <c r="M40" s="156">
        <v>300</v>
      </c>
      <c r="N40" s="60">
        <v>46037</v>
      </c>
      <c r="O40" s="156">
        <v>300</v>
      </c>
      <c r="P40" s="156">
        <f t="shared" si="1"/>
        <v>0</v>
      </c>
      <c r="Q40" s="59" t="s">
        <v>439</v>
      </c>
      <c r="R40" s="20" t="s">
        <v>440</v>
      </c>
      <c r="S40" s="59"/>
    </row>
    <row r="41" spans="1:19" ht="18" customHeight="1" x14ac:dyDescent="0.25">
      <c r="A41" s="62">
        <v>36</v>
      </c>
      <c r="B41" s="62" t="s">
        <v>456</v>
      </c>
      <c r="C41" s="62">
        <v>1</v>
      </c>
      <c r="D41" s="62">
        <v>30</v>
      </c>
      <c r="E41" s="62">
        <v>13</v>
      </c>
      <c r="F41" s="62">
        <v>6</v>
      </c>
      <c r="G41" s="62"/>
      <c r="H41" s="62"/>
      <c r="I41" s="62">
        <v>12031</v>
      </c>
      <c r="J41" s="63">
        <v>45995</v>
      </c>
      <c r="K41" s="63">
        <v>46021</v>
      </c>
      <c r="L41" s="62" t="s">
        <v>257</v>
      </c>
      <c r="M41" s="157">
        <v>1171.44</v>
      </c>
      <c r="N41" s="63">
        <v>46037</v>
      </c>
      <c r="O41" s="157">
        <v>1171.44</v>
      </c>
      <c r="P41" s="157">
        <f t="shared" si="1"/>
        <v>0</v>
      </c>
      <c r="Q41" s="62" t="s">
        <v>439</v>
      </c>
      <c r="R41" s="20" t="s">
        <v>440</v>
      </c>
      <c r="S41" s="62"/>
    </row>
    <row r="42" spans="1:19" ht="18" customHeight="1" x14ac:dyDescent="0.25">
      <c r="A42" s="59">
        <v>37</v>
      </c>
      <c r="B42" s="59" t="s">
        <v>457</v>
      </c>
      <c r="C42" s="59">
        <v>1</v>
      </c>
      <c r="D42" s="59">
        <v>31</v>
      </c>
      <c r="E42" s="59">
        <v>1</v>
      </c>
      <c r="F42" s="59">
        <v>41</v>
      </c>
      <c r="G42" s="59" t="s">
        <v>471</v>
      </c>
      <c r="H42" s="59"/>
      <c r="I42" s="59">
        <v>12032</v>
      </c>
      <c r="J42" s="60">
        <v>46021</v>
      </c>
      <c r="K42" s="60">
        <v>46037</v>
      </c>
      <c r="L42" s="59" t="s">
        <v>195</v>
      </c>
      <c r="M42" s="156">
        <v>8627.68</v>
      </c>
      <c r="N42" s="60">
        <v>46059</v>
      </c>
      <c r="O42" s="156">
        <v>8627.68</v>
      </c>
      <c r="P42" s="156">
        <f t="shared" si="1"/>
        <v>0</v>
      </c>
      <c r="Q42" s="59" t="s">
        <v>441</v>
      </c>
      <c r="R42" s="20" t="s">
        <v>440</v>
      </c>
      <c r="S42" s="59"/>
    </row>
    <row r="43" spans="1:19" ht="18" customHeight="1" x14ac:dyDescent="0.25">
      <c r="A43" s="62">
        <v>38</v>
      </c>
      <c r="B43" s="62" t="s">
        <v>457</v>
      </c>
      <c r="C43" s="62">
        <v>3</v>
      </c>
      <c r="D43" s="62">
        <v>28</v>
      </c>
      <c r="E43" s="62">
        <v>12</v>
      </c>
      <c r="F43" s="62">
        <v>20</v>
      </c>
      <c r="G43" s="62" t="s">
        <v>472</v>
      </c>
      <c r="H43" s="62"/>
      <c r="I43" s="62">
        <v>1007</v>
      </c>
      <c r="J43" s="63">
        <v>45999</v>
      </c>
      <c r="K43" s="63">
        <v>46010</v>
      </c>
      <c r="L43" s="62" t="s">
        <v>254</v>
      </c>
      <c r="M43" s="157">
        <v>3394.04</v>
      </c>
      <c r="N43" s="63">
        <v>46031</v>
      </c>
      <c r="O43" s="157">
        <v>3394.04</v>
      </c>
      <c r="P43" s="157">
        <f t="shared" si="1"/>
        <v>0</v>
      </c>
      <c r="Q43" s="62" t="s">
        <v>439</v>
      </c>
      <c r="R43" s="20" t="s">
        <v>440</v>
      </c>
      <c r="S43" s="62"/>
    </row>
    <row r="44" spans="1:19" ht="18" customHeight="1" x14ac:dyDescent="0.25">
      <c r="A44" s="59">
        <v>39</v>
      </c>
      <c r="B44" s="59" t="s">
        <v>457</v>
      </c>
      <c r="C44" s="59">
        <v>3</v>
      </c>
      <c r="D44" s="59">
        <v>28</v>
      </c>
      <c r="E44" s="59">
        <v>12</v>
      </c>
      <c r="F44" s="59">
        <v>20</v>
      </c>
      <c r="G44" s="59" t="s">
        <v>472</v>
      </c>
      <c r="H44" s="59"/>
      <c r="I44" s="59">
        <v>1008</v>
      </c>
      <c r="J44" s="60">
        <v>46024</v>
      </c>
      <c r="K44" s="60">
        <v>46037</v>
      </c>
      <c r="L44" s="59" t="s">
        <v>254</v>
      </c>
      <c r="M44" s="156">
        <v>2850</v>
      </c>
      <c r="N44" s="60">
        <v>46036</v>
      </c>
      <c r="O44" s="156">
        <v>2850</v>
      </c>
      <c r="P44" s="156">
        <f t="shared" si="1"/>
        <v>0</v>
      </c>
      <c r="Q44" s="59" t="s">
        <v>439</v>
      </c>
      <c r="R44" s="20" t="s">
        <v>440</v>
      </c>
      <c r="S44" s="59"/>
    </row>
    <row r="45" spans="1:19" ht="18" customHeight="1" x14ac:dyDescent="0.25">
      <c r="A45" s="62">
        <v>40</v>
      </c>
      <c r="B45" s="62" t="s">
        <v>457</v>
      </c>
      <c r="C45" s="62">
        <v>3</v>
      </c>
      <c r="D45" s="62">
        <v>28</v>
      </c>
      <c r="E45" s="62">
        <v>12</v>
      </c>
      <c r="F45" s="62">
        <v>20</v>
      </c>
      <c r="G45" s="62" t="s">
        <v>472</v>
      </c>
      <c r="H45" s="62"/>
      <c r="I45" s="62">
        <v>1009</v>
      </c>
      <c r="J45" s="63">
        <v>46055</v>
      </c>
      <c r="K45" s="63">
        <v>46061</v>
      </c>
      <c r="L45" s="62" t="s">
        <v>254</v>
      </c>
      <c r="M45" s="157">
        <v>2850</v>
      </c>
      <c r="N45" s="63">
        <v>46061</v>
      </c>
      <c r="O45" s="157">
        <v>2850</v>
      </c>
      <c r="P45" s="157">
        <f t="shared" si="1"/>
        <v>0</v>
      </c>
      <c r="Q45" s="62" t="s">
        <v>439</v>
      </c>
      <c r="R45" s="20" t="s">
        <v>440</v>
      </c>
      <c r="S45" s="62"/>
    </row>
    <row r="46" spans="1:19" ht="18" customHeight="1" x14ac:dyDescent="0.25">
      <c r="A46" s="59">
        <v>41</v>
      </c>
      <c r="B46" s="59" t="s">
        <v>457</v>
      </c>
      <c r="C46" s="59">
        <v>3</v>
      </c>
      <c r="D46" s="59">
        <v>26</v>
      </c>
      <c r="E46" s="59">
        <v>11</v>
      </c>
      <c r="F46" s="59">
        <v>6</v>
      </c>
      <c r="G46" s="59" t="s">
        <v>473</v>
      </c>
      <c r="H46" s="59"/>
      <c r="I46" s="59">
        <v>1010</v>
      </c>
      <c r="J46" s="60">
        <v>46083</v>
      </c>
      <c r="K46" s="60">
        <v>46132</v>
      </c>
      <c r="L46" s="59" t="s">
        <v>249</v>
      </c>
      <c r="M46" s="156">
        <v>8818.18</v>
      </c>
      <c r="N46" s="60"/>
      <c r="O46" s="156">
        <v>0</v>
      </c>
      <c r="P46" s="156">
        <f t="shared" si="1"/>
        <v>0</v>
      </c>
      <c r="Q46" s="59" t="s">
        <v>439</v>
      </c>
      <c r="R46" s="21" t="s">
        <v>446</v>
      </c>
      <c r="S46" s="59"/>
    </row>
    <row r="47" spans="1:19" ht="18" customHeight="1" x14ac:dyDescent="0.25">
      <c r="A47" s="62">
        <v>42</v>
      </c>
      <c r="B47" s="62" t="s">
        <v>453</v>
      </c>
      <c r="C47" s="62">
        <v>1</v>
      </c>
      <c r="D47" s="62">
        <v>31</v>
      </c>
      <c r="E47" s="62">
        <v>1</v>
      </c>
      <c r="F47" s="62"/>
      <c r="G47" s="62"/>
      <c r="H47" s="62"/>
      <c r="I47" s="62">
        <v>12033</v>
      </c>
      <c r="J47" s="63">
        <v>46072</v>
      </c>
      <c r="K47" s="63">
        <v>46097</v>
      </c>
      <c r="L47" s="62" t="s">
        <v>195</v>
      </c>
      <c r="M47" s="157">
        <v>544.52</v>
      </c>
      <c r="N47" s="63">
        <v>46097</v>
      </c>
      <c r="O47" s="157">
        <v>544.52</v>
      </c>
      <c r="P47" s="157">
        <f t="shared" si="1"/>
        <v>0</v>
      </c>
      <c r="Q47" s="62" t="s">
        <v>439</v>
      </c>
      <c r="R47" s="20" t="s">
        <v>440</v>
      </c>
      <c r="S47" s="62"/>
    </row>
    <row r="48" spans="1:19" ht="18" customHeight="1" x14ac:dyDescent="0.25">
      <c r="A48" s="59">
        <v>43</v>
      </c>
      <c r="B48" s="59" t="s">
        <v>457</v>
      </c>
      <c r="C48" s="59">
        <v>1</v>
      </c>
      <c r="D48" s="59">
        <v>31</v>
      </c>
      <c r="E48" s="59">
        <v>1</v>
      </c>
      <c r="F48" s="59">
        <v>39</v>
      </c>
      <c r="G48" s="59"/>
      <c r="H48" s="59"/>
      <c r="I48" s="59">
        <v>12034</v>
      </c>
      <c r="J48" s="60">
        <v>46072</v>
      </c>
      <c r="K48" s="60">
        <v>46097</v>
      </c>
      <c r="L48" s="59" t="s">
        <v>195</v>
      </c>
      <c r="M48" s="156">
        <v>1577.24</v>
      </c>
      <c r="N48" s="60">
        <v>46097</v>
      </c>
      <c r="O48" s="156">
        <v>1577.24</v>
      </c>
      <c r="P48" s="156">
        <f t="shared" si="1"/>
        <v>0</v>
      </c>
      <c r="Q48" s="59" t="s">
        <v>439</v>
      </c>
      <c r="R48" s="20" t="s">
        <v>440</v>
      </c>
      <c r="S48" s="59"/>
    </row>
    <row r="49" spans="1:19" ht="18" customHeight="1" x14ac:dyDescent="0.25">
      <c r="A49" s="62">
        <v>44</v>
      </c>
      <c r="B49" s="62" t="s">
        <v>457</v>
      </c>
      <c r="C49" s="62">
        <v>1</v>
      </c>
      <c r="D49" s="62">
        <v>31</v>
      </c>
      <c r="E49" s="62">
        <v>1</v>
      </c>
      <c r="F49" s="62">
        <v>41</v>
      </c>
      <c r="G49" s="62"/>
      <c r="H49" s="62"/>
      <c r="I49" s="62">
        <v>12035</v>
      </c>
      <c r="J49" s="63">
        <v>46072</v>
      </c>
      <c r="K49" s="63">
        <v>46097</v>
      </c>
      <c r="L49" s="62" t="s">
        <v>195</v>
      </c>
      <c r="M49" s="157">
        <v>1426.4</v>
      </c>
      <c r="N49" s="63">
        <v>46097</v>
      </c>
      <c r="O49" s="157">
        <v>1426.4</v>
      </c>
      <c r="P49" s="157">
        <f t="shared" si="1"/>
        <v>0</v>
      </c>
      <c r="Q49" s="62" t="s">
        <v>439</v>
      </c>
      <c r="R49" s="20" t="s">
        <v>440</v>
      </c>
      <c r="S49" s="62"/>
    </row>
    <row r="50" spans="1:19" ht="18" customHeight="1" x14ac:dyDescent="0.25">
      <c r="A50" s="59">
        <v>45</v>
      </c>
      <c r="B50" s="59" t="s">
        <v>453</v>
      </c>
      <c r="C50" s="59">
        <v>3</v>
      </c>
      <c r="D50" s="59">
        <v>27</v>
      </c>
      <c r="E50" s="59">
        <v>7</v>
      </c>
      <c r="F50" s="59">
        <v>47</v>
      </c>
      <c r="G50" s="59"/>
      <c r="H50" s="59"/>
      <c r="I50" s="59">
        <v>1011</v>
      </c>
      <c r="J50" s="60">
        <v>46104</v>
      </c>
      <c r="K50" s="60">
        <v>46111</v>
      </c>
      <c r="L50" s="59" t="s">
        <v>230</v>
      </c>
      <c r="M50" s="156">
        <v>1960.97</v>
      </c>
      <c r="N50" s="60"/>
      <c r="O50" s="156">
        <v>0</v>
      </c>
      <c r="P50" s="156">
        <f t="shared" si="1"/>
        <v>0</v>
      </c>
      <c r="Q50" s="59" t="s">
        <v>439</v>
      </c>
      <c r="R50" s="21" t="s">
        <v>446</v>
      </c>
      <c r="S50" s="59"/>
    </row>
    <row r="51" spans="1:19" ht="18" customHeight="1" x14ac:dyDescent="0.25">
      <c r="A51" s="62">
        <v>46</v>
      </c>
      <c r="B51" s="62" t="s">
        <v>454</v>
      </c>
      <c r="C51" s="62">
        <v>3</v>
      </c>
      <c r="D51" s="62">
        <v>29</v>
      </c>
      <c r="E51" s="62">
        <v>9</v>
      </c>
      <c r="F51" s="62">
        <v>41</v>
      </c>
      <c r="G51" s="62"/>
      <c r="H51" s="62"/>
      <c r="I51" s="62">
        <v>1012</v>
      </c>
      <c r="J51" s="63">
        <v>46083</v>
      </c>
      <c r="K51" s="63">
        <v>46086</v>
      </c>
      <c r="L51" s="62" t="s">
        <v>241</v>
      </c>
      <c r="M51" s="157">
        <v>1448.06</v>
      </c>
      <c r="N51" s="63"/>
      <c r="O51" s="157">
        <v>0</v>
      </c>
      <c r="P51" s="157">
        <f t="shared" si="1"/>
        <v>0</v>
      </c>
      <c r="Q51" s="62" t="s">
        <v>439</v>
      </c>
      <c r="R51" s="64" t="s">
        <v>445</v>
      </c>
      <c r="S51" s="62"/>
    </row>
    <row r="52" spans="1:19" ht="18" customHeight="1" x14ac:dyDescent="0.25">
      <c r="A52" s="59">
        <v>47</v>
      </c>
      <c r="B52" s="59" t="s">
        <v>457</v>
      </c>
      <c r="C52" s="59">
        <v>3</v>
      </c>
      <c r="D52" s="59">
        <v>26</v>
      </c>
      <c r="E52" s="59">
        <v>11</v>
      </c>
      <c r="F52" s="59">
        <v>24</v>
      </c>
      <c r="G52" s="59"/>
      <c r="H52" s="59"/>
      <c r="I52" s="59">
        <v>1013</v>
      </c>
      <c r="J52" s="60">
        <v>46083</v>
      </c>
      <c r="K52" s="60">
        <v>46125</v>
      </c>
      <c r="L52" s="59" t="s">
        <v>249</v>
      </c>
      <c r="M52" s="156">
        <v>15550</v>
      </c>
      <c r="N52" s="60">
        <v>46129</v>
      </c>
      <c r="O52" s="156">
        <v>15550</v>
      </c>
      <c r="P52" s="156">
        <f t="shared" si="1"/>
        <v>0</v>
      </c>
      <c r="Q52" s="59" t="s">
        <v>439</v>
      </c>
      <c r="R52" s="20" t="s">
        <v>440</v>
      </c>
      <c r="S52" s="59"/>
    </row>
  </sheetData>
  <autoFilter ref="A1:S51" xr:uid="{00000000-0009-0000-0000-000006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84740745262"/>
  </sheetPr>
  <dimension ref="A1:O12"/>
  <sheetViews>
    <sheetView topLeftCell="A2" zoomScale="85" zoomScaleNormal="85" workbookViewId="0">
      <selection activeCell="G38" sqref="G37:G38"/>
    </sheetView>
  </sheetViews>
  <sheetFormatPr defaultColWidth="9.5703125" defaultRowHeight="18" customHeight="1" x14ac:dyDescent="0.25"/>
  <cols>
    <col min="1" max="1" width="12" style="41" bestFit="1" customWidth="1"/>
    <col min="2" max="2" width="13.28515625" style="41" bestFit="1" customWidth="1"/>
    <col min="3" max="3" width="16.28515625" style="41" bestFit="1" customWidth="1"/>
    <col min="4" max="4" width="10.28515625" style="41" bestFit="1" customWidth="1"/>
    <col min="5" max="5" width="11.28515625" style="41" bestFit="1" customWidth="1"/>
    <col min="6" max="6" width="15.140625" style="41" bestFit="1" customWidth="1"/>
    <col min="7" max="7" width="55.5703125" style="41" bestFit="1" customWidth="1"/>
    <col min="8" max="8" width="14.28515625" style="41" bestFit="1" customWidth="1"/>
    <col min="9" max="9" width="24.140625" style="41" bestFit="1" customWidth="1"/>
    <col min="10" max="10" width="12.7109375" style="41" bestFit="1" customWidth="1"/>
    <col min="11" max="11" width="15" style="41" bestFit="1" customWidth="1"/>
    <col min="12" max="12" width="11.28515625" style="41" bestFit="1" customWidth="1"/>
    <col min="13" max="13" width="17.28515625" style="41" bestFit="1" customWidth="1"/>
    <col min="14" max="14" width="13.7109375" style="41" customWidth="1"/>
    <col min="15" max="15" width="9.7109375" style="41" bestFit="1" customWidth="1"/>
    <col min="16" max="16" width="9.5703125" style="41" customWidth="1"/>
    <col min="17" max="16384" width="9.5703125" style="41"/>
  </cols>
  <sheetData>
    <row r="1" spans="1:15" ht="18" customHeight="1" x14ac:dyDescent="0.25">
      <c r="A1" s="70" t="s">
        <v>474</v>
      </c>
      <c r="B1" s="70" t="s">
        <v>0</v>
      </c>
      <c r="C1" s="70" t="s">
        <v>475</v>
      </c>
      <c r="D1" s="70" t="s">
        <v>476</v>
      </c>
      <c r="E1" s="70" t="s">
        <v>477</v>
      </c>
      <c r="F1" s="70" t="s">
        <v>46</v>
      </c>
      <c r="G1" s="70" t="s">
        <v>478</v>
      </c>
      <c r="H1" s="70" t="s">
        <v>50</v>
      </c>
      <c r="I1" s="70" t="s">
        <v>479</v>
      </c>
      <c r="J1" s="70" t="s">
        <v>58</v>
      </c>
      <c r="K1" s="70" t="s">
        <v>480</v>
      </c>
      <c r="L1" s="70" t="s">
        <v>481</v>
      </c>
      <c r="M1" s="70" t="s">
        <v>482</v>
      </c>
      <c r="N1" s="4" t="s">
        <v>292</v>
      </c>
      <c r="O1" s="70" t="s">
        <v>59</v>
      </c>
    </row>
    <row r="2" spans="1:15" ht="18" customHeight="1" x14ac:dyDescent="0.25">
      <c r="A2" s="59">
        <v>1</v>
      </c>
      <c r="B2" s="59">
        <v>1</v>
      </c>
      <c r="C2" s="74" t="s">
        <v>483</v>
      </c>
      <c r="D2" s="75">
        <v>45419</v>
      </c>
      <c r="E2" s="75">
        <v>45784</v>
      </c>
      <c r="F2" s="75" t="s">
        <v>484</v>
      </c>
      <c r="G2" s="74" t="s">
        <v>485</v>
      </c>
      <c r="H2" s="74" t="s">
        <v>486</v>
      </c>
      <c r="I2" s="74" t="s">
        <v>487</v>
      </c>
      <c r="J2" s="160">
        <v>23454.2</v>
      </c>
      <c r="K2" s="160">
        <v>2345.42</v>
      </c>
      <c r="L2" s="74">
        <v>10</v>
      </c>
      <c r="M2" s="80">
        <v>15</v>
      </c>
      <c r="N2" s="79" t="s">
        <v>488</v>
      </c>
      <c r="O2" s="64" t="s">
        <v>442</v>
      </c>
    </row>
    <row r="3" spans="1:15" ht="18" customHeight="1" x14ac:dyDescent="0.25">
      <c r="A3" s="62">
        <v>2</v>
      </c>
      <c r="B3" s="62">
        <v>1</v>
      </c>
      <c r="C3" s="72" t="s">
        <v>489</v>
      </c>
      <c r="D3" s="73">
        <v>45447</v>
      </c>
      <c r="E3" s="73">
        <v>45813</v>
      </c>
      <c r="F3" s="72">
        <v>17</v>
      </c>
      <c r="G3" s="72" t="s">
        <v>119</v>
      </c>
      <c r="H3" s="72" t="s">
        <v>490</v>
      </c>
      <c r="I3" s="72" t="s">
        <v>487</v>
      </c>
      <c r="J3" s="161">
        <v>10847.45</v>
      </c>
      <c r="K3" s="161">
        <v>1807.91</v>
      </c>
      <c r="L3" s="72">
        <v>6</v>
      </c>
      <c r="M3" s="81">
        <v>15</v>
      </c>
      <c r="N3" s="78" t="s">
        <v>491</v>
      </c>
      <c r="O3" s="64" t="s">
        <v>442</v>
      </c>
    </row>
    <row r="4" spans="1:15" ht="18" customHeight="1" x14ac:dyDescent="0.25">
      <c r="A4" s="59">
        <v>3</v>
      </c>
      <c r="B4" s="59">
        <v>1</v>
      </c>
      <c r="C4" s="74" t="s">
        <v>483</v>
      </c>
      <c r="D4" s="75">
        <v>45450</v>
      </c>
      <c r="E4" s="75">
        <v>45518</v>
      </c>
      <c r="F4" s="74">
        <v>34</v>
      </c>
      <c r="G4" s="74" t="s">
        <v>155</v>
      </c>
      <c r="H4" s="74" t="s">
        <v>486</v>
      </c>
      <c r="I4" s="74" t="s">
        <v>487</v>
      </c>
      <c r="J4" s="160">
        <v>18494.400000000001</v>
      </c>
      <c r="K4" s="160">
        <v>1849.44</v>
      </c>
      <c r="L4" s="74">
        <v>10</v>
      </c>
      <c r="M4" s="80">
        <v>15</v>
      </c>
      <c r="N4" s="79" t="s">
        <v>492</v>
      </c>
      <c r="O4" s="64" t="s">
        <v>445</v>
      </c>
    </row>
    <row r="5" spans="1:15" ht="18" customHeight="1" x14ac:dyDescent="0.25">
      <c r="A5" s="62">
        <v>4</v>
      </c>
      <c r="B5" s="62">
        <v>1</v>
      </c>
      <c r="C5" s="72" t="s">
        <v>493</v>
      </c>
      <c r="D5" s="73">
        <v>45512</v>
      </c>
      <c r="E5" s="73">
        <v>45877</v>
      </c>
      <c r="F5" s="72" t="s">
        <v>494</v>
      </c>
      <c r="G5" s="72" t="s">
        <v>495</v>
      </c>
      <c r="H5" s="72" t="s">
        <v>486</v>
      </c>
      <c r="I5" s="72" t="s">
        <v>496</v>
      </c>
      <c r="J5" s="161">
        <v>8743.51</v>
      </c>
      <c r="K5" s="161">
        <v>874.32</v>
      </c>
      <c r="L5" s="72">
        <v>10</v>
      </c>
      <c r="M5" s="81">
        <v>10</v>
      </c>
      <c r="N5" s="78" t="s">
        <v>497</v>
      </c>
      <c r="O5" s="64" t="s">
        <v>442</v>
      </c>
    </row>
    <row r="6" spans="1:15" ht="18" customHeight="1" x14ac:dyDescent="0.25">
      <c r="A6" s="59">
        <v>5</v>
      </c>
      <c r="B6" s="59">
        <v>1</v>
      </c>
      <c r="C6" s="74" t="s">
        <v>493</v>
      </c>
      <c r="D6" s="75">
        <v>45512</v>
      </c>
      <c r="E6" s="75">
        <v>45877</v>
      </c>
      <c r="F6" s="74" t="s">
        <v>498</v>
      </c>
      <c r="G6" s="74" t="s">
        <v>499</v>
      </c>
      <c r="H6" s="74" t="s">
        <v>486</v>
      </c>
      <c r="I6" s="76" t="s">
        <v>496</v>
      </c>
      <c r="J6" s="160">
        <v>12995.05</v>
      </c>
      <c r="K6" s="160">
        <v>1299.51</v>
      </c>
      <c r="L6" s="74">
        <v>10</v>
      </c>
      <c r="M6" s="80">
        <v>12</v>
      </c>
      <c r="N6" s="79" t="s">
        <v>500</v>
      </c>
      <c r="O6" s="64" t="s">
        <v>442</v>
      </c>
    </row>
    <row r="7" spans="1:15" ht="18" customHeight="1" x14ac:dyDescent="0.25">
      <c r="A7" s="62">
        <v>6</v>
      </c>
      <c r="B7" s="62">
        <v>1</v>
      </c>
      <c r="C7" s="72" t="s">
        <v>501</v>
      </c>
      <c r="D7" s="73">
        <v>45540</v>
      </c>
      <c r="E7" s="73">
        <v>46270</v>
      </c>
      <c r="F7" s="72">
        <v>20</v>
      </c>
      <c r="G7" s="72" t="s">
        <v>417</v>
      </c>
      <c r="H7" s="72" t="s">
        <v>490</v>
      </c>
      <c r="I7" s="71" t="s">
        <v>487</v>
      </c>
      <c r="J7" s="161">
        <v>15188.46</v>
      </c>
      <c r="K7" s="161">
        <v>2531.41</v>
      </c>
      <c r="L7" s="72">
        <v>6</v>
      </c>
      <c r="M7" s="81">
        <v>15</v>
      </c>
      <c r="N7" s="78" t="s">
        <v>502</v>
      </c>
      <c r="O7" s="64" t="s">
        <v>442</v>
      </c>
    </row>
    <row r="8" spans="1:15" ht="18" customHeight="1" x14ac:dyDescent="0.25">
      <c r="A8" s="59">
        <v>7</v>
      </c>
      <c r="B8" s="59">
        <v>4</v>
      </c>
      <c r="C8" s="74" t="s">
        <v>503</v>
      </c>
      <c r="D8" s="75">
        <v>45552</v>
      </c>
      <c r="E8" s="75">
        <v>45689</v>
      </c>
      <c r="F8" s="74">
        <v>50</v>
      </c>
      <c r="G8" s="74" t="s">
        <v>504</v>
      </c>
      <c r="H8" s="74" t="s">
        <v>490</v>
      </c>
      <c r="I8" s="74" t="s">
        <v>487</v>
      </c>
      <c r="J8" s="160">
        <v>21437.8</v>
      </c>
      <c r="K8" s="160">
        <v>3572.97</v>
      </c>
      <c r="L8" s="74">
        <v>6</v>
      </c>
      <c r="M8" s="80">
        <v>4</v>
      </c>
      <c r="N8" s="79" t="s">
        <v>505</v>
      </c>
      <c r="O8" s="64" t="s">
        <v>445</v>
      </c>
    </row>
    <row r="9" spans="1:15" ht="18" customHeight="1" x14ac:dyDescent="0.25">
      <c r="A9" s="62">
        <v>8</v>
      </c>
      <c r="B9" s="62">
        <v>1</v>
      </c>
      <c r="C9" s="72" t="s">
        <v>506</v>
      </c>
      <c r="D9" s="73">
        <v>45783</v>
      </c>
      <c r="E9" s="73">
        <v>46148</v>
      </c>
      <c r="F9" s="72" t="s">
        <v>484</v>
      </c>
      <c r="G9" s="72" t="s">
        <v>507</v>
      </c>
      <c r="H9" s="72" t="s">
        <v>486</v>
      </c>
      <c r="I9" s="72" t="s">
        <v>496</v>
      </c>
      <c r="J9" s="161">
        <v>8737.7000000000007</v>
      </c>
      <c r="K9" s="161">
        <v>873.76</v>
      </c>
      <c r="L9" s="72">
        <v>10</v>
      </c>
      <c r="M9" s="81">
        <v>20</v>
      </c>
      <c r="N9" s="78" t="s">
        <v>508</v>
      </c>
      <c r="O9" s="77" t="s">
        <v>202</v>
      </c>
    </row>
    <row r="10" spans="1:15" ht="18" customHeight="1" x14ac:dyDescent="0.25">
      <c r="A10" s="59">
        <v>9</v>
      </c>
      <c r="B10" s="59">
        <v>1</v>
      </c>
      <c r="C10" s="74" t="s">
        <v>509</v>
      </c>
      <c r="D10" s="75">
        <v>45812</v>
      </c>
      <c r="E10" s="75">
        <v>46177</v>
      </c>
      <c r="F10" s="74">
        <v>17</v>
      </c>
      <c r="G10" s="74" t="s">
        <v>119</v>
      </c>
      <c r="H10" s="74" t="s">
        <v>486</v>
      </c>
      <c r="I10" s="74" t="s">
        <v>487</v>
      </c>
      <c r="J10" s="160">
        <v>7136.94</v>
      </c>
      <c r="K10" s="160">
        <v>1189.49</v>
      </c>
      <c r="L10" s="74">
        <v>6</v>
      </c>
      <c r="M10" s="80">
        <v>19</v>
      </c>
      <c r="N10" s="79" t="s">
        <v>510</v>
      </c>
      <c r="O10" s="77" t="s">
        <v>202</v>
      </c>
    </row>
    <row r="11" spans="1:15" ht="18" customHeight="1" x14ac:dyDescent="0.25">
      <c r="A11" s="62">
        <v>10</v>
      </c>
      <c r="B11" s="62">
        <v>1</v>
      </c>
      <c r="C11" s="72" t="s">
        <v>511</v>
      </c>
      <c r="D11" s="73">
        <v>45877</v>
      </c>
      <c r="E11" s="73">
        <v>46242</v>
      </c>
      <c r="F11" s="72" t="s">
        <v>512</v>
      </c>
      <c r="G11" s="72" t="s">
        <v>513</v>
      </c>
      <c r="H11" s="72" t="s">
        <v>486</v>
      </c>
      <c r="I11" s="72" t="s">
        <v>496</v>
      </c>
      <c r="J11" s="161">
        <v>21525.14</v>
      </c>
      <c r="K11" s="161">
        <v>2152.56</v>
      </c>
      <c r="L11" s="72">
        <v>10</v>
      </c>
      <c r="M11" s="81">
        <v>15</v>
      </c>
      <c r="N11" s="78" t="s">
        <v>514</v>
      </c>
      <c r="O11" s="77" t="s">
        <v>202</v>
      </c>
    </row>
    <row r="12" spans="1:15" ht="18" customHeight="1" x14ac:dyDescent="0.25">
      <c r="A12" s="59">
        <v>11</v>
      </c>
      <c r="B12" s="59">
        <v>1</v>
      </c>
      <c r="C12" s="74" t="s">
        <v>515</v>
      </c>
      <c r="D12" s="75">
        <v>45905</v>
      </c>
      <c r="E12" s="75">
        <v>46270</v>
      </c>
      <c r="F12" s="74">
        <v>20</v>
      </c>
      <c r="G12" s="74" t="s">
        <v>417</v>
      </c>
      <c r="H12" s="74" t="s">
        <v>490</v>
      </c>
      <c r="I12" s="74" t="s">
        <v>487</v>
      </c>
      <c r="J12" s="160">
        <v>16284.68</v>
      </c>
      <c r="K12" s="160">
        <v>2714.12</v>
      </c>
      <c r="L12" s="74">
        <v>6</v>
      </c>
      <c r="M12" s="80">
        <v>22</v>
      </c>
      <c r="N12" s="79" t="s">
        <v>516</v>
      </c>
      <c r="O12" s="77" t="s">
        <v>202</v>
      </c>
    </row>
  </sheetData>
  <autoFilter ref="A1:O12" xr:uid="{00000000-0009-0000-0000-000007000000}"/>
  <hyperlinks>
    <hyperlink ref="N2" r:id="rId1" display="https://tkjgerenciamento.sharepoint.com/:b:/s/REDE2/IQCvf4AvbXl3S7v5waYv7FCpAb3cJUDxi7smPzRz3rgavaI?e=GSUZwx" xr:uid="{00000000-0004-0000-0700-000000000000}"/>
    <hyperlink ref="N3" r:id="rId2" display="https://tkjgerenciamento.sharepoint.com/:b:/s/REDE2/IQBYvcfYRQauQqTWX5gans9HAZ9OnJrvT149NpoG0jxBfGI?e=tQcHiz" xr:uid="{00000000-0004-0000-0700-000001000000}"/>
    <hyperlink ref="N4" r:id="rId3" display="../../../../../../:f:/s/REDE2/IgAg3-ugmZulRpSP3mtJTON4AaIJIYZ7_NW92wQtjJexqog?e=qLOVu2" xr:uid="{00000000-0004-0000-0700-000002000000}"/>
    <hyperlink ref="N5" r:id="rId4" display="https://tkjgerenciamento.sharepoint.com/:b:/s/REDE2/IQBTsTKJ6rNcTqd42NufpaNvAViTOKZzUIbsK9mmZTfBaGE?e=URElfz" xr:uid="{00000000-0004-0000-0700-000003000000}"/>
    <hyperlink ref="N6" r:id="rId5" display="../../../../../../:f:/s/REDE2/IgCTYs_ccJHBToFMiwt95O0oAV0ksQNEWIY4NGEO71Kcaig?e=pC2QXM" xr:uid="{00000000-0004-0000-0700-000004000000}"/>
    <hyperlink ref="N7" r:id="rId6" display="https://tkjgerenciamento.sharepoint.com/:b:/s/REDE2/IQB6kdUuzhCxQ7pWYozPKYGKAab3M9JOJkkdjYPBu5FPapY?e=VpJLFf" xr:uid="{00000000-0004-0000-0700-000005000000}"/>
    <hyperlink ref="N8" r:id="rId7" display="https://tkjgerenciamento.sharepoint.com/:b:/s/REDE2/IQCX5LbT7ROUQJH31b7bNfwtAX8jKfOUpJJMpMWni-PgMHU?e=pVaE7y" xr:uid="{00000000-0004-0000-0700-000006000000}"/>
    <hyperlink ref="N9" r:id="rId8" display="https://tkjgerenciamento.sharepoint.com/:b:/s/REDE2/IQCoM5sA7Q6nTrSJUAB-_k9zAYN8-wVuv3bZYTZyek1Y5oI?e=ps66Jr" xr:uid="{00000000-0004-0000-0700-000007000000}"/>
    <hyperlink ref="N10" r:id="rId9" display="https://tkjgerenciamento.sharepoint.com/:b:/s/REDE2/IQAUlP1YN_tlTbY486fyW3aKAaP05xQfL3CxY-KT6Pr00hY?e=aIXK4Z" xr:uid="{00000000-0004-0000-0700-000008000000}"/>
    <hyperlink ref="N11" r:id="rId10" display="https://tkjgerenciamento.sharepoint.com/:b:/s/REDE2/IQDt4_kxGJrbQKm33DDKqRH2AbfHeXM1ZO47JVcPs56L9lo?e=7dANBU" xr:uid="{00000000-0004-0000-0700-000009000000}"/>
    <hyperlink ref="N12" r:id="rId11" display="https://tkjgerenciamento.sharepoint.com/:b:/s/REDE2/IQA2dZkeELayRaILqF578evJAaTivzG9bSM1NqPRZ6F0-3I?e=fM5lkQ" xr:uid="{00000000-0004-0000-0700-00000A000000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K191"/>
  <sheetViews>
    <sheetView zoomScale="85" zoomScaleNormal="85" workbookViewId="0">
      <selection activeCell="J130" sqref="J130"/>
    </sheetView>
  </sheetViews>
  <sheetFormatPr defaultColWidth="17.5703125" defaultRowHeight="18" customHeight="1" x14ac:dyDescent="0.25"/>
  <cols>
    <col min="1" max="1" width="12.42578125" style="41" customWidth="1"/>
    <col min="2" max="2" width="12" style="41" bestFit="1" customWidth="1"/>
    <col min="3" max="3" width="13.28515625" style="41" bestFit="1" customWidth="1"/>
    <col min="4" max="4" width="12.140625" style="41" bestFit="1" customWidth="1"/>
    <col min="5" max="5" width="9.7109375" style="41" bestFit="1" customWidth="1"/>
    <col min="6" max="6" width="17.140625" style="41" bestFit="1" customWidth="1"/>
    <col min="7" max="7" width="14.28515625" style="41" bestFit="1" customWidth="1"/>
    <col min="8" max="8" width="12.42578125" style="149" bestFit="1" customWidth="1"/>
    <col min="9" max="9" width="14.85546875" style="41" bestFit="1" customWidth="1"/>
    <col min="10" max="10" width="14.7109375" style="41" bestFit="1" customWidth="1"/>
    <col min="11" max="11" width="9.28515625" style="41" customWidth="1"/>
    <col min="12" max="12" width="17.5703125" style="41" customWidth="1"/>
    <col min="13" max="16384" width="17.5703125" style="41"/>
  </cols>
  <sheetData>
    <row r="1" spans="1:11" ht="18" customHeight="1" x14ac:dyDescent="0.25">
      <c r="A1" s="19" t="s">
        <v>517</v>
      </c>
      <c r="B1" s="19" t="s">
        <v>474</v>
      </c>
      <c r="C1" s="19" t="s">
        <v>0</v>
      </c>
      <c r="D1" s="19" t="s">
        <v>46</v>
      </c>
      <c r="E1" s="19" t="s">
        <v>47</v>
      </c>
      <c r="F1" s="19" t="s">
        <v>518</v>
      </c>
      <c r="G1" s="19" t="s">
        <v>431</v>
      </c>
      <c r="H1" s="19" t="s">
        <v>519</v>
      </c>
      <c r="I1" s="19" t="s">
        <v>520</v>
      </c>
      <c r="J1" s="19" t="s">
        <v>521</v>
      </c>
      <c r="K1" s="19" t="s">
        <v>59</v>
      </c>
    </row>
    <row r="2" spans="1:11" ht="18" hidden="1" customHeight="1" x14ac:dyDescent="0.25">
      <c r="A2" s="85">
        <v>1</v>
      </c>
      <c r="B2" s="85">
        <v>1</v>
      </c>
      <c r="C2" s="86">
        <v>1</v>
      </c>
      <c r="D2" s="85">
        <v>42</v>
      </c>
      <c r="E2" s="85" t="str">
        <f>_xlfn.XLOOKUP(D2,'🚛 FROTA'!A:A,'🚛 FROTA'!B:B,"")</f>
        <v>BSX5H07</v>
      </c>
      <c r="F2" s="85" t="str">
        <f>_xlfn.XLOOKUP(B2,'🛡️ SEGUROS'!A:A,'🛡️ SEGUROS'!C:C,"")</f>
        <v>0531 49 7942680</v>
      </c>
      <c r="G2" s="87">
        <v>45450</v>
      </c>
      <c r="H2" s="162">
        <f>2345.42/2</f>
        <v>1172.71</v>
      </c>
      <c r="I2" s="85">
        <v>1</v>
      </c>
      <c r="J2" s="85">
        <v>10</v>
      </c>
      <c r="K2" s="77" t="s">
        <v>522</v>
      </c>
    </row>
    <row r="3" spans="1:11" ht="18" hidden="1" customHeight="1" x14ac:dyDescent="0.25">
      <c r="A3" s="84">
        <v>2</v>
      </c>
      <c r="B3" s="84">
        <v>1</v>
      </c>
      <c r="C3" s="82">
        <v>1</v>
      </c>
      <c r="D3" s="84">
        <v>43</v>
      </c>
      <c r="E3" s="84" t="str">
        <f>_xlfn.XLOOKUP(D3,'🚛 FROTA'!A:A,'🚛 FROTA'!B:B,"")</f>
        <v>CSU3F94</v>
      </c>
      <c r="F3" s="84" t="str">
        <f>_xlfn.XLOOKUP(B3,'🛡️ SEGUROS'!A:A,'🛡️ SEGUROS'!C:C,"")</f>
        <v>0531 49 7942680</v>
      </c>
      <c r="G3" s="83">
        <v>45450</v>
      </c>
      <c r="H3" s="163">
        <f>2345.42/2</f>
        <v>1172.71</v>
      </c>
      <c r="I3" s="84">
        <v>1</v>
      </c>
      <c r="J3" s="84">
        <v>10</v>
      </c>
      <c r="K3" s="77" t="s">
        <v>522</v>
      </c>
    </row>
    <row r="4" spans="1:11" ht="18" hidden="1" customHeight="1" x14ac:dyDescent="0.25">
      <c r="A4" s="85">
        <v>3</v>
      </c>
      <c r="B4" s="85">
        <v>2</v>
      </c>
      <c r="C4" s="86">
        <v>1</v>
      </c>
      <c r="D4" s="85">
        <v>17</v>
      </c>
      <c r="E4" s="85" t="str">
        <f>_xlfn.XLOOKUP(D4,'🚛 FROTA'!A:A,'🚛 FROTA'!B:B,"")</f>
        <v>BQV5264</v>
      </c>
      <c r="F4" s="85" t="str">
        <f>_xlfn.XLOOKUP(B4,'🛡️ SEGUROS'!A:A,'🛡️ SEGUROS'!C:C,"")</f>
        <v xml:space="preserve">171 49 24005276 </v>
      </c>
      <c r="G4" s="87">
        <v>45458</v>
      </c>
      <c r="H4" s="162">
        <f>10847.46/6</f>
        <v>1807.9099999999999</v>
      </c>
      <c r="I4" s="85">
        <v>1</v>
      </c>
      <c r="J4" s="85">
        <v>6</v>
      </c>
      <c r="K4" s="77" t="s">
        <v>522</v>
      </c>
    </row>
    <row r="5" spans="1:11" ht="18" hidden="1" customHeight="1" x14ac:dyDescent="0.25">
      <c r="A5" s="84">
        <v>4</v>
      </c>
      <c r="B5" s="84">
        <v>3</v>
      </c>
      <c r="C5" s="82">
        <v>1</v>
      </c>
      <c r="D5" s="84">
        <v>34</v>
      </c>
      <c r="E5" s="84" t="str">
        <f>_xlfn.XLOOKUP(D5,'🚛 FROTA'!A:A,'🚛 FROTA'!B:B,"")</f>
        <v>EXW7D65</v>
      </c>
      <c r="F5" s="84" t="str">
        <f>_xlfn.XLOOKUP(B5,'🛡️ SEGUROS'!A:A,'🛡️ SEGUROS'!C:C,"")</f>
        <v>0531 49 7942680</v>
      </c>
      <c r="G5" s="83">
        <v>45480</v>
      </c>
      <c r="H5" s="163">
        <f>1849.44+713.69</f>
        <v>2563.13</v>
      </c>
      <c r="I5" s="84">
        <v>1</v>
      </c>
      <c r="J5" s="84">
        <v>10</v>
      </c>
      <c r="K5" s="77" t="s">
        <v>522</v>
      </c>
    </row>
    <row r="6" spans="1:11" ht="18" hidden="1" customHeight="1" x14ac:dyDescent="0.25">
      <c r="A6" s="85">
        <v>5</v>
      </c>
      <c r="B6" s="85">
        <v>1</v>
      </c>
      <c r="C6" s="86">
        <v>1</v>
      </c>
      <c r="D6" s="85">
        <v>42</v>
      </c>
      <c r="E6" s="85" t="str">
        <f>_xlfn.XLOOKUP(D6,'🚛 FROTA'!A:A,'🚛 FROTA'!B:B,"")</f>
        <v>BSX5H07</v>
      </c>
      <c r="F6" s="85" t="str">
        <f>_xlfn.XLOOKUP(B6,'🛡️ SEGUROS'!A:A,'🛡️ SEGUROS'!C:C,"")</f>
        <v>0531 49 7942680</v>
      </c>
      <c r="G6" s="87">
        <v>45488</v>
      </c>
      <c r="H6" s="162">
        <f>2345.42/2</f>
        <v>1172.71</v>
      </c>
      <c r="I6" s="85">
        <v>2</v>
      </c>
      <c r="J6" s="85">
        <v>10</v>
      </c>
      <c r="K6" s="77" t="s">
        <v>522</v>
      </c>
    </row>
    <row r="7" spans="1:11" ht="18" hidden="1" customHeight="1" x14ac:dyDescent="0.25">
      <c r="A7" s="84">
        <v>6</v>
      </c>
      <c r="B7" s="84">
        <v>1</v>
      </c>
      <c r="C7" s="82">
        <v>1</v>
      </c>
      <c r="D7" s="84">
        <v>43</v>
      </c>
      <c r="E7" s="84" t="str">
        <f>_xlfn.XLOOKUP(D7,'🚛 FROTA'!A:A,'🚛 FROTA'!B:B,"")</f>
        <v>CSU3F94</v>
      </c>
      <c r="F7" s="84" t="str">
        <f>_xlfn.XLOOKUP(B7,'🛡️ SEGUROS'!A:A,'🛡️ SEGUROS'!C:C,"")</f>
        <v>0531 49 7942680</v>
      </c>
      <c r="G7" s="83">
        <v>45488</v>
      </c>
      <c r="H7" s="163">
        <f>2345.42/2</f>
        <v>1172.71</v>
      </c>
      <c r="I7" s="84">
        <v>2</v>
      </c>
      <c r="J7" s="84">
        <v>10</v>
      </c>
      <c r="K7" s="77" t="s">
        <v>522</v>
      </c>
    </row>
    <row r="8" spans="1:11" ht="18" hidden="1" customHeight="1" x14ac:dyDescent="0.25">
      <c r="A8" s="85">
        <v>7</v>
      </c>
      <c r="B8" s="85">
        <v>2</v>
      </c>
      <c r="C8" s="86">
        <v>1</v>
      </c>
      <c r="D8" s="85">
        <v>17</v>
      </c>
      <c r="E8" s="85" t="str">
        <f>_xlfn.XLOOKUP(D8,'🚛 FROTA'!A:A,'🚛 FROTA'!B:B,"")</f>
        <v>BQV5264</v>
      </c>
      <c r="F8" s="85" t="str">
        <f>_xlfn.XLOOKUP(B8,'🛡️ SEGUROS'!A:A,'🛡️ SEGUROS'!C:C,"")</f>
        <v xml:space="preserve">171 49 24005276 </v>
      </c>
      <c r="G8" s="87">
        <v>45488</v>
      </c>
      <c r="H8" s="162">
        <f>10847.46/6</f>
        <v>1807.9099999999999</v>
      </c>
      <c r="I8" s="85">
        <v>2</v>
      </c>
      <c r="J8" s="85">
        <v>6</v>
      </c>
      <c r="K8" s="77" t="s">
        <v>522</v>
      </c>
    </row>
    <row r="9" spans="1:11" ht="18" hidden="1" customHeight="1" x14ac:dyDescent="0.25">
      <c r="A9" s="84">
        <v>8</v>
      </c>
      <c r="B9" s="84">
        <v>1</v>
      </c>
      <c r="C9" s="82">
        <v>1</v>
      </c>
      <c r="D9" s="84">
        <v>42</v>
      </c>
      <c r="E9" s="84" t="str">
        <f>_xlfn.XLOOKUP(D9,'🚛 FROTA'!A:A,'🚛 FROTA'!B:B,"")</f>
        <v>BSX5H07</v>
      </c>
      <c r="F9" s="84" t="str">
        <f>_xlfn.XLOOKUP(B9,'🛡️ SEGUROS'!A:A,'🛡️ SEGUROS'!C:C,"")</f>
        <v>0531 49 7942680</v>
      </c>
      <c r="G9" s="83">
        <v>45519</v>
      </c>
      <c r="H9" s="163">
        <f>2345.42/2</f>
        <v>1172.71</v>
      </c>
      <c r="I9" s="84">
        <v>3</v>
      </c>
      <c r="J9" s="84">
        <v>10</v>
      </c>
      <c r="K9" s="77" t="s">
        <v>522</v>
      </c>
    </row>
    <row r="10" spans="1:11" ht="18" hidden="1" customHeight="1" x14ac:dyDescent="0.25">
      <c r="A10" s="85">
        <v>9</v>
      </c>
      <c r="B10" s="85">
        <v>1</v>
      </c>
      <c r="C10" s="86">
        <v>1</v>
      </c>
      <c r="D10" s="85">
        <v>43</v>
      </c>
      <c r="E10" s="85" t="str">
        <f>_xlfn.XLOOKUP(D10,'🚛 FROTA'!A:A,'🚛 FROTA'!B:B,"")</f>
        <v>CSU3F94</v>
      </c>
      <c r="F10" s="85" t="str">
        <f>_xlfn.XLOOKUP(B10,'🛡️ SEGUROS'!A:A,'🛡️ SEGUROS'!C:C,"")</f>
        <v>0531 49 7942680</v>
      </c>
      <c r="G10" s="87">
        <v>45519</v>
      </c>
      <c r="H10" s="162">
        <f>2345.42/2</f>
        <v>1172.71</v>
      </c>
      <c r="I10" s="85">
        <v>3</v>
      </c>
      <c r="J10" s="85">
        <v>10</v>
      </c>
      <c r="K10" s="77" t="s">
        <v>522</v>
      </c>
    </row>
    <row r="11" spans="1:11" ht="18" hidden="1" customHeight="1" x14ac:dyDescent="0.25">
      <c r="A11" s="84">
        <v>10</v>
      </c>
      <c r="B11" s="84">
        <v>2</v>
      </c>
      <c r="C11" s="82">
        <v>1</v>
      </c>
      <c r="D11" s="84">
        <v>17</v>
      </c>
      <c r="E11" s="84" t="str">
        <f>_xlfn.XLOOKUP(D11,'🚛 FROTA'!A:A,'🚛 FROTA'!B:B,"")</f>
        <v>BQV5264</v>
      </c>
      <c r="F11" s="84" t="str">
        <f>_xlfn.XLOOKUP(B11,'🛡️ SEGUROS'!A:A,'🛡️ SEGUROS'!C:C,"")</f>
        <v xml:space="preserve">171 49 24005276 </v>
      </c>
      <c r="G11" s="83">
        <v>45519</v>
      </c>
      <c r="H11" s="163">
        <f>10847.46/6</f>
        <v>1807.9099999999999</v>
      </c>
      <c r="I11" s="84">
        <v>3</v>
      </c>
      <c r="J11" s="84">
        <v>6</v>
      </c>
      <c r="K11" s="77" t="s">
        <v>522</v>
      </c>
    </row>
    <row r="12" spans="1:11" ht="18" hidden="1" customHeight="1" x14ac:dyDescent="0.25">
      <c r="A12" s="85">
        <v>11</v>
      </c>
      <c r="B12" s="85">
        <v>3</v>
      </c>
      <c r="C12" s="86">
        <v>1</v>
      </c>
      <c r="D12" s="85">
        <v>34</v>
      </c>
      <c r="E12" s="85" t="str">
        <f>_xlfn.XLOOKUP(D12,'🚛 FROTA'!A:A,'🚛 FROTA'!B:B,"")</f>
        <v>EXW7D65</v>
      </c>
      <c r="F12" s="85" t="str">
        <f>_xlfn.XLOOKUP(B12,'🛡️ SEGUROS'!A:A,'🛡️ SEGUROS'!C:C,"")</f>
        <v>0531 49 7942680</v>
      </c>
      <c r="G12" s="87">
        <v>45519</v>
      </c>
      <c r="H12" s="162">
        <f>1849.44+713.69</f>
        <v>2563.13</v>
      </c>
      <c r="I12" s="85">
        <v>2</v>
      </c>
      <c r="J12" s="85">
        <v>10</v>
      </c>
      <c r="K12" s="77" t="s">
        <v>522</v>
      </c>
    </row>
    <row r="13" spans="1:11" ht="18" hidden="1" customHeight="1" x14ac:dyDescent="0.25">
      <c r="A13" s="84">
        <v>12</v>
      </c>
      <c r="B13" s="84">
        <v>5</v>
      </c>
      <c r="C13" s="82">
        <v>1</v>
      </c>
      <c r="D13" s="84">
        <v>4</v>
      </c>
      <c r="E13" s="84" t="str">
        <f>_xlfn.XLOOKUP(D13,'🚛 FROTA'!A:A,'🚛 FROTA'!B:B,"")</f>
        <v>KJX8J96</v>
      </c>
      <c r="F13" s="84" t="str">
        <f>_xlfn.XLOOKUP(B13,'🛡️ SEGUROS'!A:A,'🛡️ SEGUROS'!C:C,"")</f>
        <v>0531 49 8045088</v>
      </c>
      <c r="G13" s="83">
        <v>45549</v>
      </c>
      <c r="H13" s="163">
        <f>3160.37/10</f>
        <v>316.03699999999998</v>
      </c>
      <c r="I13" s="84">
        <v>1</v>
      </c>
      <c r="J13" s="84">
        <v>10</v>
      </c>
      <c r="K13" s="77" t="s">
        <v>522</v>
      </c>
    </row>
    <row r="14" spans="1:11" ht="18" hidden="1" customHeight="1" x14ac:dyDescent="0.25">
      <c r="A14" s="85">
        <v>13</v>
      </c>
      <c r="B14" s="85">
        <v>5</v>
      </c>
      <c r="C14" s="86">
        <v>1</v>
      </c>
      <c r="D14" s="85">
        <v>6</v>
      </c>
      <c r="E14" s="85" t="str">
        <f>_xlfn.XLOOKUP(D14,'🚛 FROTA'!A:A,'🚛 FROTA'!B:B,"")</f>
        <v>EVF8I83</v>
      </c>
      <c r="F14" s="85" t="str">
        <f>_xlfn.XLOOKUP(B14,'🛡️ SEGUROS'!A:A,'🛡️ SEGUROS'!C:C,"")</f>
        <v>0531 49 8045088</v>
      </c>
      <c r="G14" s="87">
        <v>45549</v>
      </c>
      <c r="H14" s="162">
        <f>3362.47/10+0.01</f>
        <v>336.25699999999995</v>
      </c>
      <c r="I14" s="85">
        <v>1</v>
      </c>
      <c r="J14" s="85">
        <v>10</v>
      </c>
      <c r="K14" s="77" t="s">
        <v>522</v>
      </c>
    </row>
    <row r="15" spans="1:11" ht="18" hidden="1" customHeight="1" x14ac:dyDescent="0.25">
      <c r="A15" s="84">
        <v>14</v>
      </c>
      <c r="B15" s="84">
        <v>5</v>
      </c>
      <c r="C15" s="82">
        <v>1</v>
      </c>
      <c r="D15" s="84">
        <v>34</v>
      </c>
      <c r="E15" s="84" t="str">
        <f>_xlfn.XLOOKUP(D15,'🚛 FROTA'!A:A,'🚛 FROTA'!B:B,"")</f>
        <v>EXW7D65</v>
      </c>
      <c r="F15" s="84" t="str">
        <f>_xlfn.XLOOKUP(B15,'🛡️ SEGUROS'!A:A,'🛡️ SEGUROS'!C:C,"")</f>
        <v>0531 49 8045088</v>
      </c>
      <c r="G15" s="83">
        <v>45549</v>
      </c>
      <c r="H15" s="163">
        <f>3236.1/10</f>
        <v>323.61</v>
      </c>
      <c r="I15" s="84">
        <v>1</v>
      </c>
      <c r="J15" s="84">
        <v>10</v>
      </c>
      <c r="K15" s="77" t="s">
        <v>522</v>
      </c>
    </row>
    <row r="16" spans="1:11" ht="18" hidden="1" customHeight="1" x14ac:dyDescent="0.25">
      <c r="A16" s="85">
        <v>15</v>
      </c>
      <c r="B16" s="85">
        <v>5</v>
      </c>
      <c r="C16" s="86">
        <v>1</v>
      </c>
      <c r="D16" s="85">
        <v>46</v>
      </c>
      <c r="E16" s="85" t="str">
        <f>_xlfn.XLOOKUP(D16,'🚛 FROTA'!A:A,'🚛 FROTA'!B:B,"")</f>
        <v>CCU5G26</v>
      </c>
      <c r="F16" s="85" t="str">
        <f>_xlfn.XLOOKUP(B16,'🛡️ SEGUROS'!A:A,'🛡️ SEGUROS'!C:C,"")</f>
        <v>0531 49 8045088</v>
      </c>
      <c r="G16" s="87">
        <v>45549</v>
      </c>
      <c r="H16" s="162">
        <f>3236.1/10</f>
        <v>323.61</v>
      </c>
      <c r="I16" s="85">
        <v>1</v>
      </c>
      <c r="J16" s="85">
        <v>10</v>
      </c>
      <c r="K16" s="77" t="s">
        <v>522</v>
      </c>
    </row>
    <row r="17" spans="1:11" ht="18" hidden="1" customHeight="1" x14ac:dyDescent="0.25">
      <c r="A17" s="84">
        <v>16</v>
      </c>
      <c r="B17" s="84">
        <v>1</v>
      </c>
      <c r="C17" s="82">
        <v>1</v>
      </c>
      <c r="D17" s="84">
        <v>42</v>
      </c>
      <c r="E17" s="84" t="str">
        <f>_xlfn.XLOOKUP(D17,'🚛 FROTA'!A:A,'🚛 FROTA'!B:B,"")</f>
        <v>BSX5H07</v>
      </c>
      <c r="F17" s="84" t="str">
        <f>_xlfn.XLOOKUP(B17,'🛡️ SEGUROS'!A:A,'🛡️ SEGUROS'!C:C,"")</f>
        <v>0531 49 7942680</v>
      </c>
      <c r="G17" s="83">
        <v>45550</v>
      </c>
      <c r="H17" s="163">
        <f>2345.42/2</f>
        <v>1172.71</v>
      </c>
      <c r="I17" s="84">
        <v>4</v>
      </c>
      <c r="J17" s="84">
        <v>10</v>
      </c>
      <c r="K17" s="77" t="s">
        <v>522</v>
      </c>
    </row>
    <row r="18" spans="1:11" ht="18" hidden="1" customHeight="1" x14ac:dyDescent="0.25">
      <c r="A18" s="85">
        <v>17</v>
      </c>
      <c r="B18" s="85">
        <v>1</v>
      </c>
      <c r="C18" s="86">
        <v>1</v>
      </c>
      <c r="D18" s="85">
        <v>43</v>
      </c>
      <c r="E18" s="85" t="str">
        <f>_xlfn.XLOOKUP(D18,'🚛 FROTA'!A:A,'🚛 FROTA'!B:B,"")</f>
        <v>CSU3F94</v>
      </c>
      <c r="F18" s="85" t="str">
        <f>_xlfn.XLOOKUP(B18,'🛡️ SEGUROS'!A:A,'🛡️ SEGUROS'!C:C,"")</f>
        <v>0531 49 7942680</v>
      </c>
      <c r="G18" s="87">
        <v>45550</v>
      </c>
      <c r="H18" s="162">
        <f>2345.42/2</f>
        <v>1172.71</v>
      </c>
      <c r="I18" s="85">
        <v>4</v>
      </c>
      <c r="J18" s="85">
        <v>10</v>
      </c>
      <c r="K18" s="77" t="s">
        <v>522</v>
      </c>
    </row>
    <row r="19" spans="1:11" ht="18" hidden="1" customHeight="1" x14ac:dyDescent="0.25">
      <c r="A19" s="84">
        <v>18</v>
      </c>
      <c r="B19" s="84">
        <v>2</v>
      </c>
      <c r="C19" s="82">
        <v>1</v>
      </c>
      <c r="D19" s="84">
        <v>17</v>
      </c>
      <c r="E19" s="84" t="str">
        <f>_xlfn.XLOOKUP(D19,'🚛 FROTA'!A:A,'🚛 FROTA'!B:B,"")</f>
        <v>BQV5264</v>
      </c>
      <c r="F19" s="84" t="str">
        <f>_xlfn.XLOOKUP(B19,'🛡️ SEGUROS'!A:A,'🛡️ SEGUROS'!C:C,"")</f>
        <v xml:space="preserve">171 49 24005276 </v>
      </c>
      <c r="G19" s="83">
        <v>45550</v>
      </c>
      <c r="H19" s="163">
        <f>10847.46/6</f>
        <v>1807.9099999999999</v>
      </c>
      <c r="I19" s="84">
        <v>4</v>
      </c>
      <c r="J19" s="84">
        <v>6</v>
      </c>
      <c r="K19" s="77" t="s">
        <v>522</v>
      </c>
    </row>
    <row r="20" spans="1:11" ht="18" customHeight="1" x14ac:dyDescent="0.25">
      <c r="A20" s="85">
        <v>19</v>
      </c>
      <c r="B20" s="85">
        <v>6</v>
      </c>
      <c r="C20" s="86">
        <v>1</v>
      </c>
      <c r="D20" s="85">
        <v>20</v>
      </c>
      <c r="E20" s="85" t="str">
        <f>_xlfn.XLOOKUP(D20,'🚛 FROTA'!A:A,'🚛 FROTA'!B:B,"")</f>
        <v>MAX4116</v>
      </c>
      <c r="F20" s="85" t="str">
        <f>_xlfn.XLOOKUP(B20,'🛡️ SEGUROS'!A:A,'🛡️ SEGUROS'!C:C,"")</f>
        <v>171 49 24005792</v>
      </c>
      <c r="G20" s="87">
        <v>45550</v>
      </c>
      <c r="H20" s="162">
        <v>2531.41</v>
      </c>
      <c r="I20" s="85">
        <v>1</v>
      </c>
      <c r="J20" s="85">
        <v>6</v>
      </c>
      <c r="K20" s="77" t="s">
        <v>522</v>
      </c>
    </row>
    <row r="21" spans="1:11" ht="18" hidden="1" customHeight="1" x14ac:dyDescent="0.25">
      <c r="A21" s="84">
        <v>20</v>
      </c>
      <c r="B21" s="84">
        <v>4</v>
      </c>
      <c r="C21" s="82">
        <v>1</v>
      </c>
      <c r="D21" s="84">
        <v>24</v>
      </c>
      <c r="E21" s="84" t="str">
        <f>_xlfn.XLOOKUP(D21,'🚛 FROTA'!A:A,'🚛 FROTA'!B:B,"")</f>
        <v>DYG5G03</v>
      </c>
      <c r="F21" s="84" t="str">
        <f>_xlfn.XLOOKUP(B21,'🛡️ SEGUROS'!A:A,'🛡️ SEGUROS'!C:C,"")</f>
        <v>0531 49 8045088</v>
      </c>
      <c r="G21" s="83">
        <v>45574</v>
      </c>
      <c r="H21" s="163">
        <f>2910.47/10-0.01</f>
        <v>291.03699999999998</v>
      </c>
      <c r="I21" s="84">
        <v>1</v>
      </c>
      <c r="J21" s="84">
        <v>10</v>
      </c>
      <c r="K21" s="77" t="s">
        <v>522</v>
      </c>
    </row>
    <row r="22" spans="1:11" ht="18" hidden="1" customHeight="1" x14ac:dyDescent="0.25">
      <c r="A22" s="85">
        <v>21</v>
      </c>
      <c r="B22" s="85">
        <v>4</v>
      </c>
      <c r="C22" s="86">
        <v>1</v>
      </c>
      <c r="D22" s="85">
        <v>39</v>
      </c>
      <c r="E22" s="85" t="str">
        <f>_xlfn.XLOOKUP(D22,'🚛 FROTA'!A:A,'🚛 FROTA'!B:B,"")</f>
        <v>EJX0I24</v>
      </c>
      <c r="F22" s="85" t="str">
        <f>_xlfn.XLOOKUP(B22,'🛡️ SEGUROS'!A:A,'🛡️ SEGUROS'!C:C,"")</f>
        <v>0531 49 8045088</v>
      </c>
      <c r="G22" s="87">
        <v>45574</v>
      </c>
      <c r="H22" s="162">
        <f>2791.96/10-0.01</f>
        <v>279.18600000000004</v>
      </c>
      <c r="I22" s="85">
        <v>1</v>
      </c>
      <c r="J22" s="85">
        <v>10</v>
      </c>
      <c r="K22" s="77" t="s">
        <v>522</v>
      </c>
    </row>
    <row r="23" spans="1:11" ht="18" hidden="1" customHeight="1" x14ac:dyDescent="0.25">
      <c r="A23" s="84">
        <v>22</v>
      </c>
      <c r="B23" s="84">
        <v>4</v>
      </c>
      <c r="C23" s="82">
        <v>1</v>
      </c>
      <c r="D23" s="84">
        <v>47</v>
      </c>
      <c r="E23" s="84" t="str">
        <f>_xlfn.XLOOKUP(D23,'🚛 FROTA'!A:A,'🚛 FROTA'!B:B,"")</f>
        <v>CUG4B86</v>
      </c>
      <c r="F23" s="84" t="str">
        <f>_xlfn.XLOOKUP(B23,'🛡️ SEGUROS'!A:A,'🛡️ SEGUROS'!C:C,"")</f>
        <v>0531 49 8045088</v>
      </c>
      <c r="G23" s="83">
        <v>45574</v>
      </c>
      <c r="H23" s="163">
        <f>3041.09/10-0.01</f>
        <v>304.09900000000005</v>
      </c>
      <c r="I23" s="84">
        <v>1</v>
      </c>
      <c r="J23" s="84">
        <v>10</v>
      </c>
      <c r="K23" s="77" t="s">
        <v>522</v>
      </c>
    </row>
    <row r="24" spans="1:11" ht="18" hidden="1" customHeight="1" x14ac:dyDescent="0.25">
      <c r="A24" s="85">
        <v>23</v>
      </c>
      <c r="B24" s="85">
        <v>5</v>
      </c>
      <c r="C24" s="86">
        <v>1</v>
      </c>
      <c r="D24" s="85">
        <v>4</v>
      </c>
      <c r="E24" s="85" t="str">
        <f>_xlfn.XLOOKUP(D24,'🚛 FROTA'!A:A,'🚛 FROTA'!B:B,"")</f>
        <v>KJX8J96</v>
      </c>
      <c r="F24" s="85" t="str">
        <f>_xlfn.XLOOKUP(B24,'🛡️ SEGUROS'!A:A,'🛡️ SEGUROS'!C:C,"")</f>
        <v>0531 49 8045088</v>
      </c>
      <c r="G24" s="87">
        <v>45577</v>
      </c>
      <c r="H24" s="162">
        <f>3160.37/10</f>
        <v>316.03699999999998</v>
      </c>
      <c r="I24" s="85">
        <v>2</v>
      </c>
      <c r="J24" s="85">
        <v>10</v>
      </c>
      <c r="K24" s="77" t="s">
        <v>522</v>
      </c>
    </row>
    <row r="25" spans="1:11" ht="18" hidden="1" customHeight="1" x14ac:dyDescent="0.25">
      <c r="A25" s="84">
        <v>24</v>
      </c>
      <c r="B25" s="84">
        <v>5</v>
      </c>
      <c r="C25" s="82">
        <v>1</v>
      </c>
      <c r="D25" s="84">
        <v>6</v>
      </c>
      <c r="E25" s="84" t="str">
        <f>_xlfn.XLOOKUP(D25,'🚛 FROTA'!A:A,'🚛 FROTA'!B:B,"")</f>
        <v>EVF8I83</v>
      </c>
      <c r="F25" s="84" t="str">
        <f>_xlfn.XLOOKUP(B25,'🛡️ SEGUROS'!A:A,'🛡️ SEGUROS'!C:C,"")</f>
        <v>0531 49 8045088</v>
      </c>
      <c r="G25" s="83">
        <v>45577</v>
      </c>
      <c r="H25" s="163">
        <f>3362.47/10+0.01</f>
        <v>336.25699999999995</v>
      </c>
      <c r="I25" s="84">
        <v>2</v>
      </c>
      <c r="J25" s="84">
        <v>10</v>
      </c>
      <c r="K25" s="77" t="s">
        <v>522</v>
      </c>
    </row>
    <row r="26" spans="1:11" ht="18" hidden="1" customHeight="1" x14ac:dyDescent="0.25">
      <c r="A26" s="85">
        <v>25</v>
      </c>
      <c r="B26" s="85">
        <v>5</v>
      </c>
      <c r="C26" s="86">
        <v>1</v>
      </c>
      <c r="D26" s="85">
        <v>34</v>
      </c>
      <c r="E26" s="85" t="str">
        <f>_xlfn.XLOOKUP(D26,'🚛 FROTA'!A:A,'🚛 FROTA'!B:B,"")</f>
        <v>EXW7D65</v>
      </c>
      <c r="F26" s="85" t="str">
        <f>_xlfn.XLOOKUP(B26,'🛡️ SEGUROS'!A:A,'🛡️ SEGUROS'!C:C,"")</f>
        <v>0531 49 8045088</v>
      </c>
      <c r="G26" s="87">
        <v>45577</v>
      </c>
      <c r="H26" s="162">
        <f>3236.1/10</f>
        <v>323.61</v>
      </c>
      <c r="I26" s="85">
        <v>2</v>
      </c>
      <c r="J26" s="85">
        <v>10</v>
      </c>
      <c r="K26" s="77" t="s">
        <v>522</v>
      </c>
    </row>
    <row r="27" spans="1:11" ht="18" hidden="1" customHeight="1" x14ac:dyDescent="0.25">
      <c r="A27" s="84">
        <v>26</v>
      </c>
      <c r="B27" s="84">
        <v>5</v>
      </c>
      <c r="C27" s="82">
        <v>1</v>
      </c>
      <c r="D27" s="84">
        <v>46</v>
      </c>
      <c r="E27" s="84" t="str">
        <f>_xlfn.XLOOKUP(D27,'🚛 FROTA'!A:A,'🚛 FROTA'!B:B,"")</f>
        <v>CCU5G26</v>
      </c>
      <c r="F27" s="84" t="str">
        <f>_xlfn.XLOOKUP(B27,'🛡️ SEGUROS'!A:A,'🛡️ SEGUROS'!C:C,"")</f>
        <v>0531 49 8045088</v>
      </c>
      <c r="G27" s="83">
        <v>45577</v>
      </c>
      <c r="H27" s="163">
        <f>3236.1/10</f>
        <v>323.61</v>
      </c>
      <c r="I27" s="84">
        <v>2</v>
      </c>
      <c r="J27" s="84">
        <v>10</v>
      </c>
      <c r="K27" s="77" t="s">
        <v>522</v>
      </c>
    </row>
    <row r="28" spans="1:11" ht="18" hidden="1" customHeight="1" x14ac:dyDescent="0.25">
      <c r="A28" s="85">
        <v>27</v>
      </c>
      <c r="B28" s="85">
        <v>1</v>
      </c>
      <c r="C28" s="86">
        <v>1</v>
      </c>
      <c r="D28" s="85">
        <v>42</v>
      </c>
      <c r="E28" s="85" t="str">
        <f>_xlfn.XLOOKUP(D28,'🚛 FROTA'!A:A,'🚛 FROTA'!B:B,"")</f>
        <v>BSX5H07</v>
      </c>
      <c r="F28" s="85" t="str">
        <f>_xlfn.XLOOKUP(B28,'🛡️ SEGUROS'!A:A,'🛡️ SEGUROS'!C:C,"")</f>
        <v>0531 49 7942680</v>
      </c>
      <c r="G28" s="87">
        <v>45580</v>
      </c>
      <c r="H28" s="162">
        <f>2345.42/2</f>
        <v>1172.71</v>
      </c>
      <c r="I28" s="85">
        <v>5</v>
      </c>
      <c r="J28" s="85">
        <v>10</v>
      </c>
      <c r="K28" s="77" t="s">
        <v>522</v>
      </c>
    </row>
    <row r="29" spans="1:11" ht="18" hidden="1" customHeight="1" x14ac:dyDescent="0.25">
      <c r="A29" s="84">
        <v>28</v>
      </c>
      <c r="B29" s="84">
        <v>1</v>
      </c>
      <c r="C29" s="82">
        <v>1</v>
      </c>
      <c r="D29" s="84">
        <v>43</v>
      </c>
      <c r="E29" s="84" t="str">
        <f>_xlfn.XLOOKUP(D29,'🚛 FROTA'!A:A,'🚛 FROTA'!B:B,"")</f>
        <v>CSU3F94</v>
      </c>
      <c r="F29" s="84" t="str">
        <f>_xlfn.XLOOKUP(B29,'🛡️ SEGUROS'!A:A,'🛡️ SEGUROS'!C:C,"")</f>
        <v>0531 49 7942680</v>
      </c>
      <c r="G29" s="83">
        <v>45580</v>
      </c>
      <c r="H29" s="163">
        <f>2345.42/2</f>
        <v>1172.71</v>
      </c>
      <c r="I29" s="84">
        <v>5</v>
      </c>
      <c r="J29" s="84">
        <v>10</v>
      </c>
      <c r="K29" s="77" t="s">
        <v>522</v>
      </c>
    </row>
    <row r="30" spans="1:11" ht="18" hidden="1" customHeight="1" x14ac:dyDescent="0.25">
      <c r="A30" s="85">
        <v>29</v>
      </c>
      <c r="B30" s="85">
        <v>2</v>
      </c>
      <c r="C30" s="86">
        <v>1</v>
      </c>
      <c r="D30" s="85">
        <v>17</v>
      </c>
      <c r="E30" s="85" t="str">
        <f>_xlfn.XLOOKUP(D30,'🚛 FROTA'!A:A,'🚛 FROTA'!B:B,"")</f>
        <v>BQV5264</v>
      </c>
      <c r="F30" s="85" t="str">
        <f>_xlfn.XLOOKUP(B30,'🛡️ SEGUROS'!A:A,'🛡️ SEGUROS'!C:C,"")</f>
        <v xml:space="preserve">171 49 24005276 </v>
      </c>
      <c r="G30" s="87">
        <v>45580</v>
      </c>
      <c r="H30" s="162">
        <f>10847.46/6</f>
        <v>1807.9099999999999</v>
      </c>
      <c r="I30" s="85">
        <v>5</v>
      </c>
      <c r="J30" s="85">
        <v>6</v>
      </c>
      <c r="K30" s="77" t="s">
        <v>522</v>
      </c>
    </row>
    <row r="31" spans="1:11" ht="18" customHeight="1" x14ac:dyDescent="0.25">
      <c r="A31" s="84">
        <v>30</v>
      </c>
      <c r="B31" s="84">
        <v>6</v>
      </c>
      <c r="C31" s="82">
        <v>1</v>
      </c>
      <c r="D31" s="84">
        <v>20</v>
      </c>
      <c r="E31" s="84" t="str">
        <f>_xlfn.XLOOKUP(D31,'🚛 FROTA'!A:A,'🚛 FROTA'!B:B,"")</f>
        <v>MAX4116</v>
      </c>
      <c r="F31" s="84" t="str">
        <f>_xlfn.XLOOKUP(B31,'🛡️ SEGUROS'!A:A,'🛡️ SEGUROS'!C:C,"")</f>
        <v>171 49 24005792</v>
      </c>
      <c r="G31" s="83">
        <v>45580</v>
      </c>
      <c r="H31" s="163">
        <v>2531.41</v>
      </c>
      <c r="I31" s="84">
        <v>2</v>
      </c>
      <c r="J31" s="84">
        <v>6</v>
      </c>
      <c r="K31" s="77" t="s">
        <v>522</v>
      </c>
    </row>
    <row r="32" spans="1:11" ht="18" hidden="1" customHeight="1" x14ac:dyDescent="0.25">
      <c r="A32" s="85">
        <v>31</v>
      </c>
      <c r="B32" s="85">
        <v>4</v>
      </c>
      <c r="C32" s="86">
        <v>1</v>
      </c>
      <c r="D32" s="85">
        <v>24</v>
      </c>
      <c r="E32" s="85" t="str">
        <f>_xlfn.XLOOKUP(D32,'🚛 FROTA'!A:A,'🚛 FROTA'!B:B,"")</f>
        <v>DYG5G03</v>
      </c>
      <c r="F32" s="85" t="str">
        <f>_xlfn.XLOOKUP(B32,'🛡️ SEGUROS'!A:A,'🛡️ SEGUROS'!C:C,"")</f>
        <v>0531 49 8045088</v>
      </c>
      <c r="G32" s="87">
        <v>45606</v>
      </c>
      <c r="H32" s="162">
        <f>2910.47/10-0.01</f>
        <v>291.03699999999998</v>
      </c>
      <c r="I32" s="85">
        <v>2</v>
      </c>
      <c r="J32" s="85">
        <v>10</v>
      </c>
      <c r="K32" s="77" t="s">
        <v>522</v>
      </c>
    </row>
    <row r="33" spans="1:11" ht="18" hidden="1" customHeight="1" x14ac:dyDescent="0.25">
      <c r="A33" s="84">
        <v>32</v>
      </c>
      <c r="B33" s="84">
        <v>4</v>
      </c>
      <c r="C33" s="82">
        <v>1</v>
      </c>
      <c r="D33" s="84">
        <v>39</v>
      </c>
      <c r="E33" s="84" t="str">
        <f>_xlfn.XLOOKUP(D33,'🚛 FROTA'!A:A,'🚛 FROTA'!B:B,"")</f>
        <v>EJX0I24</v>
      </c>
      <c r="F33" s="84" t="str">
        <f>_xlfn.XLOOKUP(B33,'🛡️ SEGUROS'!A:A,'🛡️ SEGUROS'!C:C,"")</f>
        <v>0531 49 8045088</v>
      </c>
      <c r="G33" s="83">
        <v>45606</v>
      </c>
      <c r="H33" s="163">
        <f>2791.96/10-0.01</f>
        <v>279.18600000000004</v>
      </c>
      <c r="I33" s="84">
        <v>2</v>
      </c>
      <c r="J33" s="84">
        <v>10</v>
      </c>
      <c r="K33" s="77" t="s">
        <v>522</v>
      </c>
    </row>
    <row r="34" spans="1:11" ht="18" hidden="1" customHeight="1" x14ac:dyDescent="0.25">
      <c r="A34" s="85">
        <v>33</v>
      </c>
      <c r="B34" s="85">
        <v>4</v>
      </c>
      <c r="C34" s="86">
        <v>1</v>
      </c>
      <c r="D34" s="85">
        <v>47</v>
      </c>
      <c r="E34" s="85" t="str">
        <f>_xlfn.XLOOKUP(D34,'🚛 FROTA'!A:A,'🚛 FROTA'!B:B,"")</f>
        <v>CUG4B86</v>
      </c>
      <c r="F34" s="85" t="str">
        <f>_xlfn.XLOOKUP(B34,'🛡️ SEGUROS'!A:A,'🛡️ SEGUROS'!C:C,"")</f>
        <v>0531 49 8045088</v>
      </c>
      <c r="G34" s="87">
        <v>45606</v>
      </c>
      <c r="H34" s="162">
        <f>3041.09/10-0.01</f>
        <v>304.09900000000005</v>
      </c>
      <c r="I34" s="85">
        <v>2</v>
      </c>
      <c r="J34" s="85">
        <v>10</v>
      </c>
      <c r="K34" s="77" t="s">
        <v>522</v>
      </c>
    </row>
    <row r="35" spans="1:11" ht="18" hidden="1" customHeight="1" x14ac:dyDescent="0.25">
      <c r="A35" s="84">
        <v>34</v>
      </c>
      <c r="B35" s="84">
        <v>5</v>
      </c>
      <c r="C35" s="82">
        <v>1</v>
      </c>
      <c r="D35" s="84">
        <v>4</v>
      </c>
      <c r="E35" s="84" t="str">
        <f>_xlfn.XLOOKUP(D35,'🚛 FROTA'!A:A,'🚛 FROTA'!B:B,"")</f>
        <v>KJX8J96</v>
      </c>
      <c r="F35" s="84" t="str">
        <f>_xlfn.XLOOKUP(B35,'🛡️ SEGUROS'!A:A,'🛡️ SEGUROS'!C:C,"")</f>
        <v>0531 49 8045088</v>
      </c>
      <c r="G35" s="83">
        <v>45608</v>
      </c>
      <c r="H35" s="163">
        <f>3160.37/10</f>
        <v>316.03699999999998</v>
      </c>
      <c r="I35" s="84">
        <v>3</v>
      </c>
      <c r="J35" s="84">
        <v>10</v>
      </c>
      <c r="K35" s="77" t="s">
        <v>522</v>
      </c>
    </row>
    <row r="36" spans="1:11" ht="18" hidden="1" customHeight="1" x14ac:dyDescent="0.25">
      <c r="A36" s="85">
        <v>35</v>
      </c>
      <c r="B36" s="85">
        <v>5</v>
      </c>
      <c r="C36" s="86">
        <v>1</v>
      </c>
      <c r="D36" s="85">
        <v>6</v>
      </c>
      <c r="E36" s="85" t="str">
        <f>_xlfn.XLOOKUP(D36,'🚛 FROTA'!A:A,'🚛 FROTA'!B:B,"")</f>
        <v>EVF8I83</v>
      </c>
      <c r="F36" s="85" t="str">
        <f>_xlfn.XLOOKUP(B36,'🛡️ SEGUROS'!A:A,'🛡️ SEGUROS'!C:C,"")</f>
        <v>0531 49 8045088</v>
      </c>
      <c r="G36" s="87">
        <v>45608</v>
      </c>
      <c r="H36" s="162">
        <f>3362.47/10+0.01</f>
        <v>336.25699999999995</v>
      </c>
      <c r="I36" s="85">
        <v>3</v>
      </c>
      <c r="J36" s="85">
        <v>10</v>
      </c>
      <c r="K36" s="77" t="s">
        <v>522</v>
      </c>
    </row>
    <row r="37" spans="1:11" ht="18" hidden="1" customHeight="1" x14ac:dyDescent="0.25">
      <c r="A37" s="84">
        <v>36</v>
      </c>
      <c r="B37" s="84">
        <v>5</v>
      </c>
      <c r="C37" s="82">
        <v>1</v>
      </c>
      <c r="D37" s="84">
        <v>34</v>
      </c>
      <c r="E37" s="84" t="str">
        <f>_xlfn.XLOOKUP(D37,'🚛 FROTA'!A:A,'🚛 FROTA'!B:B,"")</f>
        <v>EXW7D65</v>
      </c>
      <c r="F37" s="84" t="str">
        <f>_xlfn.XLOOKUP(B37,'🛡️ SEGUROS'!A:A,'🛡️ SEGUROS'!C:C,"")</f>
        <v>0531 49 8045088</v>
      </c>
      <c r="G37" s="83">
        <v>45608</v>
      </c>
      <c r="H37" s="163">
        <f>3236.1/10</f>
        <v>323.61</v>
      </c>
      <c r="I37" s="84">
        <v>3</v>
      </c>
      <c r="J37" s="84">
        <v>10</v>
      </c>
      <c r="K37" s="77" t="s">
        <v>522</v>
      </c>
    </row>
    <row r="38" spans="1:11" ht="18" hidden="1" customHeight="1" x14ac:dyDescent="0.25">
      <c r="A38" s="85">
        <v>37</v>
      </c>
      <c r="B38" s="85">
        <v>5</v>
      </c>
      <c r="C38" s="86">
        <v>1</v>
      </c>
      <c r="D38" s="85">
        <v>46</v>
      </c>
      <c r="E38" s="85" t="str">
        <f>_xlfn.XLOOKUP(D38,'🚛 FROTA'!A:A,'🚛 FROTA'!B:B,"")</f>
        <v>CCU5G26</v>
      </c>
      <c r="F38" s="85" t="str">
        <f>_xlfn.XLOOKUP(B38,'🛡️ SEGUROS'!A:A,'🛡️ SEGUROS'!C:C,"")</f>
        <v>0531 49 8045088</v>
      </c>
      <c r="G38" s="87">
        <v>45608</v>
      </c>
      <c r="H38" s="162">
        <f>3236.1/10</f>
        <v>323.61</v>
      </c>
      <c r="I38" s="85">
        <v>3</v>
      </c>
      <c r="J38" s="85">
        <v>10</v>
      </c>
      <c r="K38" s="77" t="s">
        <v>522</v>
      </c>
    </row>
    <row r="39" spans="1:11" ht="18" hidden="1" customHeight="1" x14ac:dyDescent="0.25">
      <c r="A39" s="84">
        <v>38</v>
      </c>
      <c r="B39" s="84">
        <v>1</v>
      </c>
      <c r="C39" s="82">
        <v>1</v>
      </c>
      <c r="D39" s="84">
        <v>42</v>
      </c>
      <c r="E39" s="84" t="str">
        <f>_xlfn.XLOOKUP(D39,'🚛 FROTA'!A:A,'🚛 FROTA'!B:B,"")</f>
        <v>BSX5H07</v>
      </c>
      <c r="F39" s="84" t="str">
        <f>_xlfn.XLOOKUP(B39,'🛡️ SEGUROS'!A:A,'🛡️ SEGUROS'!C:C,"")</f>
        <v>0531 49 7942680</v>
      </c>
      <c r="G39" s="83">
        <v>45611</v>
      </c>
      <c r="H39" s="163">
        <f>2345.42/2</f>
        <v>1172.71</v>
      </c>
      <c r="I39" s="84">
        <v>6</v>
      </c>
      <c r="J39" s="84">
        <v>10</v>
      </c>
      <c r="K39" s="77" t="s">
        <v>522</v>
      </c>
    </row>
    <row r="40" spans="1:11" ht="18" hidden="1" customHeight="1" x14ac:dyDescent="0.25">
      <c r="A40" s="85">
        <v>39</v>
      </c>
      <c r="B40" s="85">
        <v>1</v>
      </c>
      <c r="C40" s="86">
        <v>1</v>
      </c>
      <c r="D40" s="85">
        <v>43</v>
      </c>
      <c r="E40" s="85" t="str">
        <f>_xlfn.XLOOKUP(D40,'🚛 FROTA'!A:A,'🚛 FROTA'!B:B,"")</f>
        <v>CSU3F94</v>
      </c>
      <c r="F40" s="85" t="str">
        <f>_xlfn.XLOOKUP(B40,'🛡️ SEGUROS'!A:A,'🛡️ SEGUROS'!C:C,"")</f>
        <v>0531 49 7942680</v>
      </c>
      <c r="G40" s="87">
        <v>45611</v>
      </c>
      <c r="H40" s="162">
        <f>2345.42/2</f>
        <v>1172.71</v>
      </c>
      <c r="I40" s="85">
        <v>6</v>
      </c>
      <c r="J40" s="85">
        <v>10</v>
      </c>
      <c r="K40" s="77" t="s">
        <v>522</v>
      </c>
    </row>
    <row r="41" spans="1:11" ht="18" hidden="1" customHeight="1" x14ac:dyDescent="0.25">
      <c r="A41" s="84">
        <v>40</v>
      </c>
      <c r="B41" s="84">
        <v>2</v>
      </c>
      <c r="C41" s="82">
        <v>1</v>
      </c>
      <c r="D41" s="84">
        <v>17</v>
      </c>
      <c r="E41" s="84" t="str">
        <f>_xlfn.XLOOKUP(D41,'🚛 FROTA'!A:A,'🚛 FROTA'!B:B,"")</f>
        <v>BQV5264</v>
      </c>
      <c r="F41" s="84" t="str">
        <f>_xlfn.XLOOKUP(B41,'🛡️ SEGUROS'!A:A,'🛡️ SEGUROS'!C:C,"")</f>
        <v xml:space="preserve">171 49 24005276 </v>
      </c>
      <c r="G41" s="83">
        <v>45611</v>
      </c>
      <c r="H41" s="163">
        <f>10847.46/6</f>
        <v>1807.9099999999999</v>
      </c>
      <c r="I41" s="84">
        <v>6</v>
      </c>
      <c r="J41" s="84">
        <v>6</v>
      </c>
      <c r="K41" s="77" t="s">
        <v>522</v>
      </c>
    </row>
    <row r="42" spans="1:11" ht="18" customHeight="1" x14ac:dyDescent="0.25">
      <c r="A42" s="85">
        <v>41</v>
      </c>
      <c r="B42" s="85">
        <v>6</v>
      </c>
      <c r="C42" s="86">
        <v>1</v>
      </c>
      <c r="D42" s="85">
        <v>20</v>
      </c>
      <c r="E42" s="85" t="str">
        <f>_xlfn.XLOOKUP(D42,'🚛 FROTA'!A:A,'🚛 FROTA'!B:B,"")</f>
        <v>MAX4116</v>
      </c>
      <c r="F42" s="85" t="str">
        <f>_xlfn.XLOOKUP(B42,'🛡️ SEGUROS'!A:A,'🛡️ SEGUROS'!C:C,"")</f>
        <v>171 49 24005792</v>
      </c>
      <c r="G42" s="87">
        <v>45611</v>
      </c>
      <c r="H42" s="162">
        <v>2531.41</v>
      </c>
      <c r="I42" s="85">
        <v>3</v>
      </c>
      <c r="J42" s="85">
        <v>6</v>
      </c>
      <c r="K42" s="77" t="s">
        <v>522</v>
      </c>
    </row>
    <row r="43" spans="1:11" ht="18" hidden="1" customHeight="1" x14ac:dyDescent="0.25">
      <c r="A43" s="84">
        <v>42</v>
      </c>
      <c r="B43" s="84">
        <v>4</v>
      </c>
      <c r="C43" s="82">
        <v>1</v>
      </c>
      <c r="D43" s="84">
        <v>24</v>
      </c>
      <c r="E43" s="84" t="str">
        <f>_xlfn.XLOOKUP(D43,'🚛 FROTA'!A:A,'🚛 FROTA'!B:B,"")</f>
        <v>DYG5G03</v>
      </c>
      <c r="F43" s="84" t="str">
        <f>_xlfn.XLOOKUP(B43,'🛡️ SEGUROS'!A:A,'🛡️ SEGUROS'!C:C,"")</f>
        <v>0531 49 8045088</v>
      </c>
      <c r="G43" s="83">
        <v>45636</v>
      </c>
      <c r="H43" s="163">
        <f>2910.47/10-0.01</f>
        <v>291.03699999999998</v>
      </c>
      <c r="I43" s="84">
        <v>3</v>
      </c>
      <c r="J43" s="84">
        <v>10</v>
      </c>
      <c r="K43" s="77" t="s">
        <v>522</v>
      </c>
    </row>
    <row r="44" spans="1:11" ht="18" hidden="1" customHeight="1" x14ac:dyDescent="0.25">
      <c r="A44" s="85">
        <v>43</v>
      </c>
      <c r="B44" s="85">
        <v>4</v>
      </c>
      <c r="C44" s="86">
        <v>1</v>
      </c>
      <c r="D44" s="85">
        <v>39</v>
      </c>
      <c r="E44" s="85" t="str">
        <f>_xlfn.XLOOKUP(D44,'🚛 FROTA'!A:A,'🚛 FROTA'!B:B,"")</f>
        <v>EJX0I24</v>
      </c>
      <c r="F44" s="85" t="str">
        <f>_xlfn.XLOOKUP(B44,'🛡️ SEGUROS'!A:A,'🛡️ SEGUROS'!C:C,"")</f>
        <v>0531 49 8045088</v>
      </c>
      <c r="G44" s="87">
        <v>45636</v>
      </c>
      <c r="H44" s="162">
        <f>2791.96/10-0.01</f>
        <v>279.18600000000004</v>
      </c>
      <c r="I44" s="85">
        <v>3</v>
      </c>
      <c r="J44" s="85">
        <v>10</v>
      </c>
      <c r="K44" s="77" t="s">
        <v>522</v>
      </c>
    </row>
    <row r="45" spans="1:11" ht="18" hidden="1" customHeight="1" x14ac:dyDescent="0.25">
      <c r="A45" s="84">
        <v>44</v>
      </c>
      <c r="B45" s="84">
        <v>4</v>
      </c>
      <c r="C45" s="82">
        <v>1</v>
      </c>
      <c r="D45" s="84">
        <v>47</v>
      </c>
      <c r="E45" s="84" t="str">
        <f>_xlfn.XLOOKUP(D45,'🚛 FROTA'!A:A,'🚛 FROTA'!B:B,"")</f>
        <v>CUG4B86</v>
      </c>
      <c r="F45" s="84" t="str">
        <f>_xlfn.XLOOKUP(B45,'🛡️ SEGUROS'!A:A,'🛡️ SEGUROS'!C:C,"")</f>
        <v>0531 49 8045088</v>
      </c>
      <c r="G45" s="83">
        <v>45636</v>
      </c>
      <c r="H45" s="163">
        <f>3041.09/10-0.01</f>
        <v>304.09900000000005</v>
      </c>
      <c r="I45" s="84">
        <v>3</v>
      </c>
      <c r="J45" s="84">
        <v>10</v>
      </c>
      <c r="K45" s="77" t="s">
        <v>522</v>
      </c>
    </row>
    <row r="46" spans="1:11" ht="18" hidden="1" customHeight="1" x14ac:dyDescent="0.25">
      <c r="A46" s="85">
        <v>45</v>
      </c>
      <c r="B46" s="85">
        <v>5</v>
      </c>
      <c r="C46" s="86">
        <v>1</v>
      </c>
      <c r="D46" s="85">
        <v>4</v>
      </c>
      <c r="E46" s="85" t="str">
        <f>_xlfn.XLOOKUP(D46,'🚛 FROTA'!A:A,'🚛 FROTA'!B:B,"")</f>
        <v>KJX8J96</v>
      </c>
      <c r="F46" s="85" t="str">
        <f>_xlfn.XLOOKUP(B46,'🛡️ SEGUROS'!A:A,'🛡️ SEGUROS'!C:C,"")</f>
        <v>0531 49 8045088</v>
      </c>
      <c r="G46" s="87">
        <v>45638</v>
      </c>
      <c r="H46" s="162">
        <f>3160.37/10</f>
        <v>316.03699999999998</v>
      </c>
      <c r="I46" s="85">
        <v>4</v>
      </c>
      <c r="J46" s="85">
        <v>10</v>
      </c>
      <c r="K46" s="77" t="s">
        <v>522</v>
      </c>
    </row>
    <row r="47" spans="1:11" ht="18" hidden="1" customHeight="1" x14ac:dyDescent="0.25">
      <c r="A47" s="84">
        <v>46</v>
      </c>
      <c r="B47" s="84">
        <v>5</v>
      </c>
      <c r="C47" s="82">
        <v>1</v>
      </c>
      <c r="D47" s="84">
        <v>6</v>
      </c>
      <c r="E47" s="84" t="str">
        <f>_xlfn.XLOOKUP(D47,'🚛 FROTA'!A:A,'🚛 FROTA'!B:B,"")</f>
        <v>EVF8I83</v>
      </c>
      <c r="F47" s="84" t="str">
        <f>_xlfn.XLOOKUP(B47,'🛡️ SEGUROS'!A:A,'🛡️ SEGUROS'!C:C,"")</f>
        <v>0531 49 8045088</v>
      </c>
      <c r="G47" s="83">
        <v>45638</v>
      </c>
      <c r="H47" s="163">
        <f>3362.47/10+0.01</f>
        <v>336.25699999999995</v>
      </c>
      <c r="I47" s="84">
        <v>4</v>
      </c>
      <c r="J47" s="84">
        <v>10</v>
      </c>
      <c r="K47" s="77" t="s">
        <v>522</v>
      </c>
    </row>
    <row r="48" spans="1:11" ht="18" hidden="1" customHeight="1" x14ac:dyDescent="0.25">
      <c r="A48" s="85">
        <v>47</v>
      </c>
      <c r="B48" s="85">
        <v>5</v>
      </c>
      <c r="C48" s="86">
        <v>1</v>
      </c>
      <c r="D48" s="85">
        <v>34</v>
      </c>
      <c r="E48" s="85" t="str">
        <f>_xlfn.XLOOKUP(D48,'🚛 FROTA'!A:A,'🚛 FROTA'!B:B,"")</f>
        <v>EXW7D65</v>
      </c>
      <c r="F48" s="85" t="str">
        <f>_xlfn.XLOOKUP(B48,'🛡️ SEGUROS'!A:A,'🛡️ SEGUROS'!C:C,"")</f>
        <v>0531 49 8045088</v>
      </c>
      <c r="G48" s="87">
        <v>45638</v>
      </c>
      <c r="H48" s="162">
        <f>3236.1/10</f>
        <v>323.61</v>
      </c>
      <c r="I48" s="85">
        <v>4</v>
      </c>
      <c r="J48" s="85">
        <v>10</v>
      </c>
      <c r="K48" s="77" t="s">
        <v>522</v>
      </c>
    </row>
    <row r="49" spans="1:11" ht="18" hidden="1" customHeight="1" x14ac:dyDescent="0.25">
      <c r="A49" s="84">
        <v>48</v>
      </c>
      <c r="B49" s="84">
        <v>5</v>
      </c>
      <c r="C49" s="82">
        <v>1</v>
      </c>
      <c r="D49" s="84">
        <v>46</v>
      </c>
      <c r="E49" s="84" t="str">
        <f>_xlfn.XLOOKUP(D49,'🚛 FROTA'!A:A,'🚛 FROTA'!B:B,"")</f>
        <v>CCU5G26</v>
      </c>
      <c r="F49" s="84" t="str">
        <f>_xlfn.XLOOKUP(B49,'🛡️ SEGUROS'!A:A,'🛡️ SEGUROS'!C:C,"")</f>
        <v>0531 49 8045088</v>
      </c>
      <c r="G49" s="83">
        <v>45638</v>
      </c>
      <c r="H49" s="163">
        <f>3236.1/10</f>
        <v>323.61</v>
      </c>
      <c r="I49" s="84">
        <v>4</v>
      </c>
      <c r="J49" s="84">
        <v>10</v>
      </c>
      <c r="K49" s="77" t="s">
        <v>522</v>
      </c>
    </row>
    <row r="50" spans="1:11" ht="18" hidden="1" customHeight="1" x14ac:dyDescent="0.25">
      <c r="A50" s="85">
        <v>49</v>
      </c>
      <c r="B50" s="85">
        <v>1</v>
      </c>
      <c r="C50" s="86">
        <v>1</v>
      </c>
      <c r="D50" s="85">
        <v>42</v>
      </c>
      <c r="E50" s="85" t="str">
        <f>_xlfn.XLOOKUP(D50,'🚛 FROTA'!A:A,'🚛 FROTA'!B:B,"")</f>
        <v>BSX5H07</v>
      </c>
      <c r="F50" s="85" t="str">
        <f>_xlfn.XLOOKUP(B50,'🛡️ SEGUROS'!A:A,'🛡️ SEGUROS'!C:C,"")</f>
        <v>0531 49 7942680</v>
      </c>
      <c r="G50" s="87">
        <v>45641</v>
      </c>
      <c r="H50" s="162">
        <f>2345.42/2</f>
        <v>1172.71</v>
      </c>
      <c r="I50" s="85">
        <v>7</v>
      </c>
      <c r="J50" s="85">
        <v>10</v>
      </c>
      <c r="K50" s="77" t="s">
        <v>522</v>
      </c>
    </row>
    <row r="51" spans="1:11" ht="18" hidden="1" customHeight="1" x14ac:dyDescent="0.25">
      <c r="A51" s="84">
        <v>50</v>
      </c>
      <c r="B51" s="84">
        <v>1</v>
      </c>
      <c r="C51" s="82">
        <v>1</v>
      </c>
      <c r="D51" s="84">
        <v>43</v>
      </c>
      <c r="E51" s="84" t="str">
        <f>_xlfn.XLOOKUP(D51,'🚛 FROTA'!A:A,'🚛 FROTA'!B:B,"")</f>
        <v>CSU3F94</v>
      </c>
      <c r="F51" s="84" t="str">
        <f>_xlfn.XLOOKUP(B51,'🛡️ SEGUROS'!A:A,'🛡️ SEGUROS'!C:C,"")</f>
        <v>0531 49 7942680</v>
      </c>
      <c r="G51" s="83">
        <v>45641</v>
      </c>
      <c r="H51" s="163">
        <f>2345.42/2</f>
        <v>1172.71</v>
      </c>
      <c r="I51" s="84">
        <v>7</v>
      </c>
      <c r="J51" s="84">
        <v>10</v>
      </c>
      <c r="K51" s="77" t="s">
        <v>522</v>
      </c>
    </row>
    <row r="52" spans="1:11" ht="18" customHeight="1" x14ac:dyDescent="0.25">
      <c r="A52" s="85">
        <v>51</v>
      </c>
      <c r="B52" s="85">
        <v>6</v>
      </c>
      <c r="C52" s="86">
        <v>1</v>
      </c>
      <c r="D52" s="85">
        <v>20</v>
      </c>
      <c r="E52" s="85" t="str">
        <f>_xlfn.XLOOKUP(D52,'🚛 FROTA'!A:A,'🚛 FROTA'!B:B,"")</f>
        <v>MAX4116</v>
      </c>
      <c r="F52" s="85" t="str">
        <f>_xlfn.XLOOKUP(B52,'🛡️ SEGUROS'!A:A,'🛡️ SEGUROS'!C:C,"")</f>
        <v>171 49 24005792</v>
      </c>
      <c r="G52" s="87">
        <v>45641</v>
      </c>
      <c r="H52" s="162">
        <v>2531.41</v>
      </c>
      <c r="I52" s="85">
        <v>4</v>
      </c>
      <c r="J52" s="85">
        <v>6</v>
      </c>
      <c r="K52" s="77" t="s">
        <v>522</v>
      </c>
    </row>
    <row r="53" spans="1:11" ht="18" hidden="1" customHeight="1" x14ac:dyDescent="0.25">
      <c r="A53" s="84">
        <v>52</v>
      </c>
      <c r="B53" s="84">
        <v>4</v>
      </c>
      <c r="C53" s="82">
        <v>1</v>
      </c>
      <c r="D53" s="84">
        <v>24</v>
      </c>
      <c r="E53" s="84" t="str">
        <f>_xlfn.XLOOKUP(D53,'🚛 FROTA'!A:A,'🚛 FROTA'!B:B,"")</f>
        <v>DYG5G03</v>
      </c>
      <c r="F53" s="84" t="str">
        <f>_xlfn.XLOOKUP(B53,'🛡️ SEGUROS'!A:A,'🛡️ SEGUROS'!C:C,"")</f>
        <v>0531 49 8045088</v>
      </c>
      <c r="G53" s="83">
        <v>45667</v>
      </c>
      <c r="H53" s="163">
        <f>2910.47/10-0.01</f>
        <v>291.03699999999998</v>
      </c>
      <c r="I53" s="84">
        <v>4</v>
      </c>
      <c r="J53" s="84">
        <v>10</v>
      </c>
      <c r="K53" s="77" t="s">
        <v>522</v>
      </c>
    </row>
    <row r="54" spans="1:11" ht="18" hidden="1" customHeight="1" x14ac:dyDescent="0.25">
      <c r="A54" s="85">
        <v>53</v>
      </c>
      <c r="B54" s="85">
        <v>4</v>
      </c>
      <c r="C54" s="86">
        <v>1</v>
      </c>
      <c r="D54" s="85">
        <v>39</v>
      </c>
      <c r="E54" s="85" t="str">
        <f>_xlfn.XLOOKUP(D54,'🚛 FROTA'!A:A,'🚛 FROTA'!B:B,"")</f>
        <v>EJX0I24</v>
      </c>
      <c r="F54" s="85" t="str">
        <f>_xlfn.XLOOKUP(B54,'🛡️ SEGUROS'!A:A,'🛡️ SEGUROS'!C:C,"")</f>
        <v>0531 49 8045088</v>
      </c>
      <c r="G54" s="87">
        <v>45667</v>
      </c>
      <c r="H54" s="162">
        <f>2791.96/10-0.01</f>
        <v>279.18600000000004</v>
      </c>
      <c r="I54" s="85">
        <v>4</v>
      </c>
      <c r="J54" s="85">
        <v>10</v>
      </c>
      <c r="K54" s="77" t="s">
        <v>522</v>
      </c>
    </row>
    <row r="55" spans="1:11" ht="18" hidden="1" customHeight="1" x14ac:dyDescent="0.25">
      <c r="A55" s="84">
        <v>54</v>
      </c>
      <c r="B55" s="84">
        <v>4</v>
      </c>
      <c r="C55" s="82">
        <v>1</v>
      </c>
      <c r="D55" s="84">
        <v>47</v>
      </c>
      <c r="E55" s="84" t="str">
        <f>_xlfn.XLOOKUP(D55,'🚛 FROTA'!A:A,'🚛 FROTA'!B:B,"")</f>
        <v>CUG4B86</v>
      </c>
      <c r="F55" s="84" t="str">
        <f>_xlfn.XLOOKUP(B55,'🛡️ SEGUROS'!A:A,'🛡️ SEGUROS'!C:C,"")</f>
        <v>0531 49 8045088</v>
      </c>
      <c r="G55" s="83">
        <v>45667</v>
      </c>
      <c r="H55" s="163">
        <f>3041.09/10-0.01</f>
        <v>304.09900000000005</v>
      </c>
      <c r="I55" s="84">
        <v>4</v>
      </c>
      <c r="J55" s="84">
        <v>10</v>
      </c>
      <c r="K55" s="77" t="s">
        <v>522</v>
      </c>
    </row>
    <row r="56" spans="1:11" ht="18" hidden="1" customHeight="1" x14ac:dyDescent="0.25">
      <c r="A56" s="85">
        <v>55</v>
      </c>
      <c r="B56" s="85">
        <v>5</v>
      </c>
      <c r="C56" s="86">
        <v>1</v>
      </c>
      <c r="D56" s="85">
        <v>6</v>
      </c>
      <c r="E56" s="85" t="str">
        <f>_xlfn.XLOOKUP(D56,'🚛 FROTA'!A:A,'🚛 FROTA'!B:B,"")</f>
        <v>EVF8I83</v>
      </c>
      <c r="F56" s="85" t="str">
        <f>_xlfn.XLOOKUP(B56,'🛡️ SEGUROS'!A:A,'🛡️ SEGUROS'!C:C,"")</f>
        <v>0531 49 8045088</v>
      </c>
      <c r="G56" s="87">
        <v>45669</v>
      </c>
      <c r="H56" s="162">
        <f>3362.47/10+0.01</f>
        <v>336.25699999999995</v>
      </c>
      <c r="I56" s="85">
        <v>5</v>
      </c>
      <c r="J56" s="85">
        <v>10</v>
      </c>
      <c r="K56" s="77" t="s">
        <v>522</v>
      </c>
    </row>
    <row r="57" spans="1:11" ht="18" hidden="1" customHeight="1" x14ac:dyDescent="0.25">
      <c r="A57" s="84">
        <v>56</v>
      </c>
      <c r="B57" s="84">
        <v>5</v>
      </c>
      <c r="C57" s="82">
        <v>1</v>
      </c>
      <c r="D57" s="84">
        <v>34</v>
      </c>
      <c r="E57" s="84" t="str">
        <f>_xlfn.XLOOKUP(D57,'🚛 FROTA'!A:A,'🚛 FROTA'!B:B,"")</f>
        <v>EXW7D65</v>
      </c>
      <c r="F57" s="84" t="str">
        <f>_xlfn.XLOOKUP(B57,'🛡️ SEGUROS'!A:A,'🛡️ SEGUROS'!C:C,"")</f>
        <v>0531 49 8045088</v>
      </c>
      <c r="G57" s="83">
        <v>45669</v>
      </c>
      <c r="H57" s="163">
        <f>3236.1/10</f>
        <v>323.61</v>
      </c>
      <c r="I57" s="84">
        <v>5</v>
      </c>
      <c r="J57" s="84">
        <v>10</v>
      </c>
      <c r="K57" s="77" t="s">
        <v>522</v>
      </c>
    </row>
    <row r="58" spans="1:11" ht="18" hidden="1" customHeight="1" x14ac:dyDescent="0.25">
      <c r="A58" s="85">
        <v>57</v>
      </c>
      <c r="B58" s="85">
        <v>5</v>
      </c>
      <c r="C58" s="86">
        <v>1</v>
      </c>
      <c r="D58" s="85">
        <v>46</v>
      </c>
      <c r="E58" s="85" t="str">
        <f>_xlfn.XLOOKUP(D58,'🚛 FROTA'!A:A,'🚛 FROTA'!B:B,"")</f>
        <v>CCU5G26</v>
      </c>
      <c r="F58" s="85" t="str">
        <f>_xlfn.XLOOKUP(B58,'🛡️ SEGUROS'!A:A,'🛡️ SEGUROS'!C:C,"")</f>
        <v>0531 49 8045088</v>
      </c>
      <c r="G58" s="87">
        <v>45669</v>
      </c>
      <c r="H58" s="162">
        <f>3236.1/10</f>
        <v>323.61</v>
      </c>
      <c r="I58" s="85">
        <v>5</v>
      </c>
      <c r="J58" s="85">
        <v>10</v>
      </c>
      <c r="K58" s="77" t="s">
        <v>522</v>
      </c>
    </row>
    <row r="59" spans="1:11" ht="18" hidden="1" customHeight="1" x14ac:dyDescent="0.25">
      <c r="A59" s="84">
        <v>58</v>
      </c>
      <c r="B59" s="84">
        <v>1</v>
      </c>
      <c r="C59" s="82">
        <v>1</v>
      </c>
      <c r="D59" s="84">
        <v>42</v>
      </c>
      <c r="E59" s="84" t="str">
        <f>_xlfn.XLOOKUP(D59,'🚛 FROTA'!A:A,'🚛 FROTA'!B:B,"")</f>
        <v>BSX5H07</v>
      </c>
      <c r="F59" s="84" t="str">
        <f>_xlfn.XLOOKUP(B59,'🛡️ SEGUROS'!A:A,'🛡️ SEGUROS'!C:C,"")</f>
        <v>0531 49 7942680</v>
      </c>
      <c r="G59" s="83">
        <v>45672</v>
      </c>
      <c r="H59" s="163">
        <f>2345.42/2</f>
        <v>1172.71</v>
      </c>
      <c r="I59" s="84">
        <v>8</v>
      </c>
      <c r="J59" s="84">
        <v>10</v>
      </c>
      <c r="K59" s="77" t="s">
        <v>522</v>
      </c>
    </row>
    <row r="60" spans="1:11" ht="18" hidden="1" customHeight="1" x14ac:dyDescent="0.25">
      <c r="A60" s="85">
        <v>59</v>
      </c>
      <c r="B60" s="85">
        <v>1</v>
      </c>
      <c r="C60" s="86">
        <v>1</v>
      </c>
      <c r="D60" s="85">
        <v>43</v>
      </c>
      <c r="E60" s="85" t="str">
        <f>_xlfn.XLOOKUP(D60,'🚛 FROTA'!A:A,'🚛 FROTA'!B:B,"")</f>
        <v>CSU3F94</v>
      </c>
      <c r="F60" s="85" t="str">
        <f>_xlfn.XLOOKUP(B60,'🛡️ SEGUROS'!A:A,'🛡️ SEGUROS'!C:C,"")</f>
        <v>0531 49 7942680</v>
      </c>
      <c r="G60" s="87">
        <v>45672</v>
      </c>
      <c r="H60" s="162">
        <f>2345.42/2</f>
        <v>1172.71</v>
      </c>
      <c r="I60" s="85">
        <v>8</v>
      </c>
      <c r="J60" s="85">
        <v>10</v>
      </c>
      <c r="K60" s="77" t="s">
        <v>522</v>
      </c>
    </row>
    <row r="61" spans="1:11" ht="18" customHeight="1" x14ac:dyDescent="0.25">
      <c r="A61" s="84">
        <v>60</v>
      </c>
      <c r="B61" s="84">
        <v>6</v>
      </c>
      <c r="C61" s="82">
        <v>1</v>
      </c>
      <c r="D61" s="84">
        <v>20</v>
      </c>
      <c r="E61" s="84" t="str">
        <f>_xlfn.XLOOKUP(D61,'🚛 FROTA'!A:A,'🚛 FROTA'!B:B,"")</f>
        <v>MAX4116</v>
      </c>
      <c r="F61" s="84" t="str">
        <f>_xlfn.XLOOKUP(B61,'🛡️ SEGUROS'!A:A,'🛡️ SEGUROS'!C:C,"")</f>
        <v>171 49 24005792</v>
      </c>
      <c r="G61" s="83">
        <v>45672</v>
      </c>
      <c r="H61" s="163">
        <v>2531.41</v>
      </c>
      <c r="I61" s="84">
        <v>5</v>
      </c>
      <c r="J61" s="84">
        <v>6</v>
      </c>
      <c r="K61" s="77" t="s">
        <v>522</v>
      </c>
    </row>
    <row r="62" spans="1:11" ht="18" hidden="1" customHeight="1" x14ac:dyDescent="0.25">
      <c r="A62" s="85">
        <v>61</v>
      </c>
      <c r="B62" s="85">
        <v>4</v>
      </c>
      <c r="C62" s="86">
        <v>1</v>
      </c>
      <c r="D62" s="85">
        <v>24</v>
      </c>
      <c r="E62" s="85" t="str">
        <f>_xlfn.XLOOKUP(D62,'🚛 FROTA'!A:A,'🚛 FROTA'!B:B,"")</f>
        <v>DYG5G03</v>
      </c>
      <c r="F62" s="85" t="str">
        <f>_xlfn.XLOOKUP(B62,'🛡️ SEGUROS'!A:A,'🛡️ SEGUROS'!C:C,"")</f>
        <v>0531 49 8045088</v>
      </c>
      <c r="G62" s="87">
        <v>45698</v>
      </c>
      <c r="H62" s="162">
        <f>2910.47/10-0.01</f>
        <v>291.03699999999998</v>
      </c>
      <c r="I62" s="85">
        <v>5</v>
      </c>
      <c r="J62" s="85">
        <v>10</v>
      </c>
      <c r="K62" s="77" t="s">
        <v>522</v>
      </c>
    </row>
    <row r="63" spans="1:11" ht="18" hidden="1" customHeight="1" x14ac:dyDescent="0.25">
      <c r="A63" s="84">
        <v>62</v>
      </c>
      <c r="B63" s="84">
        <v>4</v>
      </c>
      <c r="C63" s="82">
        <v>1</v>
      </c>
      <c r="D63" s="84">
        <v>39</v>
      </c>
      <c r="E63" s="84" t="str">
        <f>_xlfn.XLOOKUP(D63,'🚛 FROTA'!A:A,'🚛 FROTA'!B:B,"")</f>
        <v>EJX0I24</v>
      </c>
      <c r="F63" s="84" t="str">
        <f>_xlfn.XLOOKUP(B63,'🛡️ SEGUROS'!A:A,'🛡️ SEGUROS'!C:C,"")</f>
        <v>0531 49 8045088</v>
      </c>
      <c r="G63" s="83">
        <v>45698</v>
      </c>
      <c r="H63" s="163">
        <f>2791.96/10-0.01</f>
        <v>279.18600000000004</v>
      </c>
      <c r="I63" s="84">
        <v>5</v>
      </c>
      <c r="J63" s="84">
        <v>10</v>
      </c>
      <c r="K63" s="77" t="s">
        <v>522</v>
      </c>
    </row>
    <row r="64" spans="1:11" ht="18" hidden="1" customHeight="1" x14ac:dyDescent="0.25">
      <c r="A64" s="85">
        <v>63</v>
      </c>
      <c r="B64" s="85">
        <v>4</v>
      </c>
      <c r="C64" s="86">
        <v>1</v>
      </c>
      <c r="D64" s="85">
        <v>47</v>
      </c>
      <c r="E64" s="85" t="str">
        <f>_xlfn.XLOOKUP(D64,'🚛 FROTA'!A:A,'🚛 FROTA'!B:B,"")</f>
        <v>CUG4B86</v>
      </c>
      <c r="F64" s="85" t="str">
        <f>_xlfn.XLOOKUP(B64,'🛡️ SEGUROS'!A:A,'🛡️ SEGUROS'!C:C,"")</f>
        <v>0531 49 8045088</v>
      </c>
      <c r="G64" s="87">
        <v>45698</v>
      </c>
      <c r="H64" s="162">
        <f>3041.09/10-0.01</f>
        <v>304.09900000000005</v>
      </c>
      <c r="I64" s="85">
        <v>5</v>
      </c>
      <c r="J64" s="85">
        <v>10</v>
      </c>
      <c r="K64" s="77" t="s">
        <v>522</v>
      </c>
    </row>
    <row r="65" spans="1:11" ht="18" hidden="1" customHeight="1" x14ac:dyDescent="0.25">
      <c r="A65" s="84">
        <v>64</v>
      </c>
      <c r="B65" s="84">
        <v>5</v>
      </c>
      <c r="C65" s="82">
        <v>1</v>
      </c>
      <c r="D65" s="84">
        <v>6</v>
      </c>
      <c r="E65" s="84" t="str">
        <f>_xlfn.XLOOKUP(D65,'🚛 FROTA'!A:A,'🚛 FROTA'!B:B,"")</f>
        <v>EVF8I83</v>
      </c>
      <c r="F65" s="84" t="str">
        <f>_xlfn.XLOOKUP(B65,'🛡️ SEGUROS'!A:A,'🛡️ SEGUROS'!C:C,"")</f>
        <v>0531 49 8045088</v>
      </c>
      <c r="G65" s="83">
        <v>45700</v>
      </c>
      <c r="H65" s="163">
        <f>3362.47/10+0.01</f>
        <v>336.25699999999995</v>
      </c>
      <c r="I65" s="84">
        <v>6</v>
      </c>
      <c r="J65" s="84">
        <v>10</v>
      </c>
      <c r="K65" s="77" t="s">
        <v>522</v>
      </c>
    </row>
    <row r="66" spans="1:11" ht="18" hidden="1" customHeight="1" x14ac:dyDescent="0.25">
      <c r="A66" s="85">
        <v>65</v>
      </c>
      <c r="B66" s="85">
        <v>5</v>
      </c>
      <c r="C66" s="86">
        <v>1</v>
      </c>
      <c r="D66" s="85">
        <v>34</v>
      </c>
      <c r="E66" s="85" t="str">
        <f>_xlfn.XLOOKUP(D66,'🚛 FROTA'!A:A,'🚛 FROTA'!B:B,"")</f>
        <v>EXW7D65</v>
      </c>
      <c r="F66" s="85" t="str">
        <f>_xlfn.XLOOKUP(B66,'🛡️ SEGUROS'!A:A,'🛡️ SEGUROS'!C:C,"")</f>
        <v>0531 49 8045088</v>
      </c>
      <c r="G66" s="87">
        <v>45700</v>
      </c>
      <c r="H66" s="162">
        <f>3236.1/10</f>
        <v>323.61</v>
      </c>
      <c r="I66" s="85">
        <v>6</v>
      </c>
      <c r="J66" s="85">
        <v>10</v>
      </c>
      <c r="K66" s="77" t="s">
        <v>522</v>
      </c>
    </row>
    <row r="67" spans="1:11" ht="18" hidden="1" customHeight="1" x14ac:dyDescent="0.25">
      <c r="A67" s="84">
        <v>66</v>
      </c>
      <c r="B67" s="84">
        <v>5</v>
      </c>
      <c r="C67" s="82">
        <v>1</v>
      </c>
      <c r="D67" s="84">
        <v>46</v>
      </c>
      <c r="E67" s="84" t="str">
        <f>_xlfn.XLOOKUP(D67,'🚛 FROTA'!A:A,'🚛 FROTA'!B:B,"")</f>
        <v>CCU5G26</v>
      </c>
      <c r="F67" s="84" t="str">
        <f>_xlfn.XLOOKUP(B67,'🛡️ SEGUROS'!A:A,'🛡️ SEGUROS'!C:C,"")</f>
        <v>0531 49 8045088</v>
      </c>
      <c r="G67" s="83">
        <v>45700</v>
      </c>
      <c r="H67" s="163">
        <f>3236.1/10</f>
        <v>323.61</v>
      </c>
      <c r="I67" s="84">
        <v>6</v>
      </c>
      <c r="J67" s="84">
        <v>10</v>
      </c>
      <c r="K67" s="77" t="s">
        <v>522</v>
      </c>
    </row>
    <row r="68" spans="1:11" ht="18" hidden="1" customHeight="1" x14ac:dyDescent="0.25">
      <c r="A68" s="85">
        <v>67</v>
      </c>
      <c r="B68" s="85">
        <v>1</v>
      </c>
      <c r="C68" s="86">
        <v>1</v>
      </c>
      <c r="D68" s="85">
        <v>42</v>
      </c>
      <c r="E68" s="85" t="str">
        <f>_xlfn.XLOOKUP(D68,'🚛 FROTA'!A:A,'🚛 FROTA'!B:B,"")</f>
        <v>BSX5H07</v>
      </c>
      <c r="F68" s="85" t="str">
        <f>_xlfn.XLOOKUP(B68,'🛡️ SEGUROS'!A:A,'🛡️ SEGUROS'!C:C,"")</f>
        <v>0531 49 7942680</v>
      </c>
      <c r="G68" s="87">
        <v>45703</v>
      </c>
      <c r="H68" s="162">
        <f>2345.42/2</f>
        <v>1172.71</v>
      </c>
      <c r="I68" s="85">
        <v>9</v>
      </c>
      <c r="J68" s="85">
        <v>10</v>
      </c>
      <c r="K68" s="77" t="s">
        <v>522</v>
      </c>
    </row>
    <row r="69" spans="1:11" ht="18" hidden="1" customHeight="1" x14ac:dyDescent="0.25">
      <c r="A69" s="84">
        <v>68</v>
      </c>
      <c r="B69" s="84">
        <v>1</v>
      </c>
      <c r="C69" s="82">
        <v>1</v>
      </c>
      <c r="D69" s="84">
        <v>43</v>
      </c>
      <c r="E69" s="84" t="str">
        <f>_xlfn.XLOOKUP(D69,'🚛 FROTA'!A:A,'🚛 FROTA'!B:B,"")</f>
        <v>CSU3F94</v>
      </c>
      <c r="F69" s="84" t="str">
        <f>_xlfn.XLOOKUP(B69,'🛡️ SEGUROS'!A:A,'🛡️ SEGUROS'!C:C,"")</f>
        <v>0531 49 7942680</v>
      </c>
      <c r="G69" s="83">
        <v>45703</v>
      </c>
      <c r="H69" s="163">
        <f>2345.42/2</f>
        <v>1172.71</v>
      </c>
      <c r="I69" s="84">
        <v>9</v>
      </c>
      <c r="J69" s="84">
        <v>10</v>
      </c>
      <c r="K69" s="77" t="s">
        <v>522</v>
      </c>
    </row>
    <row r="70" spans="1:11" ht="18" customHeight="1" x14ac:dyDescent="0.25">
      <c r="A70" s="85">
        <v>69</v>
      </c>
      <c r="B70" s="85">
        <v>6</v>
      </c>
      <c r="C70" s="86">
        <v>1</v>
      </c>
      <c r="D70" s="85">
        <v>20</v>
      </c>
      <c r="E70" s="85" t="str">
        <f>_xlfn.XLOOKUP(D70,'🚛 FROTA'!A:A,'🚛 FROTA'!B:B,"")</f>
        <v>MAX4116</v>
      </c>
      <c r="F70" s="85" t="str">
        <f>_xlfn.XLOOKUP(B70,'🛡️ SEGUROS'!A:A,'🛡️ SEGUROS'!C:C,"")</f>
        <v>171 49 24005792</v>
      </c>
      <c r="G70" s="87">
        <v>45703</v>
      </c>
      <c r="H70" s="162">
        <v>2531.41</v>
      </c>
      <c r="I70" s="85">
        <v>6</v>
      </c>
      <c r="J70" s="85">
        <v>6</v>
      </c>
      <c r="K70" s="77" t="s">
        <v>522</v>
      </c>
    </row>
    <row r="71" spans="1:11" ht="18" hidden="1" customHeight="1" x14ac:dyDescent="0.25">
      <c r="A71" s="84">
        <v>70</v>
      </c>
      <c r="B71" s="84">
        <v>4</v>
      </c>
      <c r="C71" s="82">
        <v>1</v>
      </c>
      <c r="D71" s="84">
        <v>24</v>
      </c>
      <c r="E71" s="84" t="str">
        <f>_xlfn.XLOOKUP(D71,'🚛 FROTA'!A:A,'🚛 FROTA'!B:B,"")</f>
        <v>DYG5G03</v>
      </c>
      <c r="F71" s="84" t="str">
        <f>_xlfn.XLOOKUP(B71,'🛡️ SEGUROS'!A:A,'🛡️ SEGUROS'!C:C,"")</f>
        <v>0531 49 8045088</v>
      </c>
      <c r="G71" s="83">
        <v>45726</v>
      </c>
      <c r="H71" s="163">
        <f>2910.47/10-0.01</f>
        <v>291.03699999999998</v>
      </c>
      <c r="I71" s="84">
        <v>6</v>
      </c>
      <c r="J71" s="84">
        <v>10</v>
      </c>
      <c r="K71" s="77" t="s">
        <v>522</v>
      </c>
    </row>
    <row r="72" spans="1:11" ht="18" hidden="1" customHeight="1" x14ac:dyDescent="0.25">
      <c r="A72" s="85">
        <v>71</v>
      </c>
      <c r="B72" s="85">
        <v>4</v>
      </c>
      <c r="C72" s="86">
        <v>1</v>
      </c>
      <c r="D72" s="85">
        <v>39</v>
      </c>
      <c r="E72" s="85" t="str">
        <f>_xlfn.XLOOKUP(D72,'🚛 FROTA'!A:A,'🚛 FROTA'!B:B,"")</f>
        <v>EJX0I24</v>
      </c>
      <c r="F72" s="85" t="str">
        <f>_xlfn.XLOOKUP(B72,'🛡️ SEGUROS'!A:A,'🛡️ SEGUROS'!C:C,"")</f>
        <v>0531 49 8045088</v>
      </c>
      <c r="G72" s="87">
        <v>45726</v>
      </c>
      <c r="H72" s="162">
        <f>2791.96/10-0.01</f>
        <v>279.18600000000004</v>
      </c>
      <c r="I72" s="85">
        <v>6</v>
      </c>
      <c r="J72" s="85">
        <v>10</v>
      </c>
      <c r="K72" s="77" t="s">
        <v>522</v>
      </c>
    </row>
    <row r="73" spans="1:11" ht="18" hidden="1" customHeight="1" x14ac:dyDescent="0.25">
      <c r="A73" s="84">
        <v>72</v>
      </c>
      <c r="B73" s="84">
        <v>4</v>
      </c>
      <c r="C73" s="82">
        <v>1</v>
      </c>
      <c r="D73" s="84">
        <v>47</v>
      </c>
      <c r="E73" s="84" t="str">
        <f>_xlfn.XLOOKUP(D73,'🚛 FROTA'!A:A,'🚛 FROTA'!B:B,"")</f>
        <v>CUG4B86</v>
      </c>
      <c r="F73" s="84" t="str">
        <f>_xlfn.XLOOKUP(B73,'🛡️ SEGUROS'!A:A,'🛡️ SEGUROS'!C:C,"")</f>
        <v>0531 49 8045088</v>
      </c>
      <c r="G73" s="83">
        <v>45726</v>
      </c>
      <c r="H73" s="163">
        <f>3041.09/10-0.01</f>
        <v>304.09900000000005</v>
      </c>
      <c r="I73" s="84">
        <v>6</v>
      </c>
      <c r="J73" s="84">
        <v>10</v>
      </c>
      <c r="K73" s="77" t="s">
        <v>522</v>
      </c>
    </row>
    <row r="74" spans="1:11" ht="18" hidden="1" customHeight="1" x14ac:dyDescent="0.25">
      <c r="A74" s="85">
        <v>73</v>
      </c>
      <c r="B74" s="85">
        <v>5</v>
      </c>
      <c r="C74" s="86">
        <v>1</v>
      </c>
      <c r="D74" s="85">
        <v>6</v>
      </c>
      <c r="E74" s="85" t="str">
        <f>_xlfn.XLOOKUP(D74,'🚛 FROTA'!A:A,'🚛 FROTA'!B:B,"")</f>
        <v>EVF8I83</v>
      </c>
      <c r="F74" s="85" t="str">
        <f>_xlfn.XLOOKUP(B74,'🛡️ SEGUROS'!A:A,'🛡️ SEGUROS'!C:C,"")</f>
        <v>0531 49 8045088</v>
      </c>
      <c r="G74" s="87">
        <v>45728</v>
      </c>
      <c r="H74" s="162">
        <f>3362.47/10+0.01</f>
        <v>336.25699999999995</v>
      </c>
      <c r="I74" s="85">
        <v>7</v>
      </c>
      <c r="J74" s="85">
        <v>10</v>
      </c>
      <c r="K74" s="77" t="s">
        <v>522</v>
      </c>
    </row>
    <row r="75" spans="1:11" ht="18" hidden="1" customHeight="1" x14ac:dyDescent="0.25">
      <c r="A75" s="84">
        <v>74</v>
      </c>
      <c r="B75" s="84">
        <v>5</v>
      </c>
      <c r="C75" s="82">
        <v>1</v>
      </c>
      <c r="D75" s="84">
        <v>34</v>
      </c>
      <c r="E75" s="84" t="str">
        <f>_xlfn.XLOOKUP(D75,'🚛 FROTA'!A:A,'🚛 FROTA'!B:B,"")</f>
        <v>EXW7D65</v>
      </c>
      <c r="F75" s="84" t="str">
        <f>_xlfn.XLOOKUP(B75,'🛡️ SEGUROS'!A:A,'🛡️ SEGUROS'!C:C,"")</f>
        <v>0531 49 8045088</v>
      </c>
      <c r="G75" s="83">
        <v>45728</v>
      </c>
      <c r="H75" s="163">
        <f>3236.1/10</f>
        <v>323.61</v>
      </c>
      <c r="I75" s="84">
        <v>7</v>
      </c>
      <c r="J75" s="84">
        <v>10</v>
      </c>
      <c r="K75" s="77" t="s">
        <v>522</v>
      </c>
    </row>
    <row r="76" spans="1:11" ht="18" hidden="1" customHeight="1" x14ac:dyDescent="0.25">
      <c r="A76" s="85">
        <v>75</v>
      </c>
      <c r="B76" s="85">
        <v>5</v>
      </c>
      <c r="C76" s="86">
        <v>1</v>
      </c>
      <c r="D76" s="85">
        <v>46</v>
      </c>
      <c r="E76" s="85" t="str">
        <f>_xlfn.XLOOKUP(D76,'🚛 FROTA'!A:A,'🚛 FROTA'!B:B,"")</f>
        <v>CCU5G26</v>
      </c>
      <c r="F76" s="85" t="str">
        <f>_xlfn.XLOOKUP(B76,'🛡️ SEGUROS'!A:A,'🛡️ SEGUROS'!C:C,"")</f>
        <v>0531 49 8045088</v>
      </c>
      <c r="G76" s="87">
        <v>45728</v>
      </c>
      <c r="H76" s="162">
        <f>3236.1/10</f>
        <v>323.61</v>
      </c>
      <c r="I76" s="85">
        <v>7</v>
      </c>
      <c r="J76" s="85">
        <v>10</v>
      </c>
      <c r="K76" s="77" t="s">
        <v>522</v>
      </c>
    </row>
    <row r="77" spans="1:11" ht="18" hidden="1" customHeight="1" x14ac:dyDescent="0.25">
      <c r="A77" s="84">
        <v>76</v>
      </c>
      <c r="B77" s="84">
        <v>1</v>
      </c>
      <c r="C77" s="82">
        <v>1</v>
      </c>
      <c r="D77" s="84">
        <v>42</v>
      </c>
      <c r="E77" s="84" t="str">
        <f>_xlfn.XLOOKUP(D77,'🚛 FROTA'!A:A,'🚛 FROTA'!B:B,"")</f>
        <v>BSX5H07</v>
      </c>
      <c r="F77" s="84" t="str">
        <f>_xlfn.XLOOKUP(B77,'🛡️ SEGUROS'!A:A,'🛡️ SEGUROS'!C:C,"")</f>
        <v>0531 49 7942680</v>
      </c>
      <c r="G77" s="83">
        <v>45731</v>
      </c>
      <c r="H77" s="163">
        <f>2345.42/2+0.1</f>
        <v>1172.81</v>
      </c>
      <c r="I77" s="84">
        <v>10</v>
      </c>
      <c r="J77" s="84">
        <v>10</v>
      </c>
      <c r="K77" s="77" t="s">
        <v>522</v>
      </c>
    </row>
    <row r="78" spans="1:11" ht="18" hidden="1" customHeight="1" x14ac:dyDescent="0.25">
      <c r="A78" s="85">
        <v>77</v>
      </c>
      <c r="B78" s="85">
        <v>1</v>
      </c>
      <c r="C78" s="86">
        <v>1</v>
      </c>
      <c r="D78" s="85">
        <v>43</v>
      </c>
      <c r="E78" s="85" t="str">
        <f>_xlfn.XLOOKUP(D78,'🚛 FROTA'!A:A,'🚛 FROTA'!B:B,"")</f>
        <v>CSU3F94</v>
      </c>
      <c r="F78" s="85" t="str">
        <f>_xlfn.XLOOKUP(B78,'🛡️ SEGUROS'!A:A,'🛡️ SEGUROS'!C:C,"")</f>
        <v>0531 49 7942680</v>
      </c>
      <c r="G78" s="87">
        <v>45731</v>
      </c>
      <c r="H78" s="162">
        <f>2345.42/2+0.1</f>
        <v>1172.81</v>
      </c>
      <c r="I78" s="85">
        <v>10</v>
      </c>
      <c r="J78" s="85">
        <v>10</v>
      </c>
      <c r="K78" s="77" t="s">
        <v>522</v>
      </c>
    </row>
    <row r="79" spans="1:11" ht="18" hidden="1" customHeight="1" x14ac:dyDescent="0.25">
      <c r="A79" s="84">
        <v>78</v>
      </c>
      <c r="B79" s="84">
        <v>4</v>
      </c>
      <c r="C79" s="82">
        <v>1</v>
      </c>
      <c r="D79" s="84">
        <v>24</v>
      </c>
      <c r="E79" s="84" t="str">
        <f>_xlfn.XLOOKUP(D79,'🚛 FROTA'!A:A,'🚛 FROTA'!B:B,"")</f>
        <v>DYG5G03</v>
      </c>
      <c r="F79" s="84" t="str">
        <f>_xlfn.XLOOKUP(B79,'🛡️ SEGUROS'!A:A,'🛡️ SEGUROS'!C:C,"")</f>
        <v>0531 49 8045088</v>
      </c>
      <c r="G79" s="83">
        <v>45757</v>
      </c>
      <c r="H79" s="163">
        <f>2910.47/10-0.01</f>
        <v>291.03699999999998</v>
      </c>
      <c r="I79" s="84">
        <v>7</v>
      </c>
      <c r="J79" s="84">
        <v>10</v>
      </c>
      <c r="K79" s="77" t="s">
        <v>522</v>
      </c>
    </row>
    <row r="80" spans="1:11" ht="18" hidden="1" customHeight="1" x14ac:dyDescent="0.25">
      <c r="A80" s="85">
        <v>79</v>
      </c>
      <c r="B80" s="85">
        <v>4</v>
      </c>
      <c r="C80" s="86">
        <v>1</v>
      </c>
      <c r="D80" s="85">
        <v>39</v>
      </c>
      <c r="E80" s="85" t="str">
        <f>_xlfn.XLOOKUP(D80,'🚛 FROTA'!A:A,'🚛 FROTA'!B:B,"")</f>
        <v>EJX0I24</v>
      </c>
      <c r="F80" s="85" t="str">
        <f>_xlfn.XLOOKUP(B80,'🛡️ SEGUROS'!A:A,'🛡️ SEGUROS'!C:C,"")</f>
        <v>0531 49 8045088</v>
      </c>
      <c r="G80" s="87">
        <v>45757</v>
      </c>
      <c r="H80" s="162">
        <f>2791.96/10-0.01</f>
        <v>279.18600000000004</v>
      </c>
      <c r="I80" s="85">
        <v>7</v>
      </c>
      <c r="J80" s="85">
        <v>10</v>
      </c>
      <c r="K80" s="77" t="s">
        <v>522</v>
      </c>
    </row>
    <row r="81" spans="1:11" ht="18" hidden="1" customHeight="1" x14ac:dyDescent="0.25">
      <c r="A81" s="84">
        <v>80</v>
      </c>
      <c r="B81" s="84">
        <v>4</v>
      </c>
      <c r="C81" s="82">
        <v>1</v>
      </c>
      <c r="D81" s="84">
        <v>47</v>
      </c>
      <c r="E81" s="84" t="str">
        <f>_xlfn.XLOOKUP(D81,'🚛 FROTA'!A:A,'🚛 FROTA'!B:B,"")</f>
        <v>CUG4B86</v>
      </c>
      <c r="F81" s="84" t="str">
        <f>_xlfn.XLOOKUP(B81,'🛡️ SEGUROS'!A:A,'🛡️ SEGUROS'!C:C,"")</f>
        <v>0531 49 8045088</v>
      </c>
      <c r="G81" s="83">
        <v>45757</v>
      </c>
      <c r="H81" s="163">
        <f>3041.09/10-0.01</f>
        <v>304.09900000000005</v>
      </c>
      <c r="I81" s="84">
        <v>7</v>
      </c>
      <c r="J81" s="84">
        <v>10</v>
      </c>
      <c r="K81" s="77" t="s">
        <v>522</v>
      </c>
    </row>
    <row r="82" spans="1:11" ht="18" hidden="1" customHeight="1" x14ac:dyDescent="0.25">
      <c r="A82" s="85">
        <v>81</v>
      </c>
      <c r="B82" s="85">
        <v>5</v>
      </c>
      <c r="C82" s="86">
        <v>1</v>
      </c>
      <c r="D82" s="85">
        <v>6</v>
      </c>
      <c r="E82" s="85" t="str">
        <f>_xlfn.XLOOKUP(D82,'🚛 FROTA'!A:A,'🚛 FROTA'!B:B,"")</f>
        <v>EVF8I83</v>
      </c>
      <c r="F82" s="85" t="str">
        <f>_xlfn.XLOOKUP(B82,'🛡️ SEGUROS'!A:A,'🛡️ SEGUROS'!C:C,"")</f>
        <v>0531 49 8045088</v>
      </c>
      <c r="G82" s="87">
        <v>45759</v>
      </c>
      <c r="H82" s="162">
        <f>3362.47/10+0.01</f>
        <v>336.25699999999995</v>
      </c>
      <c r="I82" s="85">
        <v>8</v>
      </c>
      <c r="J82" s="85">
        <v>10</v>
      </c>
      <c r="K82" s="77" t="s">
        <v>522</v>
      </c>
    </row>
    <row r="83" spans="1:11" ht="18" hidden="1" customHeight="1" x14ac:dyDescent="0.25">
      <c r="A83" s="84">
        <v>82</v>
      </c>
      <c r="B83" s="84">
        <v>5</v>
      </c>
      <c r="C83" s="82">
        <v>1</v>
      </c>
      <c r="D83" s="84">
        <v>34</v>
      </c>
      <c r="E83" s="84" t="str">
        <f>_xlfn.XLOOKUP(D83,'🚛 FROTA'!A:A,'🚛 FROTA'!B:B,"")</f>
        <v>EXW7D65</v>
      </c>
      <c r="F83" s="84" t="str">
        <f>_xlfn.XLOOKUP(B83,'🛡️ SEGUROS'!A:A,'🛡️ SEGUROS'!C:C,"")</f>
        <v>0531 49 8045088</v>
      </c>
      <c r="G83" s="83">
        <v>45759</v>
      </c>
      <c r="H83" s="163">
        <f>3236.1/10</f>
        <v>323.61</v>
      </c>
      <c r="I83" s="84">
        <v>8</v>
      </c>
      <c r="J83" s="84">
        <v>10</v>
      </c>
      <c r="K83" s="77" t="s">
        <v>522</v>
      </c>
    </row>
    <row r="84" spans="1:11" ht="18" hidden="1" customHeight="1" x14ac:dyDescent="0.25">
      <c r="A84" s="85">
        <v>83</v>
      </c>
      <c r="B84" s="85">
        <v>5</v>
      </c>
      <c r="C84" s="86">
        <v>1</v>
      </c>
      <c r="D84" s="85">
        <v>46</v>
      </c>
      <c r="E84" s="85" t="str">
        <f>_xlfn.XLOOKUP(D84,'🚛 FROTA'!A:A,'🚛 FROTA'!B:B,"")</f>
        <v>CCU5G26</v>
      </c>
      <c r="F84" s="85" t="str">
        <f>_xlfn.XLOOKUP(B84,'🛡️ SEGUROS'!A:A,'🛡️ SEGUROS'!C:C,"")</f>
        <v>0531 49 8045088</v>
      </c>
      <c r="G84" s="87">
        <v>45759</v>
      </c>
      <c r="H84" s="162">
        <f>3236.1/10</f>
        <v>323.61</v>
      </c>
      <c r="I84" s="85">
        <v>8</v>
      </c>
      <c r="J84" s="85">
        <v>10</v>
      </c>
      <c r="K84" s="77" t="s">
        <v>522</v>
      </c>
    </row>
    <row r="85" spans="1:11" ht="18" hidden="1" customHeight="1" x14ac:dyDescent="0.25">
      <c r="A85" s="84">
        <v>84</v>
      </c>
      <c r="B85" s="84">
        <v>4</v>
      </c>
      <c r="C85" s="82">
        <v>1</v>
      </c>
      <c r="D85" s="84">
        <v>24</v>
      </c>
      <c r="E85" s="84" t="str">
        <f>_xlfn.XLOOKUP(D85,'🚛 FROTA'!A:A,'🚛 FROTA'!B:B,"")</f>
        <v>DYG5G03</v>
      </c>
      <c r="F85" s="84" t="str">
        <f>_xlfn.XLOOKUP(B85,'🛡️ SEGUROS'!A:A,'🛡️ SEGUROS'!C:C,"")</f>
        <v>0531 49 8045088</v>
      </c>
      <c r="G85" s="83">
        <v>45787</v>
      </c>
      <c r="H85" s="163">
        <f>2910.47/10-0.01</f>
        <v>291.03699999999998</v>
      </c>
      <c r="I85" s="84">
        <v>8</v>
      </c>
      <c r="J85" s="84">
        <v>10</v>
      </c>
      <c r="K85" s="77" t="s">
        <v>522</v>
      </c>
    </row>
    <row r="86" spans="1:11" ht="18" hidden="1" customHeight="1" x14ac:dyDescent="0.25">
      <c r="A86" s="85">
        <v>85</v>
      </c>
      <c r="B86" s="85">
        <v>4</v>
      </c>
      <c r="C86" s="86">
        <v>1</v>
      </c>
      <c r="D86" s="85">
        <v>39</v>
      </c>
      <c r="E86" s="85" t="str">
        <f>_xlfn.XLOOKUP(D86,'🚛 FROTA'!A:A,'🚛 FROTA'!B:B,"")</f>
        <v>EJX0I24</v>
      </c>
      <c r="F86" s="85" t="str">
        <f>_xlfn.XLOOKUP(B86,'🛡️ SEGUROS'!A:A,'🛡️ SEGUROS'!C:C,"")</f>
        <v>0531 49 8045088</v>
      </c>
      <c r="G86" s="87">
        <v>45787</v>
      </c>
      <c r="H86" s="162">
        <f>2791.96/10-0.01</f>
        <v>279.18600000000004</v>
      </c>
      <c r="I86" s="85">
        <v>8</v>
      </c>
      <c r="J86" s="85">
        <v>10</v>
      </c>
      <c r="K86" s="77" t="s">
        <v>522</v>
      </c>
    </row>
    <row r="87" spans="1:11" ht="18" hidden="1" customHeight="1" x14ac:dyDescent="0.25">
      <c r="A87" s="84">
        <v>86</v>
      </c>
      <c r="B87" s="84">
        <v>4</v>
      </c>
      <c r="C87" s="82">
        <v>1</v>
      </c>
      <c r="D87" s="84">
        <v>47</v>
      </c>
      <c r="E87" s="84" t="str">
        <f>_xlfn.XLOOKUP(D87,'🚛 FROTA'!A:A,'🚛 FROTA'!B:B,"")</f>
        <v>CUG4B86</v>
      </c>
      <c r="F87" s="84" t="str">
        <f>_xlfn.XLOOKUP(B87,'🛡️ SEGUROS'!A:A,'🛡️ SEGUROS'!C:C,"")</f>
        <v>0531 49 8045088</v>
      </c>
      <c r="G87" s="83">
        <v>45787</v>
      </c>
      <c r="H87" s="163">
        <f>3041.09/10-0.01</f>
        <v>304.09900000000005</v>
      </c>
      <c r="I87" s="84">
        <v>8</v>
      </c>
      <c r="J87" s="84">
        <v>10</v>
      </c>
      <c r="K87" s="77" t="s">
        <v>522</v>
      </c>
    </row>
    <row r="88" spans="1:11" ht="18" hidden="1" customHeight="1" x14ac:dyDescent="0.25">
      <c r="A88" s="85">
        <v>87</v>
      </c>
      <c r="B88" s="85">
        <v>5</v>
      </c>
      <c r="C88" s="86">
        <v>1</v>
      </c>
      <c r="D88" s="85">
        <v>6</v>
      </c>
      <c r="E88" s="85" t="str">
        <f>_xlfn.XLOOKUP(D88,'🚛 FROTA'!A:A,'🚛 FROTA'!B:B,"")</f>
        <v>EVF8I83</v>
      </c>
      <c r="F88" s="85" t="str">
        <f>_xlfn.XLOOKUP(B88,'🛡️ SEGUROS'!A:A,'🛡️ SEGUROS'!C:C,"")</f>
        <v>0531 49 8045088</v>
      </c>
      <c r="G88" s="87">
        <v>45789</v>
      </c>
      <c r="H88" s="162">
        <f>3362.47/10+0.01</f>
        <v>336.25699999999995</v>
      </c>
      <c r="I88" s="85">
        <v>9</v>
      </c>
      <c r="J88" s="85">
        <v>10</v>
      </c>
      <c r="K88" s="77" t="s">
        <v>522</v>
      </c>
    </row>
    <row r="89" spans="1:11" ht="18" hidden="1" customHeight="1" x14ac:dyDescent="0.25">
      <c r="A89" s="84">
        <v>88</v>
      </c>
      <c r="B89" s="84">
        <v>5</v>
      </c>
      <c r="C89" s="82">
        <v>1</v>
      </c>
      <c r="D89" s="84">
        <v>34</v>
      </c>
      <c r="E89" s="84" t="str">
        <f>_xlfn.XLOOKUP(D89,'🚛 FROTA'!A:A,'🚛 FROTA'!B:B,"")</f>
        <v>EXW7D65</v>
      </c>
      <c r="F89" s="84" t="str">
        <f>_xlfn.XLOOKUP(B89,'🛡️ SEGUROS'!A:A,'🛡️ SEGUROS'!C:C,"")</f>
        <v>0531 49 8045088</v>
      </c>
      <c r="G89" s="83">
        <v>45789</v>
      </c>
      <c r="H89" s="163">
        <f>3236.1/10</f>
        <v>323.61</v>
      </c>
      <c r="I89" s="84">
        <v>9</v>
      </c>
      <c r="J89" s="84">
        <v>10</v>
      </c>
      <c r="K89" s="77" t="s">
        <v>522</v>
      </c>
    </row>
    <row r="90" spans="1:11" ht="18" hidden="1" customHeight="1" x14ac:dyDescent="0.25">
      <c r="A90" s="85">
        <v>89</v>
      </c>
      <c r="B90" s="85">
        <v>5</v>
      </c>
      <c r="C90" s="86">
        <v>1</v>
      </c>
      <c r="D90" s="85">
        <v>46</v>
      </c>
      <c r="E90" s="85" t="str">
        <f>_xlfn.XLOOKUP(D90,'🚛 FROTA'!A:A,'🚛 FROTA'!B:B,"")</f>
        <v>CCU5G26</v>
      </c>
      <c r="F90" s="85" t="str">
        <f>_xlfn.XLOOKUP(B90,'🛡️ SEGUROS'!A:A,'🛡️ SEGUROS'!C:C,"")</f>
        <v>0531 49 8045088</v>
      </c>
      <c r="G90" s="87">
        <v>45789</v>
      </c>
      <c r="H90" s="162">
        <f>3236.1/10</f>
        <v>323.61</v>
      </c>
      <c r="I90" s="85">
        <v>9</v>
      </c>
      <c r="J90" s="85">
        <v>10</v>
      </c>
      <c r="K90" s="77" t="s">
        <v>522</v>
      </c>
    </row>
    <row r="91" spans="1:11" ht="18" customHeight="1" x14ac:dyDescent="0.25">
      <c r="A91" s="84">
        <v>90</v>
      </c>
      <c r="B91" s="82">
        <v>8</v>
      </c>
      <c r="C91" s="82">
        <v>1</v>
      </c>
      <c r="D91" s="82">
        <v>42</v>
      </c>
      <c r="E91" s="84" t="str">
        <f>_xlfn.XLOOKUP(D91,'🚛 FROTA'!A:A,'🚛 FROTA'!B:B,"")</f>
        <v>BSX5H07</v>
      </c>
      <c r="F91" s="84" t="str">
        <f>_xlfn.XLOOKUP(B91,'🛡️ SEGUROS'!A:A,'🛡️ SEGUROS'!C:C,"")</f>
        <v>0531 49 8359988</v>
      </c>
      <c r="G91" s="83">
        <v>45814</v>
      </c>
      <c r="H91" s="163">
        <f>873.76/2</f>
        <v>436.88</v>
      </c>
      <c r="I91" s="82">
        <v>1</v>
      </c>
      <c r="J91" s="82">
        <v>10</v>
      </c>
      <c r="K91" s="77" t="s">
        <v>522</v>
      </c>
    </row>
    <row r="92" spans="1:11" ht="18" customHeight="1" x14ac:dyDescent="0.25">
      <c r="A92" s="85">
        <v>91</v>
      </c>
      <c r="B92" s="59">
        <v>8</v>
      </c>
      <c r="C92" s="59">
        <v>1</v>
      </c>
      <c r="D92" s="59">
        <v>43</v>
      </c>
      <c r="E92" s="85" t="str">
        <f>_xlfn.XLOOKUP(D92,'🚛 FROTA'!A:A,'🚛 FROTA'!B:B,"")</f>
        <v>CSU3F94</v>
      </c>
      <c r="F92" s="85" t="str">
        <f>_xlfn.XLOOKUP(B92,'🛡️ SEGUROS'!A:A,'🛡️ SEGUROS'!C:C,"")</f>
        <v>0531 49 8359988</v>
      </c>
      <c r="G92" s="60">
        <v>45814</v>
      </c>
      <c r="H92" s="156">
        <f>873.76/2</f>
        <v>436.88</v>
      </c>
      <c r="I92" s="59">
        <v>1</v>
      </c>
      <c r="J92" s="59">
        <v>10</v>
      </c>
      <c r="K92" s="77" t="s">
        <v>522</v>
      </c>
    </row>
    <row r="93" spans="1:11" ht="18" hidden="1" customHeight="1" x14ac:dyDescent="0.25">
      <c r="A93" s="84">
        <v>92</v>
      </c>
      <c r="B93" s="84">
        <v>4</v>
      </c>
      <c r="C93" s="82">
        <v>1</v>
      </c>
      <c r="D93" s="84">
        <v>24</v>
      </c>
      <c r="E93" s="84" t="str">
        <f>_xlfn.XLOOKUP(D93,'🚛 FROTA'!A:A,'🚛 FROTA'!B:B,"")</f>
        <v>DYG5G03</v>
      </c>
      <c r="F93" s="84" t="str">
        <f>_xlfn.XLOOKUP(B93,'🛡️ SEGUROS'!A:A,'🛡️ SEGUROS'!C:C,"")</f>
        <v>0531 49 8045088</v>
      </c>
      <c r="G93" s="83">
        <v>45818</v>
      </c>
      <c r="H93" s="163">
        <f>2910.47/10-0.01</f>
        <v>291.03699999999998</v>
      </c>
      <c r="I93" s="84">
        <v>9</v>
      </c>
      <c r="J93" s="84">
        <v>10</v>
      </c>
      <c r="K93" s="77" t="s">
        <v>522</v>
      </c>
    </row>
    <row r="94" spans="1:11" ht="18" hidden="1" customHeight="1" x14ac:dyDescent="0.25">
      <c r="A94" s="85">
        <v>93</v>
      </c>
      <c r="B94" s="85">
        <v>4</v>
      </c>
      <c r="C94" s="86">
        <v>1</v>
      </c>
      <c r="D94" s="85">
        <v>39</v>
      </c>
      <c r="E94" s="85" t="str">
        <f>_xlfn.XLOOKUP(D94,'🚛 FROTA'!A:A,'🚛 FROTA'!B:B,"")</f>
        <v>EJX0I24</v>
      </c>
      <c r="F94" s="85" t="str">
        <f>_xlfn.XLOOKUP(B94,'🛡️ SEGUROS'!A:A,'🛡️ SEGUROS'!C:C,"")</f>
        <v>0531 49 8045088</v>
      </c>
      <c r="G94" s="87">
        <v>45818</v>
      </c>
      <c r="H94" s="162">
        <f>2791.96/10-0.01</f>
        <v>279.18600000000004</v>
      </c>
      <c r="I94" s="85">
        <v>9</v>
      </c>
      <c r="J94" s="85">
        <v>10</v>
      </c>
      <c r="K94" s="77" t="s">
        <v>522</v>
      </c>
    </row>
    <row r="95" spans="1:11" ht="18" hidden="1" customHeight="1" x14ac:dyDescent="0.25">
      <c r="A95" s="84">
        <v>94</v>
      </c>
      <c r="B95" s="84">
        <v>4</v>
      </c>
      <c r="C95" s="82">
        <v>1</v>
      </c>
      <c r="D95" s="84">
        <v>47</v>
      </c>
      <c r="E95" s="84" t="str">
        <f>_xlfn.XLOOKUP(D95,'🚛 FROTA'!A:A,'🚛 FROTA'!B:B,"")</f>
        <v>CUG4B86</v>
      </c>
      <c r="F95" s="84" t="str">
        <f>_xlfn.XLOOKUP(B95,'🛡️ SEGUROS'!A:A,'🛡️ SEGUROS'!C:C,"")</f>
        <v>0531 49 8045088</v>
      </c>
      <c r="G95" s="83">
        <v>45818</v>
      </c>
      <c r="H95" s="163">
        <f>3041.09/10-0.01</f>
        <v>304.09900000000005</v>
      </c>
      <c r="I95" s="84">
        <v>9</v>
      </c>
      <c r="J95" s="84">
        <v>10</v>
      </c>
      <c r="K95" s="77" t="s">
        <v>522</v>
      </c>
    </row>
    <row r="96" spans="1:11" ht="18" hidden="1" customHeight="1" x14ac:dyDescent="0.25">
      <c r="A96" s="85">
        <v>95</v>
      </c>
      <c r="B96" s="85">
        <v>5</v>
      </c>
      <c r="C96" s="86">
        <v>1</v>
      </c>
      <c r="D96" s="85">
        <v>6</v>
      </c>
      <c r="E96" s="85" t="str">
        <f>_xlfn.XLOOKUP(D96,'🚛 FROTA'!A:A,'🚛 FROTA'!B:B,"")</f>
        <v>EVF8I83</v>
      </c>
      <c r="F96" s="85" t="str">
        <f>_xlfn.XLOOKUP(B96,'🛡️ SEGUROS'!A:A,'🛡️ SEGUROS'!C:C,"")</f>
        <v>0531 49 8045088</v>
      </c>
      <c r="G96" s="87">
        <v>45820</v>
      </c>
      <c r="H96" s="162">
        <f>3362.47/10-6.32</f>
        <v>329.92699999999996</v>
      </c>
      <c r="I96" s="85">
        <v>10</v>
      </c>
      <c r="J96" s="85">
        <v>10</v>
      </c>
      <c r="K96" s="77" t="s">
        <v>522</v>
      </c>
    </row>
    <row r="97" spans="1:11" ht="18" hidden="1" customHeight="1" x14ac:dyDescent="0.25">
      <c r="A97" s="84">
        <v>96</v>
      </c>
      <c r="B97" s="84">
        <v>5</v>
      </c>
      <c r="C97" s="82">
        <v>1</v>
      </c>
      <c r="D97" s="84">
        <v>34</v>
      </c>
      <c r="E97" s="84" t="str">
        <f>_xlfn.XLOOKUP(D97,'🚛 FROTA'!A:A,'🚛 FROTA'!B:B,"")</f>
        <v>EXW7D65</v>
      </c>
      <c r="F97" s="84" t="str">
        <f>_xlfn.XLOOKUP(B97,'🛡️ SEGUROS'!A:A,'🛡️ SEGUROS'!C:C,"")</f>
        <v>0531 49 8045088</v>
      </c>
      <c r="G97" s="83">
        <v>45820</v>
      </c>
      <c r="H97" s="163">
        <f>3236.1/10-6.32</f>
        <v>317.29000000000002</v>
      </c>
      <c r="I97" s="84">
        <v>10</v>
      </c>
      <c r="J97" s="84">
        <v>10</v>
      </c>
      <c r="K97" s="77" t="s">
        <v>522</v>
      </c>
    </row>
    <row r="98" spans="1:11" ht="18" hidden="1" customHeight="1" x14ac:dyDescent="0.25">
      <c r="A98" s="85">
        <v>97</v>
      </c>
      <c r="B98" s="85">
        <v>5</v>
      </c>
      <c r="C98" s="86">
        <v>1</v>
      </c>
      <c r="D98" s="85">
        <v>46</v>
      </c>
      <c r="E98" s="85" t="str">
        <f>_xlfn.XLOOKUP(D98,'🚛 FROTA'!A:A,'🚛 FROTA'!B:B,"")</f>
        <v>CCU5G26</v>
      </c>
      <c r="F98" s="85" t="str">
        <f>_xlfn.XLOOKUP(B98,'🛡️ SEGUROS'!A:A,'🛡️ SEGUROS'!C:C,"")</f>
        <v>0531 49 8045088</v>
      </c>
      <c r="G98" s="87">
        <v>45820</v>
      </c>
      <c r="H98" s="162">
        <f>3236.1/10-6.32</f>
        <v>317.29000000000002</v>
      </c>
      <c r="I98" s="85">
        <v>10</v>
      </c>
      <c r="J98" s="85">
        <v>10</v>
      </c>
      <c r="K98" s="77" t="s">
        <v>522</v>
      </c>
    </row>
    <row r="99" spans="1:11" ht="18" customHeight="1" x14ac:dyDescent="0.25">
      <c r="A99" s="84">
        <v>98</v>
      </c>
      <c r="B99" s="62">
        <v>9</v>
      </c>
      <c r="C99" s="62">
        <v>1</v>
      </c>
      <c r="D99" s="62">
        <v>17</v>
      </c>
      <c r="E99" s="84" t="str">
        <f>_xlfn.XLOOKUP(D99,'🚛 FROTA'!A:A,'🚛 FROTA'!B:B,"")</f>
        <v>BQV5264</v>
      </c>
      <c r="F99" s="84" t="str">
        <f>_xlfn.XLOOKUP(B99,'🛡️ SEGUROS'!A:A,'🛡️ SEGUROS'!C:C,"")</f>
        <v>171 49 24007849</v>
      </c>
      <c r="G99" s="63">
        <v>46192</v>
      </c>
      <c r="H99" s="157">
        <f>7136.94/6</f>
        <v>1189.49</v>
      </c>
      <c r="I99" s="62">
        <v>1</v>
      </c>
      <c r="J99" s="62">
        <v>6</v>
      </c>
      <c r="K99" s="77" t="s">
        <v>522</v>
      </c>
    </row>
    <row r="100" spans="1:11" ht="18" hidden="1" customHeight="1" x14ac:dyDescent="0.25">
      <c r="A100" s="85">
        <v>99</v>
      </c>
      <c r="B100" s="85">
        <v>4</v>
      </c>
      <c r="C100" s="86">
        <v>1</v>
      </c>
      <c r="D100" s="85">
        <v>24</v>
      </c>
      <c r="E100" s="85" t="str">
        <f>_xlfn.XLOOKUP(D100,'🚛 FROTA'!A:A,'🚛 FROTA'!B:B,"")</f>
        <v>DYG5G03</v>
      </c>
      <c r="F100" s="85" t="str">
        <f>_xlfn.XLOOKUP(B100,'🛡️ SEGUROS'!A:A,'🛡️ SEGUROS'!C:C,"")</f>
        <v>0531 49 8045088</v>
      </c>
      <c r="G100" s="87">
        <v>45848</v>
      </c>
      <c r="H100" s="162">
        <f>2910.47/10+0.1</f>
        <v>291.14699999999999</v>
      </c>
      <c r="I100" s="85">
        <v>10</v>
      </c>
      <c r="J100" s="85">
        <v>10</v>
      </c>
      <c r="K100" s="77" t="s">
        <v>522</v>
      </c>
    </row>
    <row r="101" spans="1:11" ht="18" hidden="1" customHeight="1" x14ac:dyDescent="0.25">
      <c r="A101" s="84">
        <v>100</v>
      </c>
      <c r="B101" s="84">
        <v>4</v>
      </c>
      <c r="C101" s="82">
        <v>1</v>
      </c>
      <c r="D101" s="84">
        <v>39</v>
      </c>
      <c r="E101" s="84" t="str">
        <f>_xlfn.XLOOKUP(D101,'🚛 FROTA'!A:A,'🚛 FROTA'!B:B,"")</f>
        <v>EJX0I24</v>
      </c>
      <c r="F101" s="84" t="str">
        <f>_xlfn.XLOOKUP(B101,'🛡️ SEGUROS'!A:A,'🛡️ SEGUROS'!C:C,"")</f>
        <v>0531 49 8045088</v>
      </c>
      <c r="G101" s="83">
        <v>45848</v>
      </c>
      <c r="H101" s="163">
        <f>2791.96/10+0.09</f>
        <v>279.286</v>
      </c>
      <c r="I101" s="84">
        <v>10</v>
      </c>
      <c r="J101" s="84">
        <v>10</v>
      </c>
      <c r="K101" s="77" t="s">
        <v>522</v>
      </c>
    </row>
    <row r="102" spans="1:11" ht="18" hidden="1" customHeight="1" x14ac:dyDescent="0.25">
      <c r="A102" s="85">
        <v>101</v>
      </c>
      <c r="B102" s="85">
        <v>4</v>
      </c>
      <c r="C102" s="86">
        <v>1</v>
      </c>
      <c r="D102" s="85">
        <v>47</v>
      </c>
      <c r="E102" s="85" t="str">
        <f>_xlfn.XLOOKUP(D102,'🚛 FROTA'!A:A,'🚛 FROTA'!B:B,"")</f>
        <v>CUG4B86</v>
      </c>
      <c r="F102" s="85" t="str">
        <f>_xlfn.XLOOKUP(B102,'🛡️ SEGUROS'!A:A,'🛡️ SEGUROS'!C:C,"")</f>
        <v>0531 49 8045088</v>
      </c>
      <c r="G102" s="87">
        <v>45848</v>
      </c>
      <c r="H102" s="162">
        <f>3041.09/10+0.09</f>
        <v>304.19900000000001</v>
      </c>
      <c r="I102" s="85">
        <v>10</v>
      </c>
      <c r="J102" s="85">
        <v>10</v>
      </c>
      <c r="K102" s="77" t="s">
        <v>522</v>
      </c>
    </row>
    <row r="103" spans="1:11" ht="18" customHeight="1" x14ac:dyDescent="0.25">
      <c r="A103" s="84">
        <v>102</v>
      </c>
      <c r="B103" s="62">
        <v>9</v>
      </c>
      <c r="C103" s="62">
        <v>1</v>
      </c>
      <c r="D103" s="62">
        <v>17</v>
      </c>
      <c r="E103" s="84" t="str">
        <f>_xlfn.XLOOKUP(D103,'🚛 FROTA'!A:A,'🚛 FROTA'!B:B,"")</f>
        <v>BQV5264</v>
      </c>
      <c r="F103" s="84" t="str">
        <f>_xlfn.XLOOKUP(B103,'🛡️ SEGUROS'!A:A,'🛡️ SEGUROS'!C:C,"")</f>
        <v>171 49 24007849</v>
      </c>
      <c r="G103" s="63">
        <v>45857</v>
      </c>
      <c r="H103" s="157">
        <f>7136.94/6</f>
        <v>1189.49</v>
      </c>
      <c r="I103" s="62">
        <v>2</v>
      </c>
      <c r="J103" s="62">
        <v>6</v>
      </c>
      <c r="K103" s="77" t="s">
        <v>522</v>
      </c>
    </row>
    <row r="104" spans="1:11" ht="18" customHeight="1" x14ac:dyDescent="0.25">
      <c r="A104" s="85">
        <v>103</v>
      </c>
      <c r="B104" s="59">
        <v>8</v>
      </c>
      <c r="C104" s="59">
        <v>1</v>
      </c>
      <c r="D104" s="59">
        <v>42</v>
      </c>
      <c r="E104" s="85" t="str">
        <f>_xlfn.XLOOKUP(D104,'🚛 FROTA'!A:A,'🚛 FROTA'!B:B,"")</f>
        <v>BSX5H07</v>
      </c>
      <c r="F104" s="85" t="str">
        <f>_xlfn.XLOOKUP(B104,'🛡️ SEGUROS'!A:A,'🛡️ SEGUROS'!C:C,"")</f>
        <v>0531 49 8359988</v>
      </c>
      <c r="G104" s="60">
        <v>45858</v>
      </c>
      <c r="H104" s="156">
        <f>873.76/2</f>
        <v>436.88</v>
      </c>
      <c r="I104" s="59">
        <v>2</v>
      </c>
      <c r="J104" s="59">
        <v>10</v>
      </c>
      <c r="K104" s="77" t="s">
        <v>522</v>
      </c>
    </row>
    <row r="105" spans="1:11" ht="18" customHeight="1" x14ac:dyDescent="0.25">
      <c r="A105" s="84">
        <v>104</v>
      </c>
      <c r="B105" s="62">
        <v>8</v>
      </c>
      <c r="C105" s="62">
        <v>1</v>
      </c>
      <c r="D105" s="62">
        <v>43</v>
      </c>
      <c r="E105" s="84" t="str">
        <f>_xlfn.XLOOKUP(D105,'🚛 FROTA'!A:A,'🚛 FROTA'!B:B,"")</f>
        <v>CSU3F94</v>
      </c>
      <c r="F105" s="84" t="str">
        <f>_xlfn.XLOOKUP(B105,'🛡️ SEGUROS'!A:A,'🛡️ SEGUROS'!C:C,"")</f>
        <v>0531 49 8359988</v>
      </c>
      <c r="G105" s="63">
        <v>45858</v>
      </c>
      <c r="H105" s="157">
        <f>873.76/2</f>
        <v>436.88</v>
      </c>
      <c r="I105" s="62">
        <v>2</v>
      </c>
      <c r="J105" s="62">
        <v>10</v>
      </c>
      <c r="K105" s="77" t="s">
        <v>522</v>
      </c>
    </row>
    <row r="106" spans="1:11" ht="18" customHeight="1" x14ac:dyDescent="0.25">
      <c r="A106" s="85">
        <v>105</v>
      </c>
      <c r="B106" s="59">
        <v>9</v>
      </c>
      <c r="C106" s="59">
        <v>1</v>
      </c>
      <c r="D106" s="59">
        <v>17</v>
      </c>
      <c r="E106" s="85" t="str">
        <f>_xlfn.XLOOKUP(D106,'🚛 FROTA'!A:A,'🚛 FROTA'!B:B,"")</f>
        <v>BQV5264</v>
      </c>
      <c r="F106" s="85" t="str">
        <f>_xlfn.XLOOKUP(B106,'🛡️ SEGUROS'!A:A,'🛡️ SEGUROS'!C:C,"")</f>
        <v>171 49 24007849</v>
      </c>
      <c r="G106" s="60">
        <v>45888</v>
      </c>
      <c r="H106" s="156">
        <f>7136.94/6</f>
        <v>1189.49</v>
      </c>
      <c r="I106" s="59">
        <v>3</v>
      </c>
      <c r="J106" s="59">
        <v>6</v>
      </c>
      <c r="K106" s="77" t="s">
        <v>522</v>
      </c>
    </row>
    <row r="107" spans="1:11" ht="18" customHeight="1" x14ac:dyDescent="0.25">
      <c r="A107" s="84">
        <v>106</v>
      </c>
      <c r="B107" s="62">
        <v>8</v>
      </c>
      <c r="C107" s="62">
        <v>1</v>
      </c>
      <c r="D107" s="62">
        <v>42</v>
      </c>
      <c r="E107" s="84" t="str">
        <f>_xlfn.XLOOKUP(D107,'🚛 FROTA'!A:A,'🚛 FROTA'!B:B,"")</f>
        <v>BSX5H07</v>
      </c>
      <c r="F107" s="84" t="str">
        <f>_xlfn.XLOOKUP(B107,'🛡️ SEGUROS'!A:A,'🛡️ SEGUROS'!C:C,"")</f>
        <v>0531 49 8359988</v>
      </c>
      <c r="G107" s="63">
        <v>45889</v>
      </c>
      <c r="H107" s="157">
        <f>873.76/2</f>
        <v>436.88</v>
      </c>
      <c r="I107" s="62">
        <v>3</v>
      </c>
      <c r="J107" s="62">
        <v>10</v>
      </c>
      <c r="K107" s="77" t="s">
        <v>522</v>
      </c>
    </row>
    <row r="108" spans="1:11" ht="18" customHeight="1" x14ac:dyDescent="0.25">
      <c r="A108" s="85">
        <v>107</v>
      </c>
      <c r="B108" s="59">
        <v>8</v>
      </c>
      <c r="C108" s="59">
        <v>1</v>
      </c>
      <c r="D108" s="59">
        <v>43</v>
      </c>
      <c r="E108" s="85" t="str">
        <f>_xlfn.XLOOKUP(D108,'🚛 FROTA'!A:A,'🚛 FROTA'!B:B,"")</f>
        <v>CSU3F94</v>
      </c>
      <c r="F108" s="85" t="str">
        <f>_xlfn.XLOOKUP(B108,'🛡️ SEGUROS'!A:A,'🛡️ SEGUROS'!C:C,"")</f>
        <v>0531 49 8359988</v>
      </c>
      <c r="G108" s="60">
        <v>45889</v>
      </c>
      <c r="H108" s="156">
        <f>873.76/2</f>
        <v>436.88</v>
      </c>
      <c r="I108" s="59">
        <v>3</v>
      </c>
      <c r="J108" s="59">
        <v>10</v>
      </c>
      <c r="K108" s="77" t="s">
        <v>522</v>
      </c>
    </row>
    <row r="109" spans="1:11" ht="18" customHeight="1" x14ac:dyDescent="0.25">
      <c r="A109" s="84">
        <v>108</v>
      </c>
      <c r="B109" s="62">
        <v>10</v>
      </c>
      <c r="C109" s="62">
        <v>1</v>
      </c>
      <c r="D109" s="62">
        <v>6</v>
      </c>
      <c r="E109" s="84" t="str">
        <f>_xlfn.XLOOKUP(D109,'🚛 FROTA'!A:A,'🚛 FROTA'!B:B,"")</f>
        <v>EVF8I83</v>
      </c>
      <c r="F109" s="84" t="str">
        <f>_xlfn.XLOOKUP(B109,'🛡️ SEGUROS'!A:A,'🛡️ SEGUROS'!C:C,"")</f>
        <v>0531 49 8551463</v>
      </c>
      <c r="G109" s="63">
        <v>45906</v>
      </c>
      <c r="H109" s="157">
        <f>3621.8/10+0.01</f>
        <v>362.19</v>
      </c>
      <c r="I109" s="62">
        <v>1</v>
      </c>
      <c r="J109" s="62">
        <v>10</v>
      </c>
      <c r="K109" s="77" t="s">
        <v>522</v>
      </c>
    </row>
    <row r="110" spans="1:11" ht="18" customHeight="1" x14ac:dyDescent="0.25">
      <c r="A110" s="85">
        <v>109</v>
      </c>
      <c r="B110" s="59">
        <v>10</v>
      </c>
      <c r="C110" s="59">
        <v>1</v>
      </c>
      <c r="D110" s="59">
        <v>24</v>
      </c>
      <c r="E110" s="85" t="str">
        <f>_xlfn.XLOOKUP(D110,'🚛 FROTA'!A:A,'🚛 FROTA'!B:B,"")</f>
        <v>DYG5G03</v>
      </c>
      <c r="F110" s="85" t="str">
        <f>_xlfn.XLOOKUP(B110,'🛡️ SEGUROS'!A:A,'🛡️ SEGUROS'!C:C,"")</f>
        <v>0531 49 8551463</v>
      </c>
      <c r="G110" s="60">
        <v>45906</v>
      </c>
      <c r="H110" s="164">
        <f>3628.27/10+0.01</f>
        <v>362.83699999999999</v>
      </c>
      <c r="I110" s="59">
        <v>1</v>
      </c>
      <c r="J110" s="59">
        <v>10</v>
      </c>
      <c r="K110" s="77" t="s">
        <v>522</v>
      </c>
    </row>
    <row r="111" spans="1:11" ht="18" customHeight="1" x14ac:dyDescent="0.25">
      <c r="A111" s="84">
        <v>110</v>
      </c>
      <c r="B111" s="62">
        <v>10</v>
      </c>
      <c r="C111" s="62">
        <v>1</v>
      </c>
      <c r="D111" s="62">
        <v>34</v>
      </c>
      <c r="E111" s="84" t="str">
        <f>_xlfn.XLOOKUP(D111,'🚛 FROTA'!A:A,'🚛 FROTA'!B:B,"")</f>
        <v>EXW7D65</v>
      </c>
      <c r="F111" s="84" t="str">
        <f>_xlfn.XLOOKUP(B111,'🛡️ SEGUROS'!A:A,'🛡️ SEGUROS'!C:C,"")</f>
        <v>0531 49 8551463</v>
      </c>
      <c r="G111" s="63">
        <v>45906</v>
      </c>
      <c r="H111" s="157">
        <f>3497.19/10+0.01</f>
        <v>349.72899999999998</v>
      </c>
      <c r="I111" s="62">
        <v>1</v>
      </c>
      <c r="J111" s="62">
        <v>10</v>
      </c>
      <c r="K111" s="77" t="s">
        <v>522</v>
      </c>
    </row>
    <row r="112" spans="1:11" ht="18" customHeight="1" x14ac:dyDescent="0.25">
      <c r="A112" s="85">
        <v>111</v>
      </c>
      <c r="B112" s="59">
        <v>10</v>
      </c>
      <c r="C112" s="59">
        <v>1</v>
      </c>
      <c r="D112" s="59">
        <v>39</v>
      </c>
      <c r="E112" s="85" t="str">
        <f>_xlfn.XLOOKUP(D112,'🚛 FROTA'!A:A,'🚛 FROTA'!B:B,"")</f>
        <v>EJX0I24</v>
      </c>
      <c r="F112" s="85" t="str">
        <f>_xlfn.XLOOKUP(B112,'🛡️ SEGUROS'!A:A,'🛡️ SEGUROS'!C:C,"")</f>
        <v>0531 49 8551463</v>
      </c>
      <c r="G112" s="60">
        <v>45906</v>
      </c>
      <c r="H112" s="156">
        <f>3497.19/10+0.01</f>
        <v>349.72899999999998</v>
      </c>
      <c r="I112" s="59">
        <v>1</v>
      </c>
      <c r="J112" s="59">
        <v>10</v>
      </c>
      <c r="K112" s="77" t="s">
        <v>522</v>
      </c>
    </row>
    <row r="113" spans="1:11" ht="18" customHeight="1" x14ac:dyDescent="0.25">
      <c r="A113" s="84">
        <v>112</v>
      </c>
      <c r="B113" s="62">
        <v>10</v>
      </c>
      <c r="C113" s="62">
        <v>1</v>
      </c>
      <c r="D113" s="62">
        <v>46</v>
      </c>
      <c r="E113" s="84" t="str">
        <f>_xlfn.XLOOKUP(D113,'🚛 FROTA'!A:A,'🚛 FROTA'!B:B,"")</f>
        <v>CCU5G26</v>
      </c>
      <c r="F113" s="84" t="str">
        <f>_xlfn.XLOOKUP(B113,'🛡️ SEGUROS'!A:A,'🛡️ SEGUROS'!C:C,"")</f>
        <v>0531 49 8551463</v>
      </c>
      <c r="G113" s="63">
        <v>45906</v>
      </c>
      <c r="H113" s="157">
        <f>3497.19/10+0.01</f>
        <v>349.72899999999998</v>
      </c>
      <c r="I113" s="62">
        <v>1</v>
      </c>
      <c r="J113" s="62">
        <v>10</v>
      </c>
      <c r="K113" s="77" t="s">
        <v>522</v>
      </c>
    </row>
    <row r="114" spans="1:11" ht="18" customHeight="1" x14ac:dyDescent="0.25">
      <c r="A114" s="85">
        <v>113</v>
      </c>
      <c r="B114" s="59">
        <v>10</v>
      </c>
      <c r="C114" s="59">
        <v>1</v>
      </c>
      <c r="D114" s="59">
        <v>47</v>
      </c>
      <c r="E114" s="85" t="str">
        <f>_xlfn.XLOOKUP(D114,'🚛 FROTA'!A:A,'🚛 FROTA'!B:B,"")</f>
        <v>CUG4B86</v>
      </c>
      <c r="F114" s="85" t="str">
        <f>_xlfn.XLOOKUP(B114,'🛡️ SEGUROS'!A:A,'🛡️ SEGUROS'!C:C,"")</f>
        <v>0531 49 8551463</v>
      </c>
      <c r="G114" s="60">
        <v>45906</v>
      </c>
      <c r="H114" s="156">
        <f>3783.48/10</f>
        <v>378.34800000000001</v>
      </c>
      <c r="I114" s="59">
        <v>1</v>
      </c>
      <c r="J114" s="59">
        <v>10</v>
      </c>
      <c r="K114" s="77" t="s">
        <v>522</v>
      </c>
    </row>
    <row r="115" spans="1:11" ht="18" customHeight="1" x14ac:dyDescent="0.25">
      <c r="A115" s="84">
        <v>114</v>
      </c>
      <c r="B115" s="62">
        <v>9</v>
      </c>
      <c r="C115" s="62">
        <v>1</v>
      </c>
      <c r="D115" s="62">
        <v>17</v>
      </c>
      <c r="E115" s="84" t="str">
        <f>_xlfn.XLOOKUP(D115,'🚛 FROTA'!A:A,'🚛 FROTA'!B:B,"")</f>
        <v>BQV5264</v>
      </c>
      <c r="F115" s="84" t="str">
        <f>_xlfn.XLOOKUP(B115,'🛡️ SEGUROS'!A:A,'🛡️ SEGUROS'!C:C,"")</f>
        <v>171 49 24007849</v>
      </c>
      <c r="G115" s="63">
        <v>45919</v>
      </c>
      <c r="H115" s="157">
        <f>7136.94/6</f>
        <v>1189.49</v>
      </c>
      <c r="I115" s="62">
        <v>4</v>
      </c>
      <c r="J115" s="62">
        <v>6</v>
      </c>
      <c r="K115" s="77" t="s">
        <v>522</v>
      </c>
    </row>
    <row r="116" spans="1:11" ht="18" customHeight="1" x14ac:dyDescent="0.25">
      <c r="A116" s="85">
        <v>115</v>
      </c>
      <c r="B116" s="59">
        <v>8</v>
      </c>
      <c r="C116" s="59">
        <v>1</v>
      </c>
      <c r="D116" s="59">
        <v>42</v>
      </c>
      <c r="E116" s="85" t="str">
        <f>_xlfn.XLOOKUP(D116,'🚛 FROTA'!A:A,'🚛 FROTA'!B:B,"")</f>
        <v>BSX5H07</v>
      </c>
      <c r="F116" s="85" t="str">
        <f>_xlfn.XLOOKUP(B116,'🛡️ SEGUROS'!A:A,'🛡️ SEGUROS'!C:C,"")</f>
        <v>0531 49 8359988</v>
      </c>
      <c r="G116" s="60">
        <v>45920</v>
      </c>
      <c r="H116" s="156">
        <f>873.76/2</f>
        <v>436.88</v>
      </c>
      <c r="I116" s="59">
        <v>4</v>
      </c>
      <c r="J116" s="59">
        <v>10</v>
      </c>
      <c r="K116" s="77" t="s">
        <v>522</v>
      </c>
    </row>
    <row r="117" spans="1:11" ht="18" customHeight="1" x14ac:dyDescent="0.25">
      <c r="A117" s="84">
        <v>116</v>
      </c>
      <c r="B117" s="62">
        <v>8</v>
      </c>
      <c r="C117" s="62">
        <v>1</v>
      </c>
      <c r="D117" s="62">
        <v>43</v>
      </c>
      <c r="E117" s="84" t="str">
        <f>_xlfn.XLOOKUP(D117,'🚛 FROTA'!A:A,'🚛 FROTA'!B:B,"")</f>
        <v>CSU3F94</v>
      </c>
      <c r="F117" s="84" t="str">
        <f>_xlfn.XLOOKUP(B117,'🛡️ SEGUROS'!A:A,'🛡️ SEGUROS'!C:C,"")</f>
        <v>0531 49 8359988</v>
      </c>
      <c r="G117" s="63">
        <v>45920</v>
      </c>
      <c r="H117" s="157">
        <f>873.76/2</f>
        <v>436.88</v>
      </c>
      <c r="I117" s="62">
        <v>4</v>
      </c>
      <c r="J117" s="62">
        <v>10</v>
      </c>
      <c r="K117" s="77" t="s">
        <v>522</v>
      </c>
    </row>
    <row r="118" spans="1:11" ht="18" customHeight="1" x14ac:dyDescent="0.25">
      <c r="A118" s="85">
        <v>117</v>
      </c>
      <c r="B118" s="59">
        <v>11</v>
      </c>
      <c r="C118" s="59">
        <v>1</v>
      </c>
      <c r="D118" s="59">
        <v>20</v>
      </c>
      <c r="E118" s="85" t="str">
        <f>_xlfn.XLOOKUP(D118,'🚛 FROTA'!A:A,'🚛 FROTA'!B:B,"")</f>
        <v>MAX4116</v>
      </c>
      <c r="F118" s="85" t="str">
        <f>_xlfn.XLOOKUP(B118,'🛡️ SEGUROS'!A:A,'🛡️ SEGUROS'!C:C,"")</f>
        <v>171 49 24008647</v>
      </c>
      <c r="G118" s="60">
        <v>45922</v>
      </c>
      <c r="H118" s="156">
        <f>16428.55/6</f>
        <v>2738.0916666666667</v>
      </c>
      <c r="I118" s="59">
        <v>1</v>
      </c>
      <c r="J118" s="59">
        <v>6</v>
      </c>
      <c r="K118" s="77" t="s">
        <v>522</v>
      </c>
    </row>
    <row r="119" spans="1:11" ht="18" customHeight="1" x14ac:dyDescent="0.25">
      <c r="A119" s="84">
        <v>118</v>
      </c>
      <c r="B119" s="62">
        <v>10</v>
      </c>
      <c r="C119" s="62">
        <v>1</v>
      </c>
      <c r="D119" s="62">
        <v>6</v>
      </c>
      <c r="E119" s="84" t="str">
        <f>_xlfn.XLOOKUP(D119,'🚛 FROTA'!A:A,'🚛 FROTA'!B:B,"")</f>
        <v>EVF8I83</v>
      </c>
      <c r="F119" s="84" t="str">
        <f>_xlfn.XLOOKUP(B119,'🛡️ SEGUROS'!A:A,'🛡️ SEGUROS'!C:C,"")</f>
        <v>0531 49 8551463</v>
      </c>
      <c r="G119" s="63">
        <v>45945</v>
      </c>
      <c r="H119" s="157">
        <f>3621.8/10+0.01</f>
        <v>362.19</v>
      </c>
      <c r="I119" s="62">
        <v>2</v>
      </c>
      <c r="J119" s="62">
        <v>10</v>
      </c>
      <c r="K119" s="77" t="s">
        <v>522</v>
      </c>
    </row>
    <row r="120" spans="1:11" ht="18" customHeight="1" x14ac:dyDescent="0.25">
      <c r="A120" s="85">
        <v>119</v>
      </c>
      <c r="B120" s="59">
        <v>10</v>
      </c>
      <c r="C120" s="59">
        <v>1</v>
      </c>
      <c r="D120" s="59">
        <v>24</v>
      </c>
      <c r="E120" s="85" t="str">
        <f>_xlfn.XLOOKUP(D120,'🚛 FROTA'!A:A,'🚛 FROTA'!B:B,"")</f>
        <v>DYG5G03</v>
      </c>
      <c r="F120" s="85" t="str">
        <f>_xlfn.XLOOKUP(B120,'🛡️ SEGUROS'!A:A,'🛡️ SEGUROS'!C:C,"")</f>
        <v>0531 49 8551463</v>
      </c>
      <c r="G120" s="60">
        <v>45945</v>
      </c>
      <c r="H120" s="164">
        <f>3628.27/10+0.01</f>
        <v>362.83699999999999</v>
      </c>
      <c r="I120" s="59">
        <v>2</v>
      </c>
      <c r="J120" s="59">
        <v>10</v>
      </c>
      <c r="K120" s="77" t="s">
        <v>522</v>
      </c>
    </row>
    <row r="121" spans="1:11" ht="18" customHeight="1" x14ac:dyDescent="0.25">
      <c r="A121" s="84">
        <v>120</v>
      </c>
      <c r="B121" s="62">
        <v>10</v>
      </c>
      <c r="C121" s="62">
        <v>1</v>
      </c>
      <c r="D121" s="62">
        <v>34</v>
      </c>
      <c r="E121" s="84" t="str">
        <f>_xlfn.XLOOKUP(D121,'🚛 FROTA'!A:A,'🚛 FROTA'!B:B,"")</f>
        <v>EXW7D65</v>
      </c>
      <c r="F121" s="84" t="str">
        <f>_xlfn.XLOOKUP(B121,'🛡️ SEGUROS'!A:A,'🛡️ SEGUROS'!C:C,"")</f>
        <v>0531 49 8551463</v>
      </c>
      <c r="G121" s="63">
        <v>45945</v>
      </c>
      <c r="H121" s="157">
        <f>3497.19/10+0.01</f>
        <v>349.72899999999998</v>
      </c>
      <c r="I121" s="62">
        <v>2</v>
      </c>
      <c r="J121" s="62">
        <v>10</v>
      </c>
      <c r="K121" s="77" t="s">
        <v>522</v>
      </c>
    </row>
    <row r="122" spans="1:11" ht="18" customHeight="1" x14ac:dyDescent="0.25">
      <c r="A122" s="85">
        <v>121</v>
      </c>
      <c r="B122" s="59">
        <v>10</v>
      </c>
      <c r="C122" s="59">
        <v>1</v>
      </c>
      <c r="D122" s="59">
        <v>39</v>
      </c>
      <c r="E122" s="85" t="str">
        <f>_xlfn.XLOOKUP(D122,'🚛 FROTA'!A:A,'🚛 FROTA'!B:B,"")</f>
        <v>EJX0I24</v>
      </c>
      <c r="F122" s="85" t="str">
        <f>_xlfn.XLOOKUP(B122,'🛡️ SEGUROS'!A:A,'🛡️ SEGUROS'!C:C,"")</f>
        <v>0531 49 8551463</v>
      </c>
      <c r="G122" s="60">
        <v>45945</v>
      </c>
      <c r="H122" s="156">
        <f>3497.19/10+0.01</f>
        <v>349.72899999999998</v>
      </c>
      <c r="I122" s="59">
        <v>2</v>
      </c>
      <c r="J122" s="59">
        <v>10</v>
      </c>
      <c r="K122" s="77" t="s">
        <v>522</v>
      </c>
    </row>
    <row r="123" spans="1:11" ht="18" customHeight="1" x14ac:dyDescent="0.25">
      <c r="A123" s="84">
        <v>122</v>
      </c>
      <c r="B123" s="62">
        <v>10</v>
      </c>
      <c r="C123" s="62">
        <v>1</v>
      </c>
      <c r="D123" s="62">
        <v>46</v>
      </c>
      <c r="E123" s="84" t="str">
        <f>_xlfn.XLOOKUP(D123,'🚛 FROTA'!A:A,'🚛 FROTA'!B:B,"")</f>
        <v>CCU5G26</v>
      </c>
      <c r="F123" s="84" t="str">
        <f>_xlfn.XLOOKUP(B123,'🛡️ SEGUROS'!A:A,'🛡️ SEGUROS'!C:C,"")</f>
        <v>0531 49 8551463</v>
      </c>
      <c r="G123" s="63">
        <v>45945</v>
      </c>
      <c r="H123" s="157">
        <f>3497.19/10+0.01</f>
        <v>349.72899999999998</v>
      </c>
      <c r="I123" s="62">
        <v>2</v>
      </c>
      <c r="J123" s="62">
        <v>10</v>
      </c>
      <c r="K123" s="77" t="s">
        <v>522</v>
      </c>
    </row>
    <row r="124" spans="1:11" ht="18" customHeight="1" x14ac:dyDescent="0.25">
      <c r="A124" s="85">
        <v>123</v>
      </c>
      <c r="B124" s="59">
        <v>10</v>
      </c>
      <c r="C124" s="59">
        <v>1</v>
      </c>
      <c r="D124" s="59">
        <v>47</v>
      </c>
      <c r="E124" s="85" t="str">
        <f>_xlfn.XLOOKUP(D124,'🚛 FROTA'!A:A,'🚛 FROTA'!B:B,"")</f>
        <v>CUG4B86</v>
      </c>
      <c r="F124" s="85" t="str">
        <f>_xlfn.XLOOKUP(B124,'🛡️ SEGUROS'!A:A,'🛡️ SEGUROS'!C:C,"")</f>
        <v>0531 49 8551463</v>
      </c>
      <c r="G124" s="60">
        <v>45945</v>
      </c>
      <c r="H124" s="156">
        <f>3783.48/10</f>
        <v>378.34800000000001</v>
      </c>
      <c r="I124" s="59">
        <v>2</v>
      </c>
      <c r="J124" s="59">
        <v>10</v>
      </c>
      <c r="K124" s="77" t="s">
        <v>522</v>
      </c>
    </row>
    <row r="125" spans="1:11" ht="18" customHeight="1" x14ac:dyDescent="0.25">
      <c r="A125" s="84">
        <v>124</v>
      </c>
      <c r="B125" s="62">
        <v>9</v>
      </c>
      <c r="C125" s="62">
        <v>1</v>
      </c>
      <c r="D125" s="62">
        <v>17</v>
      </c>
      <c r="E125" s="84" t="str">
        <f>_xlfn.XLOOKUP(D125,'🚛 FROTA'!A:A,'🚛 FROTA'!B:B,"")</f>
        <v>BQV5264</v>
      </c>
      <c r="F125" s="84" t="str">
        <f>_xlfn.XLOOKUP(B125,'🛡️ SEGUROS'!A:A,'🛡️ SEGUROS'!C:C,"")</f>
        <v>171 49 24007849</v>
      </c>
      <c r="G125" s="63">
        <v>45949</v>
      </c>
      <c r="H125" s="157">
        <f>7136.94/6</f>
        <v>1189.49</v>
      </c>
      <c r="I125" s="62">
        <v>5</v>
      </c>
      <c r="J125" s="62">
        <v>6</v>
      </c>
      <c r="K125" s="77" t="s">
        <v>522</v>
      </c>
    </row>
    <row r="126" spans="1:11" ht="18" customHeight="1" x14ac:dyDescent="0.25">
      <c r="A126" s="85">
        <v>125</v>
      </c>
      <c r="B126" s="59">
        <v>8</v>
      </c>
      <c r="C126" s="59">
        <v>1</v>
      </c>
      <c r="D126" s="59">
        <v>42</v>
      </c>
      <c r="E126" s="85" t="str">
        <f>_xlfn.XLOOKUP(D126,'🚛 FROTA'!A:A,'🚛 FROTA'!B:B,"")</f>
        <v>BSX5H07</v>
      </c>
      <c r="F126" s="85" t="str">
        <f>_xlfn.XLOOKUP(B126,'🛡️ SEGUROS'!A:A,'🛡️ SEGUROS'!C:C,"")</f>
        <v>0531 49 8359988</v>
      </c>
      <c r="G126" s="60">
        <v>45950</v>
      </c>
      <c r="H126" s="156">
        <f>873.76/2</f>
        <v>436.88</v>
      </c>
      <c r="I126" s="59">
        <v>5</v>
      </c>
      <c r="J126" s="59">
        <v>10</v>
      </c>
      <c r="K126" s="77" t="s">
        <v>522</v>
      </c>
    </row>
    <row r="127" spans="1:11" ht="18" customHeight="1" x14ac:dyDescent="0.25">
      <c r="A127" s="84">
        <v>126</v>
      </c>
      <c r="B127" s="62">
        <v>8</v>
      </c>
      <c r="C127" s="62">
        <v>1</v>
      </c>
      <c r="D127" s="62">
        <v>43</v>
      </c>
      <c r="E127" s="84" t="str">
        <f>_xlfn.XLOOKUP(D127,'🚛 FROTA'!A:A,'🚛 FROTA'!B:B,"")</f>
        <v>CSU3F94</v>
      </c>
      <c r="F127" s="84" t="str">
        <f>_xlfn.XLOOKUP(B127,'🛡️ SEGUROS'!A:A,'🛡️ SEGUROS'!C:C,"")</f>
        <v>0531 49 8359988</v>
      </c>
      <c r="G127" s="63">
        <v>45950</v>
      </c>
      <c r="H127" s="157">
        <f>873.76/2</f>
        <v>436.88</v>
      </c>
      <c r="I127" s="62">
        <v>5</v>
      </c>
      <c r="J127" s="62">
        <v>10</v>
      </c>
      <c r="K127" s="77" t="s">
        <v>522</v>
      </c>
    </row>
    <row r="128" spans="1:11" ht="18" customHeight="1" x14ac:dyDescent="0.25">
      <c r="A128" s="85">
        <v>127</v>
      </c>
      <c r="B128" s="59">
        <v>11</v>
      </c>
      <c r="C128" s="59">
        <v>1</v>
      </c>
      <c r="D128" s="59">
        <v>20</v>
      </c>
      <c r="E128" s="85" t="str">
        <f>_xlfn.XLOOKUP(D128,'🚛 FROTA'!A:A,'🚛 FROTA'!B:B,"")</f>
        <v>MAX4116</v>
      </c>
      <c r="F128" s="85" t="str">
        <f>_xlfn.XLOOKUP(B128,'🛡️ SEGUROS'!A:A,'🛡️ SEGUROS'!C:C,"")</f>
        <v>171 49 24008647</v>
      </c>
      <c r="G128" s="60">
        <v>45952</v>
      </c>
      <c r="H128" s="156">
        <f>16428.7/6</f>
        <v>2738.1166666666668</v>
      </c>
      <c r="I128" s="59">
        <v>2</v>
      </c>
      <c r="J128" s="59">
        <v>6</v>
      </c>
      <c r="K128" s="77" t="s">
        <v>522</v>
      </c>
    </row>
    <row r="129" spans="1:11" ht="18" customHeight="1" x14ac:dyDescent="0.25">
      <c r="A129" s="84">
        <v>128</v>
      </c>
      <c r="B129" s="62">
        <v>10</v>
      </c>
      <c r="C129" s="62">
        <v>1</v>
      </c>
      <c r="D129" s="62">
        <v>6</v>
      </c>
      <c r="E129" s="84" t="str">
        <f>_xlfn.XLOOKUP(D129,'🚛 FROTA'!A:A,'🚛 FROTA'!B:B,"")</f>
        <v>EVF8I83</v>
      </c>
      <c r="F129" s="84" t="str">
        <f>_xlfn.XLOOKUP(B129,'🛡️ SEGUROS'!A:A,'🛡️ SEGUROS'!C:C,"")</f>
        <v>0531 49 8551463</v>
      </c>
      <c r="G129" s="63">
        <v>45976</v>
      </c>
      <c r="H129" s="157">
        <f>3621.8/10+0.01</f>
        <v>362.19</v>
      </c>
      <c r="I129" s="62">
        <v>3</v>
      </c>
      <c r="J129" s="62">
        <v>10</v>
      </c>
      <c r="K129" s="77" t="s">
        <v>522</v>
      </c>
    </row>
    <row r="130" spans="1:11" ht="18" customHeight="1" x14ac:dyDescent="0.25">
      <c r="A130" s="85">
        <v>129</v>
      </c>
      <c r="B130" s="59">
        <v>10</v>
      </c>
      <c r="C130" s="59">
        <v>1</v>
      </c>
      <c r="D130" s="59">
        <v>24</v>
      </c>
      <c r="E130" s="85" t="str">
        <f>_xlfn.XLOOKUP(D130,'🚛 FROTA'!A:A,'🚛 FROTA'!B:B,"")</f>
        <v>DYG5G03</v>
      </c>
      <c r="F130" s="85" t="str">
        <f>_xlfn.XLOOKUP(B130,'🛡️ SEGUROS'!A:A,'🛡️ SEGUROS'!C:C,"")</f>
        <v>0531 49 8551463</v>
      </c>
      <c r="G130" s="60">
        <v>45976</v>
      </c>
      <c r="H130" s="164">
        <f>3628.27/10+0.01</f>
        <v>362.83699999999999</v>
      </c>
      <c r="I130" s="59">
        <v>3</v>
      </c>
      <c r="J130" s="59">
        <v>10</v>
      </c>
      <c r="K130" s="77" t="s">
        <v>522</v>
      </c>
    </row>
    <row r="131" spans="1:11" ht="18" customHeight="1" x14ac:dyDescent="0.25">
      <c r="A131" s="84">
        <v>130</v>
      </c>
      <c r="B131" s="62">
        <v>10</v>
      </c>
      <c r="C131" s="62">
        <v>1</v>
      </c>
      <c r="D131" s="62">
        <v>34</v>
      </c>
      <c r="E131" s="84" t="str">
        <f>_xlfn.XLOOKUP(D131,'🚛 FROTA'!A:A,'🚛 FROTA'!B:B,"")</f>
        <v>EXW7D65</v>
      </c>
      <c r="F131" s="84" t="str">
        <f>_xlfn.XLOOKUP(B131,'🛡️ SEGUROS'!A:A,'🛡️ SEGUROS'!C:C,"")</f>
        <v>0531 49 8551463</v>
      </c>
      <c r="G131" s="63">
        <v>45976</v>
      </c>
      <c r="H131" s="157">
        <f>3497.19/10+0.01</f>
        <v>349.72899999999998</v>
      </c>
      <c r="I131" s="62">
        <v>3</v>
      </c>
      <c r="J131" s="62">
        <v>10</v>
      </c>
      <c r="K131" s="77" t="s">
        <v>522</v>
      </c>
    </row>
    <row r="132" spans="1:11" ht="18" customHeight="1" x14ac:dyDescent="0.25">
      <c r="A132" s="85">
        <v>131</v>
      </c>
      <c r="B132" s="59">
        <v>10</v>
      </c>
      <c r="C132" s="59">
        <v>1</v>
      </c>
      <c r="D132" s="59">
        <v>39</v>
      </c>
      <c r="E132" s="85" t="str">
        <f>_xlfn.XLOOKUP(D132,'🚛 FROTA'!A:A,'🚛 FROTA'!B:B,"")</f>
        <v>EJX0I24</v>
      </c>
      <c r="F132" s="85" t="str">
        <f>_xlfn.XLOOKUP(B132,'🛡️ SEGUROS'!A:A,'🛡️ SEGUROS'!C:C,"")</f>
        <v>0531 49 8551463</v>
      </c>
      <c r="G132" s="60">
        <v>45976</v>
      </c>
      <c r="H132" s="156">
        <f>3497.19/10+0.01</f>
        <v>349.72899999999998</v>
      </c>
      <c r="I132" s="59">
        <v>3</v>
      </c>
      <c r="J132" s="59">
        <v>10</v>
      </c>
      <c r="K132" s="77" t="s">
        <v>522</v>
      </c>
    </row>
    <row r="133" spans="1:11" ht="18" customHeight="1" x14ac:dyDescent="0.25">
      <c r="A133" s="84">
        <v>132</v>
      </c>
      <c r="B133" s="62">
        <v>10</v>
      </c>
      <c r="C133" s="62">
        <v>1</v>
      </c>
      <c r="D133" s="62">
        <v>46</v>
      </c>
      <c r="E133" s="84" t="str">
        <f>_xlfn.XLOOKUP(D133,'🚛 FROTA'!A:A,'🚛 FROTA'!B:B,"")</f>
        <v>CCU5G26</v>
      </c>
      <c r="F133" s="84" t="str">
        <f>_xlfn.XLOOKUP(B133,'🛡️ SEGUROS'!A:A,'🛡️ SEGUROS'!C:C,"")</f>
        <v>0531 49 8551463</v>
      </c>
      <c r="G133" s="63">
        <v>45976</v>
      </c>
      <c r="H133" s="157">
        <f>3497.19/10+0.01</f>
        <v>349.72899999999998</v>
      </c>
      <c r="I133" s="62">
        <v>3</v>
      </c>
      <c r="J133" s="62">
        <v>10</v>
      </c>
      <c r="K133" s="77" t="s">
        <v>522</v>
      </c>
    </row>
    <row r="134" spans="1:11" ht="18" customHeight="1" x14ac:dyDescent="0.25">
      <c r="A134" s="85">
        <v>133</v>
      </c>
      <c r="B134" s="59">
        <v>10</v>
      </c>
      <c r="C134" s="59">
        <v>1</v>
      </c>
      <c r="D134" s="59">
        <v>47</v>
      </c>
      <c r="E134" s="85" t="str">
        <f>_xlfn.XLOOKUP(D134,'🚛 FROTA'!A:A,'🚛 FROTA'!B:B,"")</f>
        <v>CUG4B86</v>
      </c>
      <c r="F134" s="85" t="str">
        <f>_xlfn.XLOOKUP(B134,'🛡️ SEGUROS'!A:A,'🛡️ SEGUROS'!C:C,"")</f>
        <v>0531 49 8551463</v>
      </c>
      <c r="G134" s="60">
        <v>45976</v>
      </c>
      <c r="H134" s="156">
        <f>3783.48/10</f>
        <v>378.34800000000001</v>
      </c>
      <c r="I134" s="59">
        <v>3</v>
      </c>
      <c r="J134" s="59">
        <v>10</v>
      </c>
      <c r="K134" s="77" t="s">
        <v>522</v>
      </c>
    </row>
    <row r="135" spans="1:11" ht="18" customHeight="1" x14ac:dyDescent="0.25">
      <c r="A135" s="84">
        <v>134</v>
      </c>
      <c r="B135" s="62">
        <v>9</v>
      </c>
      <c r="C135" s="62">
        <v>1</v>
      </c>
      <c r="D135" s="62">
        <v>17</v>
      </c>
      <c r="E135" s="84" t="str">
        <f>_xlfn.XLOOKUP(D135,'🚛 FROTA'!A:A,'🚛 FROTA'!B:B,"")</f>
        <v>BQV5264</v>
      </c>
      <c r="F135" s="84" t="str">
        <f>_xlfn.XLOOKUP(B135,'🛡️ SEGUROS'!A:A,'🛡️ SEGUROS'!C:C,"")</f>
        <v>171 49 24007849</v>
      </c>
      <c r="G135" s="63">
        <v>45980</v>
      </c>
      <c r="H135" s="157">
        <f>7136.94/6</f>
        <v>1189.49</v>
      </c>
      <c r="I135" s="62">
        <v>6</v>
      </c>
      <c r="J135" s="62">
        <v>6</v>
      </c>
      <c r="K135" s="77" t="s">
        <v>522</v>
      </c>
    </row>
    <row r="136" spans="1:11" ht="18" customHeight="1" x14ac:dyDescent="0.25">
      <c r="A136" s="85">
        <v>135</v>
      </c>
      <c r="B136" s="59">
        <v>8</v>
      </c>
      <c r="C136" s="59">
        <v>1</v>
      </c>
      <c r="D136" s="59">
        <v>42</v>
      </c>
      <c r="E136" s="85" t="str">
        <f>_xlfn.XLOOKUP(D136,'🚛 FROTA'!A:A,'🚛 FROTA'!B:B,"")</f>
        <v>BSX5H07</v>
      </c>
      <c r="F136" s="85" t="str">
        <f>_xlfn.XLOOKUP(B136,'🛡️ SEGUROS'!A:A,'🛡️ SEGUROS'!C:C,"")</f>
        <v>0531 49 8359988</v>
      </c>
      <c r="G136" s="60">
        <v>45981</v>
      </c>
      <c r="H136" s="156">
        <f>873.76/2</f>
        <v>436.88</v>
      </c>
      <c r="I136" s="59">
        <v>6</v>
      </c>
      <c r="J136" s="59">
        <v>10</v>
      </c>
      <c r="K136" s="77" t="s">
        <v>522</v>
      </c>
    </row>
    <row r="137" spans="1:11" ht="18" customHeight="1" x14ac:dyDescent="0.25">
      <c r="A137" s="84">
        <v>136</v>
      </c>
      <c r="B137" s="62">
        <v>8</v>
      </c>
      <c r="C137" s="62">
        <v>1</v>
      </c>
      <c r="D137" s="62">
        <v>43</v>
      </c>
      <c r="E137" s="84" t="str">
        <f>_xlfn.XLOOKUP(D137,'🚛 FROTA'!A:A,'🚛 FROTA'!B:B,"")</f>
        <v>CSU3F94</v>
      </c>
      <c r="F137" s="84" t="str">
        <f>_xlfn.XLOOKUP(B137,'🛡️ SEGUROS'!A:A,'🛡️ SEGUROS'!C:C,"")</f>
        <v>0531 49 8359988</v>
      </c>
      <c r="G137" s="63">
        <v>45981</v>
      </c>
      <c r="H137" s="157">
        <f>873.76/2</f>
        <v>436.88</v>
      </c>
      <c r="I137" s="62">
        <v>6</v>
      </c>
      <c r="J137" s="62">
        <v>10</v>
      </c>
      <c r="K137" s="77" t="s">
        <v>522</v>
      </c>
    </row>
    <row r="138" spans="1:11" ht="18" customHeight="1" x14ac:dyDescent="0.25">
      <c r="A138" s="85">
        <v>137</v>
      </c>
      <c r="B138" s="59">
        <v>11</v>
      </c>
      <c r="C138" s="59">
        <v>1</v>
      </c>
      <c r="D138" s="59">
        <v>20</v>
      </c>
      <c r="E138" s="85" t="str">
        <f>_xlfn.XLOOKUP(D138,'🚛 FROTA'!A:A,'🚛 FROTA'!B:B,"")</f>
        <v>MAX4116</v>
      </c>
      <c r="F138" s="85" t="str">
        <f>_xlfn.XLOOKUP(B138,'🛡️ SEGUROS'!A:A,'🛡️ SEGUROS'!C:C,"")</f>
        <v>171 49 24008647</v>
      </c>
      <c r="G138" s="60">
        <v>45983</v>
      </c>
      <c r="H138" s="156">
        <f>16428.7/6</f>
        <v>2738.1166666666668</v>
      </c>
      <c r="I138" s="59">
        <v>3</v>
      </c>
      <c r="J138" s="59">
        <v>6</v>
      </c>
      <c r="K138" s="77" t="s">
        <v>522</v>
      </c>
    </row>
    <row r="139" spans="1:11" ht="18" customHeight="1" x14ac:dyDescent="0.25">
      <c r="A139" s="84">
        <v>138</v>
      </c>
      <c r="B139" s="62">
        <v>10</v>
      </c>
      <c r="C139" s="62">
        <v>1</v>
      </c>
      <c r="D139" s="62">
        <v>6</v>
      </c>
      <c r="E139" s="84" t="str">
        <f>_xlfn.XLOOKUP(D139,'🚛 FROTA'!A:A,'🚛 FROTA'!B:B,"")</f>
        <v>EVF8I83</v>
      </c>
      <c r="F139" s="84" t="str">
        <f>_xlfn.XLOOKUP(B139,'🛡️ SEGUROS'!A:A,'🛡️ SEGUROS'!C:C,"")</f>
        <v>0531 49 8551463</v>
      </c>
      <c r="G139" s="63">
        <v>46006</v>
      </c>
      <c r="H139" s="157">
        <f>3621.8/10+0.01</f>
        <v>362.19</v>
      </c>
      <c r="I139" s="62">
        <v>4</v>
      </c>
      <c r="J139" s="62">
        <v>10</v>
      </c>
      <c r="K139" s="77" t="s">
        <v>522</v>
      </c>
    </row>
    <row r="140" spans="1:11" ht="18" customHeight="1" x14ac:dyDescent="0.25">
      <c r="A140" s="85">
        <v>139</v>
      </c>
      <c r="B140" s="59">
        <v>10</v>
      </c>
      <c r="C140" s="59">
        <v>1</v>
      </c>
      <c r="D140" s="59">
        <v>24</v>
      </c>
      <c r="E140" s="85" t="str">
        <f>_xlfn.XLOOKUP(D140,'🚛 FROTA'!A:A,'🚛 FROTA'!B:B,"")</f>
        <v>DYG5G03</v>
      </c>
      <c r="F140" s="85" t="str">
        <f>_xlfn.XLOOKUP(B140,'🛡️ SEGUROS'!A:A,'🛡️ SEGUROS'!C:C,"")</f>
        <v>0531 49 8551463</v>
      </c>
      <c r="G140" s="60">
        <v>46006</v>
      </c>
      <c r="H140" s="164">
        <f>3628.27/10+0.01</f>
        <v>362.83699999999999</v>
      </c>
      <c r="I140" s="59">
        <v>4</v>
      </c>
      <c r="J140" s="59">
        <v>10</v>
      </c>
      <c r="K140" s="77" t="s">
        <v>522</v>
      </c>
    </row>
    <row r="141" spans="1:11" ht="18" customHeight="1" x14ac:dyDescent="0.25">
      <c r="A141" s="84">
        <v>140</v>
      </c>
      <c r="B141" s="62">
        <v>10</v>
      </c>
      <c r="C141" s="62">
        <v>1</v>
      </c>
      <c r="D141" s="62">
        <v>34</v>
      </c>
      <c r="E141" s="84" t="str">
        <f>_xlfn.XLOOKUP(D141,'🚛 FROTA'!A:A,'🚛 FROTA'!B:B,"")</f>
        <v>EXW7D65</v>
      </c>
      <c r="F141" s="84" t="str">
        <f>_xlfn.XLOOKUP(B141,'🛡️ SEGUROS'!A:A,'🛡️ SEGUROS'!C:C,"")</f>
        <v>0531 49 8551463</v>
      </c>
      <c r="G141" s="63">
        <v>46006</v>
      </c>
      <c r="H141" s="157">
        <f>3497.19/10+0.01</f>
        <v>349.72899999999998</v>
      </c>
      <c r="I141" s="62">
        <v>4</v>
      </c>
      <c r="J141" s="62">
        <v>10</v>
      </c>
      <c r="K141" s="77" t="s">
        <v>522</v>
      </c>
    </row>
    <row r="142" spans="1:11" ht="18" customHeight="1" x14ac:dyDescent="0.25">
      <c r="A142" s="85">
        <v>141</v>
      </c>
      <c r="B142" s="59">
        <v>10</v>
      </c>
      <c r="C142" s="59">
        <v>1</v>
      </c>
      <c r="D142" s="59">
        <v>39</v>
      </c>
      <c r="E142" s="85" t="str">
        <f>_xlfn.XLOOKUP(D142,'🚛 FROTA'!A:A,'🚛 FROTA'!B:B,"")</f>
        <v>EJX0I24</v>
      </c>
      <c r="F142" s="85" t="str">
        <f>_xlfn.XLOOKUP(B142,'🛡️ SEGUROS'!A:A,'🛡️ SEGUROS'!C:C,"")</f>
        <v>0531 49 8551463</v>
      </c>
      <c r="G142" s="60">
        <v>46006</v>
      </c>
      <c r="H142" s="156">
        <f>3497.19/10+0.01</f>
        <v>349.72899999999998</v>
      </c>
      <c r="I142" s="59">
        <v>4</v>
      </c>
      <c r="J142" s="59">
        <v>10</v>
      </c>
      <c r="K142" s="77" t="s">
        <v>522</v>
      </c>
    </row>
    <row r="143" spans="1:11" ht="18" customHeight="1" x14ac:dyDescent="0.25">
      <c r="A143" s="84">
        <v>142</v>
      </c>
      <c r="B143" s="62">
        <v>10</v>
      </c>
      <c r="C143" s="62">
        <v>1</v>
      </c>
      <c r="D143" s="62">
        <v>46</v>
      </c>
      <c r="E143" s="84" t="str">
        <f>_xlfn.XLOOKUP(D143,'🚛 FROTA'!A:A,'🚛 FROTA'!B:B,"")</f>
        <v>CCU5G26</v>
      </c>
      <c r="F143" s="84" t="str">
        <f>_xlfn.XLOOKUP(B143,'🛡️ SEGUROS'!A:A,'🛡️ SEGUROS'!C:C,"")</f>
        <v>0531 49 8551463</v>
      </c>
      <c r="G143" s="63">
        <v>46006</v>
      </c>
      <c r="H143" s="157">
        <f>3497.19/10+0.01</f>
        <v>349.72899999999998</v>
      </c>
      <c r="I143" s="62">
        <v>4</v>
      </c>
      <c r="J143" s="62">
        <v>10</v>
      </c>
      <c r="K143" s="77" t="s">
        <v>522</v>
      </c>
    </row>
    <row r="144" spans="1:11" ht="18" customHeight="1" x14ac:dyDescent="0.25">
      <c r="A144" s="85">
        <v>143</v>
      </c>
      <c r="B144" s="59">
        <v>10</v>
      </c>
      <c r="C144" s="59">
        <v>1</v>
      </c>
      <c r="D144" s="59">
        <v>47</v>
      </c>
      <c r="E144" s="85" t="str">
        <f>_xlfn.XLOOKUP(D144,'🚛 FROTA'!A:A,'🚛 FROTA'!B:B,"")</f>
        <v>CUG4B86</v>
      </c>
      <c r="F144" s="85" t="str">
        <f>_xlfn.XLOOKUP(B144,'🛡️ SEGUROS'!A:A,'🛡️ SEGUROS'!C:C,"")</f>
        <v>0531 49 8551463</v>
      </c>
      <c r="G144" s="60">
        <v>46006</v>
      </c>
      <c r="H144" s="156">
        <f>3783.48/10</f>
        <v>378.34800000000001</v>
      </c>
      <c r="I144" s="59">
        <v>4</v>
      </c>
      <c r="J144" s="59">
        <v>10</v>
      </c>
      <c r="K144" s="77" t="s">
        <v>522</v>
      </c>
    </row>
    <row r="145" spans="1:11" ht="18" customHeight="1" x14ac:dyDescent="0.25">
      <c r="A145" s="84">
        <v>144</v>
      </c>
      <c r="B145" s="62">
        <v>8</v>
      </c>
      <c r="C145" s="62">
        <v>1</v>
      </c>
      <c r="D145" s="62">
        <v>42</v>
      </c>
      <c r="E145" s="84" t="str">
        <f>_xlfn.XLOOKUP(D145,'🚛 FROTA'!A:A,'🚛 FROTA'!B:B,"")</f>
        <v>BSX5H07</v>
      </c>
      <c r="F145" s="84" t="str">
        <f>_xlfn.XLOOKUP(B145,'🛡️ SEGUROS'!A:A,'🛡️ SEGUROS'!C:C,"")</f>
        <v>0531 49 8359988</v>
      </c>
      <c r="G145" s="63">
        <v>46011</v>
      </c>
      <c r="H145" s="157">
        <f>873.76/2</f>
        <v>436.88</v>
      </c>
      <c r="I145" s="62">
        <v>7</v>
      </c>
      <c r="J145" s="62">
        <v>10</v>
      </c>
      <c r="K145" s="77" t="s">
        <v>522</v>
      </c>
    </row>
    <row r="146" spans="1:11" ht="18" customHeight="1" x14ac:dyDescent="0.25">
      <c r="A146" s="85">
        <v>145</v>
      </c>
      <c r="B146" s="59">
        <v>8</v>
      </c>
      <c r="C146" s="59">
        <v>1</v>
      </c>
      <c r="D146" s="59">
        <v>43</v>
      </c>
      <c r="E146" s="85" t="str">
        <f>_xlfn.XLOOKUP(D146,'🚛 FROTA'!A:A,'🚛 FROTA'!B:B,"")</f>
        <v>CSU3F94</v>
      </c>
      <c r="F146" s="85" t="str">
        <f>_xlfn.XLOOKUP(B146,'🛡️ SEGUROS'!A:A,'🛡️ SEGUROS'!C:C,"")</f>
        <v>0531 49 8359988</v>
      </c>
      <c r="G146" s="60">
        <v>46011</v>
      </c>
      <c r="H146" s="156">
        <f>873.76/2</f>
        <v>436.88</v>
      </c>
      <c r="I146" s="59">
        <v>7</v>
      </c>
      <c r="J146" s="59">
        <v>10</v>
      </c>
      <c r="K146" s="77" t="s">
        <v>522</v>
      </c>
    </row>
    <row r="147" spans="1:11" ht="18" customHeight="1" x14ac:dyDescent="0.25">
      <c r="A147" s="84">
        <v>146</v>
      </c>
      <c r="B147" s="62">
        <v>11</v>
      </c>
      <c r="C147" s="62">
        <v>1</v>
      </c>
      <c r="D147" s="62">
        <v>20</v>
      </c>
      <c r="E147" s="84" t="str">
        <f>_xlfn.XLOOKUP(D147,'🚛 FROTA'!A:A,'🚛 FROTA'!B:B,"")</f>
        <v>MAX4116</v>
      </c>
      <c r="F147" s="84" t="str">
        <f>_xlfn.XLOOKUP(B147,'🛡️ SEGUROS'!A:A,'🛡️ SEGUROS'!C:C,"")</f>
        <v>171 49 24008647</v>
      </c>
      <c r="G147" s="63">
        <v>46013</v>
      </c>
      <c r="H147" s="157">
        <f>16428.7/6</f>
        <v>2738.1166666666668</v>
      </c>
      <c r="I147" s="62">
        <v>4</v>
      </c>
      <c r="J147" s="62">
        <v>6</v>
      </c>
      <c r="K147" s="77" t="s">
        <v>522</v>
      </c>
    </row>
    <row r="148" spans="1:11" ht="18" customHeight="1" x14ac:dyDescent="0.25">
      <c r="A148" s="85">
        <v>147</v>
      </c>
      <c r="B148" s="59">
        <v>10</v>
      </c>
      <c r="C148" s="59">
        <v>1</v>
      </c>
      <c r="D148" s="59">
        <v>6</v>
      </c>
      <c r="E148" s="85" t="str">
        <f>_xlfn.XLOOKUP(D148,'🚛 FROTA'!A:A,'🚛 FROTA'!B:B,"")</f>
        <v>EVF8I83</v>
      </c>
      <c r="F148" s="85" t="str">
        <f>_xlfn.XLOOKUP(B148,'🛡️ SEGUROS'!A:A,'🛡️ SEGUROS'!C:C,"")</f>
        <v>0531 49 8551463</v>
      </c>
      <c r="G148" s="60">
        <v>46037</v>
      </c>
      <c r="H148" s="156">
        <f>3621.8/10+0.01</f>
        <v>362.19</v>
      </c>
      <c r="I148" s="59">
        <v>5</v>
      </c>
      <c r="J148" s="59">
        <v>10</v>
      </c>
      <c r="K148" s="77" t="s">
        <v>522</v>
      </c>
    </row>
    <row r="149" spans="1:11" ht="18" customHeight="1" x14ac:dyDescent="0.25">
      <c r="A149" s="84">
        <v>148</v>
      </c>
      <c r="B149" s="62">
        <v>10</v>
      </c>
      <c r="C149" s="62">
        <v>1</v>
      </c>
      <c r="D149" s="62">
        <v>24</v>
      </c>
      <c r="E149" s="84" t="str">
        <f>_xlfn.XLOOKUP(D149,'🚛 FROTA'!A:A,'🚛 FROTA'!B:B,"")</f>
        <v>DYG5G03</v>
      </c>
      <c r="F149" s="84" t="str">
        <f>_xlfn.XLOOKUP(B149,'🛡️ SEGUROS'!A:A,'🛡️ SEGUROS'!C:C,"")</f>
        <v>0531 49 8551463</v>
      </c>
      <c r="G149" s="63">
        <v>46037</v>
      </c>
      <c r="H149" s="149">
        <f>3628.27/10+0.01</f>
        <v>362.83699999999999</v>
      </c>
      <c r="I149" s="62">
        <v>5</v>
      </c>
      <c r="J149" s="62">
        <v>10</v>
      </c>
      <c r="K149" s="77" t="s">
        <v>522</v>
      </c>
    </row>
    <row r="150" spans="1:11" ht="18" customHeight="1" x14ac:dyDescent="0.25">
      <c r="A150" s="85">
        <v>149</v>
      </c>
      <c r="B150" s="59">
        <v>10</v>
      </c>
      <c r="C150" s="59">
        <v>1</v>
      </c>
      <c r="D150" s="59">
        <v>34</v>
      </c>
      <c r="E150" s="85" t="str">
        <f>_xlfn.XLOOKUP(D150,'🚛 FROTA'!A:A,'🚛 FROTA'!B:B,"")</f>
        <v>EXW7D65</v>
      </c>
      <c r="F150" s="85" t="str">
        <f>_xlfn.XLOOKUP(B150,'🛡️ SEGUROS'!A:A,'🛡️ SEGUROS'!C:C,"")</f>
        <v>0531 49 8551463</v>
      </c>
      <c r="G150" s="60">
        <v>46037</v>
      </c>
      <c r="H150" s="156">
        <f>3497.19/10+0.01</f>
        <v>349.72899999999998</v>
      </c>
      <c r="I150" s="59">
        <v>5</v>
      </c>
      <c r="J150" s="59">
        <v>10</v>
      </c>
      <c r="K150" s="77" t="s">
        <v>522</v>
      </c>
    </row>
    <row r="151" spans="1:11" ht="18" customHeight="1" x14ac:dyDescent="0.25">
      <c r="A151" s="84">
        <v>150</v>
      </c>
      <c r="B151" s="62">
        <v>10</v>
      </c>
      <c r="C151" s="62">
        <v>1</v>
      </c>
      <c r="D151" s="62">
        <v>39</v>
      </c>
      <c r="E151" s="84" t="str">
        <f>_xlfn.XLOOKUP(D151,'🚛 FROTA'!A:A,'🚛 FROTA'!B:B,"")</f>
        <v>EJX0I24</v>
      </c>
      <c r="F151" s="84" t="str">
        <f>_xlfn.XLOOKUP(B151,'🛡️ SEGUROS'!A:A,'🛡️ SEGUROS'!C:C,"")</f>
        <v>0531 49 8551463</v>
      </c>
      <c r="G151" s="63">
        <v>46037</v>
      </c>
      <c r="H151" s="157">
        <f>3497.19/10+0.01</f>
        <v>349.72899999999998</v>
      </c>
      <c r="I151" s="62">
        <v>5</v>
      </c>
      <c r="J151" s="62">
        <v>10</v>
      </c>
      <c r="K151" s="77" t="s">
        <v>522</v>
      </c>
    </row>
    <row r="152" spans="1:11" ht="18" customHeight="1" x14ac:dyDescent="0.25">
      <c r="A152" s="85">
        <v>151</v>
      </c>
      <c r="B152" s="59">
        <v>10</v>
      </c>
      <c r="C152" s="59">
        <v>1</v>
      </c>
      <c r="D152" s="59">
        <v>46</v>
      </c>
      <c r="E152" s="85" t="str">
        <f>_xlfn.XLOOKUP(D152,'🚛 FROTA'!A:A,'🚛 FROTA'!B:B,"")</f>
        <v>CCU5G26</v>
      </c>
      <c r="F152" s="85" t="str">
        <f>_xlfn.XLOOKUP(B152,'🛡️ SEGUROS'!A:A,'🛡️ SEGUROS'!C:C,"")</f>
        <v>0531 49 8551463</v>
      </c>
      <c r="G152" s="60">
        <v>46037</v>
      </c>
      <c r="H152" s="156">
        <f>3497.19/10+0.01</f>
        <v>349.72899999999998</v>
      </c>
      <c r="I152" s="59">
        <v>5</v>
      </c>
      <c r="J152" s="59">
        <v>10</v>
      </c>
      <c r="K152" s="77" t="s">
        <v>522</v>
      </c>
    </row>
    <row r="153" spans="1:11" ht="18" customHeight="1" x14ac:dyDescent="0.25">
      <c r="A153" s="84">
        <v>152</v>
      </c>
      <c r="B153" s="62">
        <v>10</v>
      </c>
      <c r="C153" s="62">
        <v>1</v>
      </c>
      <c r="D153" s="62">
        <v>47</v>
      </c>
      <c r="E153" s="84" t="str">
        <f>_xlfn.XLOOKUP(D153,'🚛 FROTA'!A:A,'🚛 FROTA'!B:B,"")</f>
        <v>CUG4B86</v>
      </c>
      <c r="F153" s="84" t="str">
        <f>_xlfn.XLOOKUP(B153,'🛡️ SEGUROS'!A:A,'🛡️ SEGUROS'!C:C,"")</f>
        <v>0531 49 8551463</v>
      </c>
      <c r="G153" s="63">
        <v>46037</v>
      </c>
      <c r="H153" s="157">
        <f>3783.48/10</f>
        <v>378.34800000000001</v>
      </c>
      <c r="I153" s="62">
        <v>5</v>
      </c>
      <c r="J153" s="62">
        <v>10</v>
      </c>
      <c r="K153" s="77" t="s">
        <v>522</v>
      </c>
    </row>
    <row r="154" spans="1:11" ht="18" customHeight="1" x14ac:dyDescent="0.25">
      <c r="A154" s="85">
        <v>153</v>
      </c>
      <c r="B154" s="59">
        <v>8</v>
      </c>
      <c r="C154" s="59">
        <v>1</v>
      </c>
      <c r="D154" s="59">
        <v>42</v>
      </c>
      <c r="E154" s="85" t="str">
        <f>_xlfn.XLOOKUP(D154,'🚛 FROTA'!A:A,'🚛 FROTA'!B:B,"")</f>
        <v>BSX5H07</v>
      </c>
      <c r="F154" s="85" t="str">
        <f>_xlfn.XLOOKUP(B154,'🛡️ SEGUROS'!A:A,'🛡️ SEGUROS'!C:C,"")</f>
        <v>0531 49 8359988</v>
      </c>
      <c r="G154" s="60">
        <v>46042</v>
      </c>
      <c r="H154" s="156">
        <f>873.76/2</f>
        <v>436.88</v>
      </c>
      <c r="I154" s="59">
        <v>8</v>
      </c>
      <c r="J154" s="59">
        <v>10</v>
      </c>
      <c r="K154" s="77" t="s">
        <v>522</v>
      </c>
    </row>
    <row r="155" spans="1:11" ht="18" customHeight="1" x14ac:dyDescent="0.25">
      <c r="A155" s="84">
        <v>154</v>
      </c>
      <c r="B155" s="62">
        <v>8</v>
      </c>
      <c r="C155" s="62">
        <v>1</v>
      </c>
      <c r="D155" s="62">
        <v>43</v>
      </c>
      <c r="E155" s="84" t="str">
        <f>_xlfn.XLOOKUP(D155,'🚛 FROTA'!A:A,'🚛 FROTA'!B:B,"")</f>
        <v>CSU3F94</v>
      </c>
      <c r="F155" s="84" t="str">
        <f>_xlfn.XLOOKUP(B155,'🛡️ SEGUROS'!A:A,'🛡️ SEGUROS'!C:C,"")</f>
        <v>0531 49 8359988</v>
      </c>
      <c r="G155" s="63">
        <v>46042</v>
      </c>
      <c r="H155" s="157">
        <f>873.76/2</f>
        <v>436.88</v>
      </c>
      <c r="I155" s="62">
        <v>8</v>
      </c>
      <c r="J155" s="62">
        <v>10</v>
      </c>
      <c r="K155" s="77" t="s">
        <v>522</v>
      </c>
    </row>
    <row r="156" spans="1:11" ht="18" customHeight="1" x14ac:dyDescent="0.25">
      <c r="A156" s="85">
        <v>155</v>
      </c>
      <c r="B156" s="59">
        <v>11</v>
      </c>
      <c r="C156" s="59">
        <v>1</v>
      </c>
      <c r="D156" s="59">
        <v>20</v>
      </c>
      <c r="E156" s="85" t="str">
        <f>_xlfn.XLOOKUP(D156,'🚛 FROTA'!A:A,'🚛 FROTA'!B:B,"")</f>
        <v>MAX4116</v>
      </c>
      <c r="F156" s="85" t="str">
        <f>_xlfn.XLOOKUP(B156,'🛡️ SEGUROS'!A:A,'🛡️ SEGUROS'!C:C,"")</f>
        <v>171 49 24008647</v>
      </c>
      <c r="G156" s="60">
        <v>46044</v>
      </c>
      <c r="H156" s="156">
        <f>16428.7/6</f>
        <v>2738.1166666666668</v>
      </c>
      <c r="I156" s="59">
        <v>5</v>
      </c>
      <c r="J156" s="59">
        <v>6</v>
      </c>
      <c r="K156" s="77" t="s">
        <v>522</v>
      </c>
    </row>
    <row r="157" spans="1:11" ht="18" customHeight="1" x14ac:dyDescent="0.25">
      <c r="A157" s="84">
        <v>156</v>
      </c>
      <c r="B157" s="62">
        <v>10</v>
      </c>
      <c r="C157" s="62">
        <v>1</v>
      </c>
      <c r="D157" s="62">
        <v>6</v>
      </c>
      <c r="E157" s="84" t="str">
        <f>_xlfn.XLOOKUP(D157,'🚛 FROTA'!A:A,'🚛 FROTA'!B:B,"")</f>
        <v>EVF8I83</v>
      </c>
      <c r="F157" s="84" t="str">
        <f>_xlfn.XLOOKUP(B157,'🛡️ SEGUROS'!A:A,'🛡️ SEGUROS'!C:C,"")</f>
        <v>0531 49 8551463</v>
      </c>
      <c r="G157" s="63">
        <v>46068</v>
      </c>
      <c r="H157" s="157">
        <f>3621.8/10+0.01</f>
        <v>362.19</v>
      </c>
      <c r="I157" s="62">
        <v>6</v>
      </c>
      <c r="J157" s="62">
        <v>10</v>
      </c>
      <c r="K157" s="77" t="s">
        <v>522</v>
      </c>
    </row>
    <row r="158" spans="1:11" ht="18" customHeight="1" x14ac:dyDescent="0.25">
      <c r="A158" s="85">
        <v>157</v>
      </c>
      <c r="B158" s="59">
        <v>10</v>
      </c>
      <c r="C158" s="59">
        <v>1</v>
      </c>
      <c r="D158" s="59">
        <v>24</v>
      </c>
      <c r="E158" s="85" t="str">
        <f>_xlfn.XLOOKUP(D158,'🚛 FROTA'!A:A,'🚛 FROTA'!B:B,"")</f>
        <v>DYG5G03</v>
      </c>
      <c r="F158" s="85" t="str">
        <f>_xlfn.XLOOKUP(B158,'🛡️ SEGUROS'!A:A,'🛡️ SEGUROS'!C:C,"")</f>
        <v>0531 49 8551463</v>
      </c>
      <c r="G158" s="60">
        <v>46068</v>
      </c>
      <c r="H158" s="164">
        <f>3628.27/10+0.01</f>
        <v>362.83699999999999</v>
      </c>
      <c r="I158" s="59">
        <v>6</v>
      </c>
      <c r="J158" s="59">
        <v>10</v>
      </c>
      <c r="K158" s="77" t="s">
        <v>522</v>
      </c>
    </row>
    <row r="159" spans="1:11" ht="18" customHeight="1" x14ac:dyDescent="0.25">
      <c r="A159" s="84">
        <v>158</v>
      </c>
      <c r="B159" s="62">
        <v>10</v>
      </c>
      <c r="C159" s="62">
        <v>1</v>
      </c>
      <c r="D159" s="62">
        <v>34</v>
      </c>
      <c r="E159" s="84" t="str">
        <f>_xlfn.XLOOKUP(D159,'🚛 FROTA'!A:A,'🚛 FROTA'!B:B,"")</f>
        <v>EXW7D65</v>
      </c>
      <c r="F159" s="84" t="str">
        <f>_xlfn.XLOOKUP(B159,'🛡️ SEGUROS'!A:A,'🛡️ SEGUROS'!C:C,"")</f>
        <v>0531 49 8551463</v>
      </c>
      <c r="G159" s="63">
        <v>46068</v>
      </c>
      <c r="H159" s="157">
        <f>3497.19/10+0.01</f>
        <v>349.72899999999998</v>
      </c>
      <c r="I159" s="62">
        <v>6</v>
      </c>
      <c r="J159" s="62">
        <v>10</v>
      </c>
      <c r="K159" s="77" t="s">
        <v>522</v>
      </c>
    </row>
    <row r="160" spans="1:11" ht="18" customHeight="1" x14ac:dyDescent="0.25">
      <c r="A160" s="85">
        <v>159</v>
      </c>
      <c r="B160" s="59">
        <v>10</v>
      </c>
      <c r="C160" s="59">
        <v>1</v>
      </c>
      <c r="D160" s="59">
        <v>39</v>
      </c>
      <c r="E160" s="85" t="str">
        <f>_xlfn.XLOOKUP(D160,'🚛 FROTA'!A:A,'🚛 FROTA'!B:B,"")</f>
        <v>EJX0I24</v>
      </c>
      <c r="F160" s="85" t="str">
        <f>_xlfn.XLOOKUP(B160,'🛡️ SEGUROS'!A:A,'🛡️ SEGUROS'!C:C,"")</f>
        <v>0531 49 8551463</v>
      </c>
      <c r="G160" s="60">
        <v>46068</v>
      </c>
      <c r="H160" s="156">
        <f>3497.19/10+0.01</f>
        <v>349.72899999999998</v>
      </c>
      <c r="I160" s="59">
        <v>6</v>
      </c>
      <c r="J160" s="59">
        <v>10</v>
      </c>
      <c r="K160" s="77" t="s">
        <v>522</v>
      </c>
    </row>
    <row r="161" spans="1:11" ht="18" customHeight="1" x14ac:dyDescent="0.25">
      <c r="A161" s="84">
        <v>160</v>
      </c>
      <c r="B161" s="62">
        <v>10</v>
      </c>
      <c r="C161" s="62">
        <v>1</v>
      </c>
      <c r="D161" s="62">
        <v>46</v>
      </c>
      <c r="E161" s="84" t="str">
        <f>_xlfn.XLOOKUP(D161,'🚛 FROTA'!A:A,'🚛 FROTA'!B:B,"")</f>
        <v>CCU5G26</v>
      </c>
      <c r="F161" s="84" t="str">
        <f>_xlfn.XLOOKUP(B161,'🛡️ SEGUROS'!A:A,'🛡️ SEGUROS'!C:C,"")</f>
        <v>0531 49 8551463</v>
      </c>
      <c r="G161" s="63">
        <v>46068</v>
      </c>
      <c r="H161" s="157">
        <f>3497.19/10+0.01</f>
        <v>349.72899999999998</v>
      </c>
      <c r="I161" s="62">
        <v>6</v>
      </c>
      <c r="J161" s="62">
        <v>10</v>
      </c>
      <c r="K161" s="77" t="s">
        <v>522</v>
      </c>
    </row>
    <row r="162" spans="1:11" ht="18" customHeight="1" x14ac:dyDescent="0.25">
      <c r="A162" s="85">
        <v>161</v>
      </c>
      <c r="B162" s="59">
        <v>10</v>
      </c>
      <c r="C162" s="59">
        <v>1</v>
      </c>
      <c r="D162" s="59">
        <v>47</v>
      </c>
      <c r="E162" s="85" t="str">
        <f>_xlfn.XLOOKUP(D162,'🚛 FROTA'!A:A,'🚛 FROTA'!B:B,"")</f>
        <v>CUG4B86</v>
      </c>
      <c r="F162" s="85" t="str">
        <f>_xlfn.XLOOKUP(B162,'🛡️ SEGUROS'!A:A,'🛡️ SEGUROS'!C:C,"")</f>
        <v>0531 49 8551463</v>
      </c>
      <c r="G162" s="60">
        <v>46068</v>
      </c>
      <c r="H162" s="156">
        <f>3783.48/10</f>
        <v>378.34800000000001</v>
      </c>
      <c r="I162" s="59">
        <v>6</v>
      </c>
      <c r="J162" s="59">
        <v>10</v>
      </c>
      <c r="K162" s="77" t="s">
        <v>522</v>
      </c>
    </row>
    <row r="163" spans="1:11" ht="18" customHeight="1" x14ac:dyDescent="0.25">
      <c r="A163" s="84">
        <v>162</v>
      </c>
      <c r="B163" s="62">
        <v>8</v>
      </c>
      <c r="C163" s="62">
        <v>1</v>
      </c>
      <c r="D163" s="62">
        <v>42</v>
      </c>
      <c r="E163" s="84" t="str">
        <f>_xlfn.XLOOKUP(D163,'🚛 FROTA'!A:A,'🚛 FROTA'!B:B,"")</f>
        <v>BSX5H07</v>
      </c>
      <c r="F163" s="84" t="str">
        <f>_xlfn.XLOOKUP(B163,'🛡️ SEGUROS'!A:A,'🛡️ SEGUROS'!C:C,"")</f>
        <v>0531 49 8359988</v>
      </c>
      <c r="G163" s="63">
        <v>46073</v>
      </c>
      <c r="H163" s="157">
        <f>873.76/2</f>
        <v>436.88</v>
      </c>
      <c r="I163" s="62">
        <v>9</v>
      </c>
      <c r="J163" s="62">
        <v>10</v>
      </c>
      <c r="K163" s="77" t="s">
        <v>522</v>
      </c>
    </row>
    <row r="164" spans="1:11" ht="18" customHeight="1" x14ac:dyDescent="0.25">
      <c r="A164" s="85">
        <v>163</v>
      </c>
      <c r="B164" s="59">
        <v>8</v>
      </c>
      <c r="C164" s="59">
        <v>1</v>
      </c>
      <c r="D164" s="59">
        <v>43</v>
      </c>
      <c r="E164" s="85" t="str">
        <f>_xlfn.XLOOKUP(D164,'🚛 FROTA'!A:A,'🚛 FROTA'!B:B,"")</f>
        <v>CSU3F94</v>
      </c>
      <c r="F164" s="85" t="str">
        <f>_xlfn.XLOOKUP(B164,'🛡️ SEGUROS'!A:A,'🛡️ SEGUROS'!C:C,"")</f>
        <v>0531 49 8359988</v>
      </c>
      <c r="G164" s="60">
        <v>46073</v>
      </c>
      <c r="H164" s="156">
        <f>873.76/2</f>
        <v>436.88</v>
      </c>
      <c r="I164" s="59">
        <v>9</v>
      </c>
      <c r="J164" s="59">
        <v>10</v>
      </c>
      <c r="K164" s="77" t="s">
        <v>522</v>
      </c>
    </row>
    <row r="165" spans="1:11" ht="18" customHeight="1" x14ac:dyDescent="0.25">
      <c r="A165" s="84">
        <v>164</v>
      </c>
      <c r="B165" s="62">
        <v>11</v>
      </c>
      <c r="C165" s="62">
        <v>1</v>
      </c>
      <c r="D165" s="62">
        <v>20</v>
      </c>
      <c r="E165" s="84" t="str">
        <f>_xlfn.XLOOKUP(D165,'🚛 FROTA'!A:A,'🚛 FROTA'!B:B,"")</f>
        <v>MAX4116</v>
      </c>
      <c r="F165" s="84" t="str">
        <f>_xlfn.XLOOKUP(B165,'🛡️ SEGUROS'!A:A,'🛡️ SEGUROS'!C:C,"")</f>
        <v>171 49 24008647</v>
      </c>
      <c r="G165" s="63">
        <v>46075</v>
      </c>
      <c r="H165" s="157">
        <f>16428.7/6</f>
        <v>2738.1166666666668</v>
      </c>
      <c r="I165" s="62">
        <v>6</v>
      </c>
      <c r="J165" s="62">
        <v>6</v>
      </c>
      <c r="K165" s="88" t="s">
        <v>446</v>
      </c>
    </row>
    <row r="166" spans="1:11" ht="18" customHeight="1" x14ac:dyDescent="0.25">
      <c r="A166" s="85">
        <v>165</v>
      </c>
      <c r="B166" s="59">
        <v>10</v>
      </c>
      <c r="C166" s="59">
        <v>1</v>
      </c>
      <c r="D166" s="59">
        <v>6</v>
      </c>
      <c r="E166" s="85" t="str">
        <f>_xlfn.XLOOKUP(D166,'🚛 FROTA'!A:A,'🚛 FROTA'!B:B,"")</f>
        <v>EVF8I83</v>
      </c>
      <c r="F166" s="85" t="str">
        <f>_xlfn.XLOOKUP(B166,'🛡️ SEGUROS'!A:A,'🛡️ SEGUROS'!C:C,"")</f>
        <v>0531 49 8551463</v>
      </c>
      <c r="G166" s="60">
        <v>46096</v>
      </c>
      <c r="H166" s="156">
        <f>3621.8/10+0.01</f>
        <v>362.19</v>
      </c>
      <c r="I166" s="59">
        <v>7</v>
      </c>
      <c r="J166" s="59">
        <v>10</v>
      </c>
      <c r="K166" s="77" t="s">
        <v>522</v>
      </c>
    </row>
    <row r="167" spans="1:11" ht="18" customHeight="1" x14ac:dyDescent="0.25">
      <c r="A167" s="84">
        <v>166</v>
      </c>
      <c r="B167" s="62">
        <v>10</v>
      </c>
      <c r="C167" s="62">
        <v>1</v>
      </c>
      <c r="D167" s="62">
        <v>24</v>
      </c>
      <c r="E167" s="84" t="str">
        <f>_xlfn.XLOOKUP(D167,'🚛 FROTA'!A:A,'🚛 FROTA'!B:B,"")</f>
        <v>DYG5G03</v>
      </c>
      <c r="F167" s="84" t="str">
        <f>_xlfn.XLOOKUP(B167,'🛡️ SEGUROS'!A:A,'🛡️ SEGUROS'!C:C,"")</f>
        <v>0531 49 8551463</v>
      </c>
      <c r="G167" s="63">
        <v>46096</v>
      </c>
      <c r="H167" s="149">
        <f>3628.27/10+0.01</f>
        <v>362.83699999999999</v>
      </c>
      <c r="I167" s="62">
        <v>7</v>
      </c>
      <c r="J167" s="62">
        <v>10</v>
      </c>
      <c r="K167" s="77" t="s">
        <v>522</v>
      </c>
    </row>
    <row r="168" spans="1:11" ht="18" customHeight="1" x14ac:dyDescent="0.25">
      <c r="A168" s="85">
        <v>167</v>
      </c>
      <c r="B168" s="59">
        <v>10</v>
      </c>
      <c r="C168" s="59">
        <v>1</v>
      </c>
      <c r="D168" s="59">
        <v>34</v>
      </c>
      <c r="E168" s="85" t="str">
        <f>_xlfn.XLOOKUP(D168,'🚛 FROTA'!A:A,'🚛 FROTA'!B:B,"")</f>
        <v>EXW7D65</v>
      </c>
      <c r="F168" s="85" t="str">
        <f>_xlfn.XLOOKUP(B168,'🛡️ SEGUROS'!A:A,'🛡️ SEGUROS'!C:C,"")</f>
        <v>0531 49 8551463</v>
      </c>
      <c r="G168" s="60">
        <v>46096</v>
      </c>
      <c r="H168" s="156">
        <f>3497.19/10+0.01</f>
        <v>349.72899999999998</v>
      </c>
      <c r="I168" s="59">
        <v>7</v>
      </c>
      <c r="J168" s="59">
        <v>10</v>
      </c>
      <c r="K168" s="77" t="s">
        <v>522</v>
      </c>
    </row>
    <row r="169" spans="1:11" ht="18" customHeight="1" x14ac:dyDescent="0.25">
      <c r="A169" s="84">
        <v>168</v>
      </c>
      <c r="B169" s="62">
        <v>10</v>
      </c>
      <c r="C169" s="62">
        <v>1</v>
      </c>
      <c r="D169" s="62">
        <v>39</v>
      </c>
      <c r="E169" s="84" t="str">
        <f>_xlfn.XLOOKUP(D169,'🚛 FROTA'!A:A,'🚛 FROTA'!B:B,"")</f>
        <v>EJX0I24</v>
      </c>
      <c r="F169" s="84" t="str">
        <f>_xlfn.XLOOKUP(B169,'🛡️ SEGUROS'!A:A,'🛡️ SEGUROS'!C:C,"")</f>
        <v>0531 49 8551463</v>
      </c>
      <c r="G169" s="63">
        <v>46096</v>
      </c>
      <c r="H169" s="157">
        <f>3497.19/10+0.01</f>
        <v>349.72899999999998</v>
      </c>
      <c r="I169" s="62">
        <v>7</v>
      </c>
      <c r="J169" s="62">
        <v>10</v>
      </c>
      <c r="K169" s="77" t="s">
        <v>522</v>
      </c>
    </row>
    <row r="170" spans="1:11" ht="18" customHeight="1" x14ac:dyDescent="0.25">
      <c r="A170" s="85">
        <v>169</v>
      </c>
      <c r="B170" s="59">
        <v>10</v>
      </c>
      <c r="C170" s="59">
        <v>1</v>
      </c>
      <c r="D170" s="59">
        <v>46</v>
      </c>
      <c r="E170" s="85" t="str">
        <f>_xlfn.XLOOKUP(D170,'🚛 FROTA'!A:A,'🚛 FROTA'!B:B,"")</f>
        <v>CCU5G26</v>
      </c>
      <c r="F170" s="85" t="str">
        <f>_xlfn.XLOOKUP(B170,'🛡️ SEGUROS'!A:A,'🛡️ SEGUROS'!C:C,"")</f>
        <v>0531 49 8551463</v>
      </c>
      <c r="G170" s="60">
        <v>46096</v>
      </c>
      <c r="H170" s="156">
        <f>3497.19/10+0.01</f>
        <v>349.72899999999998</v>
      </c>
      <c r="I170" s="59">
        <v>7</v>
      </c>
      <c r="J170" s="59">
        <v>10</v>
      </c>
      <c r="K170" s="77" t="s">
        <v>522</v>
      </c>
    </row>
    <row r="171" spans="1:11" ht="18" customHeight="1" x14ac:dyDescent="0.25">
      <c r="A171" s="84">
        <v>170</v>
      </c>
      <c r="B171" s="62">
        <v>10</v>
      </c>
      <c r="C171" s="62">
        <v>1</v>
      </c>
      <c r="D171" s="62">
        <v>47</v>
      </c>
      <c r="E171" s="84" t="str">
        <f>_xlfn.XLOOKUP(D171,'🚛 FROTA'!A:A,'🚛 FROTA'!B:B,"")</f>
        <v>CUG4B86</v>
      </c>
      <c r="F171" s="84" t="str">
        <f>_xlfn.XLOOKUP(B171,'🛡️ SEGUROS'!A:A,'🛡️ SEGUROS'!C:C,"")</f>
        <v>0531 49 8551463</v>
      </c>
      <c r="G171" s="63">
        <v>46096</v>
      </c>
      <c r="H171" s="157">
        <f>3783.48/10</f>
        <v>378.34800000000001</v>
      </c>
      <c r="I171" s="62">
        <v>7</v>
      </c>
      <c r="J171" s="62">
        <v>10</v>
      </c>
      <c r="K171" s="77" t="s">
        <v>522</v>
      </c>
    </row>
    <row r="172" spans="1:11" ht="18" customHeight="1" x14ac:dyDescent="0.25">
      <c r="A172" s="85">
        <v>171</v>
      </c>
      <c r="B172" s="59">
        <v>8</v>
      </c>
      <c r="C172" s="59">
        <v>1</v>
      </c>
      <c r="D172" s="59">
        <v>42</v>
      </c>
      <c r="E172" s="85" t="str">
        <f>_xlfn.XLOOKUP(D172,'🚛 FROTA'!A:A,'🚛 FROTA'!B:B,"")</f>
        <v>BSX5H07</v>
      </c>
      <c r="F172" s="85" t="str">
        <f>_xlfn.XLOOKUP(B172,'🛡️ SEGUROS'!A:A,'🛡️ SEGUROS'!C:C,"")</f>
        <v>0531 49 8359988</v>
      </c>
      <c r="G172" s="60">
        <v>46101</v>
      </c>
      <c r="H172" s="156">
        <f>873.86/2</f>
        <v>436.93</v>
      </c>
      <c r="I172" s="59">
        <v>10</v>
      </c>
      <c r="J172" s="59">
        <v>10</v>
      </c>
      <c r="K172" s="77" t="s">
        <v>522</v>
      </c>
    </row>
    <row r="173" spans="1:11" ht="18" customHeight="1" x14ac:dyDescent="0.25">
      <c r="A173" s="84">
        <v>172</v>
      </c>
      <c r="B173" s="62">
        <v>8</v>
      </c>
      <c r="C173" s="62">
        <v>1</v>
      </c>
      <c r="D173" s="62">
        <v>43</v>
      </c>
      <c r="E173" s="84" t="str">
        <f>_xlfn.XLOOKUP(D173,'🚛 FROTA'!A:A,'🚛 FROTA'!B:B,"")</f>
        <v>CSU3F94</v>
      </c>
      <c r="F173" s="84" t="str">
        <f>_xlfn.XLOOKUP(B173,'🛡️ SEGUROS'!A:A,'🛡️ SEGUROS'!C:C,"")</f>
        <v>0531 49 8359988</v>
      </c>
      <c r="G173" s="63">
        <v>46101</v>
      </c>
      <c r="H173" s="157">
        <f>873.86/2</f>
        <v>436.93</v>
      </c>
      <c r="I173" s="62">
        <v>10</v>
      </c>
      <c r="J173" s="62">
        <v>10</v>
      </c>
      <c r="K173" s="77" t="s">
        <v>522</v>
      </c>
    </row>
    <row r="174" spans="1:11" ht="18" customHeight="1" x14ac:dyDescent="0.25">
      <c r="A174" s="85">
        <v>173</v>
      </c>
      <c r="B174" s="59">
        <v>10</v>
      </c>
      <c r="C174" s="59">
        <v>1</v>
      </c>
      <c r="D174" s="59">
        <v>6</v>
      </c>
      <c r="E174" s="85" t="str">
        <f>_xlfn.XLOOKUP(D174,'🚛 FROTA'!A:A,'🚛 FROTA'!B:B,"")</f>
        <v>EVF8I83</v>
      </c>
      <c r="F174" s="85" t="str">
        <f>_xlfn.XLOOKUP(B174,'🛡️ SEGUROS'!A:A,'🛡️ SEGUROS'!C:C,"")</f>
        <v>0531 49 8551463</v>
      </c>
      <c r="G174" s="60">
        <v>46127</v>
      </c>
      <c r="H174" s="156">
        <f>3621.8/10+0.01</f>
        <v>362.19</v>
      </c>
      <c r="I174" s="59">
        <v>8</v>
      </c>
      <c r="J174" s="59">
        <v>10</v>
      </c>
      <c r="K174" s="88" t="s">
        <v>446</v>
      </c>
    </row>
    <row r="175" spans="1:11" ht="18" customHeight="1" x14ac:dyDescent="0.25">
      <c r="A175" s="84">
        <v>174</v>
      </c>
      <c r="B175" s="62">
        <v>10</v>
      </c>
      <c r="C175" s="62">
        <v>1</v>
      </c>
      <c r="D175" s="62">
        <v>24</v>
      </c>
      <c r="E175" s="84" t="str">
        <f>_xlfn.XLOOKUP(D175,'🚛 FROTA'!A:A,'🚛 FROTA'!B:B,"")</f>
        <v>DYG5G03</v>
      </c>
      <c r="F175" s="84" t="str">
        <f>_xlfn.XLOOKUP(B175,'🛡️ SEGUROS'!A:A,'🛡️ SEGUROS'!C:C,"")</f>
        <v>0531 49 8551463</v>
      </c>
      <c r="G175" s="63">
        <v>46127</v>
      </c>
      <c r="H175" s="149">
        <f>3628.27/10+0.01</f>
        <v>362.83699999999999</v>
      </c>
      <c r="I175" s="62">
        <v>8</v>
      </c>
      <c r="J175" s="62">
        <v>10</v>
      </c>
      <c r="K175" s="88" t="s">
        <v>446</v>
      </c>
    </row>
    <row r="176" spans="1:11" ht="18" customHeight="1" x14ac:dyDescent="0.25">
      <c r="A176" s="85">
        <v>175</v>
      </c>
      <c r="B176" s="59">
        <v>10</v>
      </c>
      <c r="C176" s="59">
        <v>1</v>
      </c>
      <c r="D176" s="59">
        <v>34</v>
      </c>
      <c r="E176" s="85" t="str">
        <f>_xlfn.XLOOKUP(D176,'🚛 FROTA'!A:A,'🚛 FROTA'!B:B,"")</f>
        <v>EXW7D65</v>
      </c>
      <c r="F176" s="85" t="str">
        <f>_xlfn.XLOOKUP(B176,'🛡️ SEGUROS'!A:A,'🛡️ SEGUROS'!C:C,"")</f>
        <v>0531 49 8551463</v>
      </c>
      <c r="G176" s="60">
        <v>46127</v>
      </c>
      <c r="H176" s="156">
        <f>3497.19/10+0.01</f>
        <v>349.72899999999998</v>
      </c>
      <c r="I176" s="59">
        <v>8</v>
      </c>
      <c r="J176" s="59">
        <v>10</v>
      </c>
      <c r="K176" s="88" t="s">
        <v>446</v>
      </c>
    </row>
    <row r="177" spans="1:11" ht="18" customHeight="1" x14ac:dyDescent="0.25">
      <c r="A177" s="84">
        <v>176</v>
      </c>
      <c r="B177" s="62">
        <v>10</v>
      </c>
      <c r="C177" s="62">
        <v>1</v>
      </c>
      <c r="D177" s="62">
        <v>39</v>
      </c>
      <c r="E177" s="84" t="str">
        <f>_xlfn.XLOOKUP(D177,'🚛 FROTA'!A:A,'🚛 FROTA'!B:B,"")</f>
        <v>EJX0I24</v>
      </c>
      <c r="F177" s="84" t="str">
        <f>_xlfn.XLOOKUP(B177,'🛡️ SEGUROS'!A:A,'🛡️ SEGUROS'!C:C,"")</f>
        <v>0531 49 8551463</v>
      </c>
      <c r="G177" s="63">
        <v>46127</v>
      </c>
      <c r="H177" s="157">
        <f>3497.19/10+0.01</f>
        <v>349.72899999999998</v>
      </c>
      <c r="I177" s="62">
        <v>8</v>
      </c>
      <c r="J177" s="62">
        <v>10</v>
      </c>
      <c r="K177" s="88" t="s">
        <v>446</v>
      </c>
    </row>
    <row r="178" spans="1:11" ht="18" customHeight="1" x14ac:dyDescent="0.25">
      <c r="A178" s="85">
        <v>177</v>
      </c>
      <c r="B178" s="59">
        <v>10</v>
      </c>
      <c r="C178" s="59">
        <v>1</v>
      </c>
      <c r="D178" s="59">
        <v>46</v>
      </c>
      <c r="E178" s="85" t="str">
        <f>_xlfn.XLOOKUP(D178,'🚛 FROTA'!A:A,'🚛 FROTA'!B:B,"")</f>
        <v>CCU5G26</v>
      </c>
      <c r="F178" s="85" t="str">
        <f>_xlfn.XLOOKUP(B178,'🛡️ SEGUROS'!A:A,'🛡️ SEGUROS'!C:C,"")</f>
        <v>0531 49 8551463</v>
      </c>
      <c r="G178" s="60">
        <v>46127</v>
      </c>
      <c r="H178" s="156">
        <f>3497.19/10+0.01</f>
        <v>349.72899999999998</v>
      </c>
      <c r="I178" s="59">
        <v>8</v>
      </c>
      <c r="J178" s="59">
        <v>10</v>
      </c>
      <c r="K178" s="88" t="s">
        <v>446</v>
      </c>
    </row>
    <row r="179" spans="1:11" ht="18" customHeight="1" x14ac:dyDescent="0.25">
      <c r="A179" s="84">
        <v>178</v>
      </c>
      <c r="B179" s="62">
        <v>10</v>
      </c>
      <c r="C179" s="62">
        <v>1</v>
      </c>
      <c r="D179" s="62">
        <v>47</v>
      </c>
      <c r="E179" s="84" t="str">
        <f>_xlfn.XLOOKUP(D179,'🚛 FROTA'!A:A,'🚛 FROTA'!B:B,"")</f>
        <v>CUG4B86</v>
      </c>
      <c r="F179" s="84" t="str">
        <f>_xlfn.XLOOKUP(B179,'🛡️ SEGUROS'!A:A,'🛡️ SEGUROS'!C:C,"")</f>
        <v>0531 49 8551463</v>
      </c>
      <c r="G179" s="63">
        <v>46127</v>
      </c>
      <c r="H179" s="157">
        <f>3783.48/10</f>
        <v>378.34800000000001</v>
      </c>
      <c r="I179" s="62">
        <v>8</v>
      </c>
      <c r="J179" s="62">
        <v>10</v>
      </c>
      <c r="K179" s="88" t="s">
        <v>446</v>
      </c>
    </row>
    <row r="180" spans="1:11" ht="18" customHeight="1" x14ac:dyDescent="0.25">
      <c r="A180" s="85">
        <v>179</v>
      </c>
      <c r="B180" s="59">
        <v>10</v>
      </c>
      <c r="C180" s="59">
        <v>1</v>
      </c>
      <c r="D180" s="59">
        <v>6</v>
      </c>
      <c r="E180" s="85" t="str">
        <f>_xlfn.XLOOKUP(D180,'🚛 FROTA'!A:A,'🚛 FROTA'!B:B,"")</f>
        <v>EVF8I83</v>
      </c>
      <c r="F180" s="85" t="str">
        <f>_xlfn.XLOOKUP(B180,'🛡️ SEGUROS'!A:A,'🛡️ SEGUROS'!C:C,"")</f>
        <v>0531 49 8551463</v>
      </c>
      <c r="G180" s="60">
        <v>46157</v>
      </c>
      <c r="H180" s="156">
        <f>3621.8/10+0.01</f>
        <v>362.19</v>
      </c>
      <c r="I180" s="59">
        <v>9</v>
      </c>
      <c r="J180" s="59">
        <v>10</v>
      </c>
      <c r="K180" s="88" t="s">
        <v>446</v>
      </c>
    </row>
    <row r="181" spans="1:11" ht="18" customHeight="1" x14ac:dyDescent="0.25">
      <c r="A181" s="84">
        <v>180</v>
      </c>
      <c r="B181" s="62">
        <v>10</v>
      </c>
      <c r="C181" s="62">
        <v>1</v>
      </c>
      <c r="D181" s="62">
        <v>24</v>
      </c>
      <c r="E181" s="84" t="str">
        <f>_xlfn.XLOOKUP(D181,'🚛 FROTA'!A:A,'🚛 FROTA'!B:B,"")</f>
        <v>DYG5G03</v>
      </c>
      <c r="F181" s="84" t="str">
        <f>_xlfn.XLOOKUP(B181,'🛡️ SEGUROS'!A:A,'🛡️ SEGUROS'!C:C,"")</f>
        <v>0531 49 8551463</v>
      </c>
      <c r="G181" s="63">
        <v>46157</v>
      </c>
      <c r="H181" s="149">
        <f>3628.27/10+0.01</f>
        <v>362.83699999999999</v>
      </c>
      <c r="I181" s="62">
        <v>9</v>
      </c>
      <c r="J181" s="62">
        <v>10</v>
      </c>
      <c r="K181" s="88" t="s">
        <v>446</v>
      </c>
    </row>
    <row r="182" spans="1:11" ht="18" customHeight="1" x14ac:dyDescent="0.25">
      <c r="A182" s="85">
        <v>181</v>
      </c>
      <c r="B182" s="59">
        <v>10</v>
      </c>
      <c r="C182" s="59">
        <v>1</v>
      </c>
      <c r="D182" s="59">
        <v>34</v>
      </c>
      <c r="E182" s="85" t="str">
        <f>_xlfn.XLOOKUP(D182,'🚛 FROTA'!A:A,'🚛 FROTA'!B:B,"")</f>
        <v>EXW7D65</v>
      </c>
      <c r="F182" s="85" t="str">
        <f>_xlfn.XLOOKUP(B182,'🛡️ SEGUROS'!A:A,'🛡️ SEGUROS'!C:C,"")</f>
        <v>0531 49 8551463</v>
      </c>
      <c r="G182" s="60">
        <v>46157</v>
      </c>
      <c r="H182" s="156">
        <f>3497.19/10+0.01</f>
        <v>349.72899999999998</v>
      </c>
      <c r="I182" s="59">
        <v>9</v>
      </c>
      <c r="J182" s="59">
        <v>10</v>
      </c>
      <c r="K182" s="88" t="s">
        <v>446</v>
      </c>
    </row>
    <row r="183" spans="1:11" ht="18" customHeight="1" x14ac:dyDescent="0.25">
      <c r="A183" s="84">
        <v>182</v>
      </c>
      <c r="B183" s="62">
        <v>10</v>
      </c>
      <c r="C183" s="62">
        <v>1</v>
      </c>
      <c r="D183" s="62">
        <v>39</v>
      </c>
      <c r="E183" s="84" t="str">
        <f>_xlfn.XLOOKUP(D183,'🚛 FROTA'!A:A,'🚛 FROTA'!B:B,"")</f>
        <v>EJX0I24</v>
      </c>
      <c r="F183" s="84" t="str">
        <f>_xlfn.XLOOKUP(B183,'🛡️ SEGUROS'!A:A,'🛡️ SEGUROS'!C:C,"")</f>
        <v>0531 49 8551463</v>
      </c>
      <c r="G183" s="63">
        <v>46157</v>
      </c>
      <c r="H183" s="157">
        <f>3497.19/10+0.01</f>
        <v>349.72899999999998</v>
      </c>
      <c r="I183" s="62">
        <v>9</v>
      </c>
      <c r="J183" s="62">
        <v>10</v>
      </c>
      <c r="K183" s="88" t="s">
        <v>446</v>
      </c>
    </row>
    <row r="184" spans="1:11" ht="18" customHeight="1" x14ac:dyDescent="0.25">
      <c r="A184" s="85">
        <v>183</v>
      </c>
      <c r="B184" s="59">
        <v>10</v>
      </c>
      <c r="C184" s="59">
        <v>1</v>
      </c>
      <c r="D184" s="59">
        <v>46</v>
      </c>
      <c r="E184" s="85" t="str">
        <f>_xlfn.XLOOKUP(D184,'🚛 FROTA'!A:A,'🚛 FROTA'!B:B,"")</f>
        <v>CCU5G26</v>
      </c>
      <c r="F184" s="85" t="str">
        <f>_xlfn.XLOOKUP(B184,'🛡️ SEGUROS'!A:A,'🛡️ SEGUROS'!C:C,"")</f>
        <v>0531 49 8551463</v>
      </c>
      <c r="G184" s="60">
        <v>46157</v>
      </c>
      <c r="H184" s="156">
        <f>3497.19/10+0.01</f>
        <v>349.72899999999998</v>
      </c>
      <c r="I184" s="59">
        <v>9</v>
      </c>
      <c r="J184" s="59">
        <v>10</v>
      </c>
      <c r="K184" s="88" t="s">
        <v>446</v>
      </c>
    </row>
    <row r="185" spans="1:11" ht="18" customHeight="1" x14ac:dyDescent="0.25">
      <c r="A185" s="84">
        <v>184</v>
      </c>
      <c r="B185" s="62">
        <v>10</v>
      </c>
      <c r="C185" s="62">
        <v>1</v>
      </c>
      <c r="D185" s="62">
        <v>47</v>
      </c>
      <c r="E185" s="84" t="str">
        <f>_xlfn.XLOOKUP(D185,'🚛 FROTA'!A:A,'🚛 FROTA'!B:B,"")</f>
        <v>CUG4B86</v>
      </c>
      <c r="F185" s="84" t="str">
        <f>_xlfn.XLOOKUP(B185,'🛡️ SEGUROS'!A:A,'🛡️ SEGUROS'!C:C,"")</f>
        <v>0531 49 8551463</v>
      </c>
      <c r="G185" s="63">
        <v>46157</v>
      </c>
      <c r="H185" s="157">
        <f>3783.48/10</f>
        <v>378.34800000000001</v>
      </c>
      <c r="I185" s="62">
        <v>9</v>
      </c>
      <c r="J185" s="62">
        <v>10</v>
      </c>
      <c r="K185" s="88" t="s">
        <v>446</v>
      </c>
    </row>
    <row r="186" spans="1:11" ht="18" customHeight="1" x14ac:dyDescent="0.25">
      <c r="A186" s="85">
        <v>185</v>
      </c>
      <c r="B186" s="59">
        <v>10</v>
      </c>
      <c r="C186" s="59">
        <v>1</v>
      </c>
      <c r="D186" s="59">
        <v>6</v>
      </c>
      <c r="E186" s="85" t="str">
        <f>_xlfn.XLOOKUP(D186,'🚛 FROTA'!A:A,'🚛 FROTA'!B:B,"")</f>
        <v>EVF8I83</v>
      </c>
      <c r="F186" s="85" t="str">
        <f>_xlfn.XLOOKUP(B186,'🛡️ SEGUROS'!A:A,'🛡️ SEGUROS'!C:C,"")</f>
        <v>0531 49 8551463</v>
      </c>
      <c r="G186" s="60">
        <v>46188</v>
      </c>
      <c r="H186" s="156">
        <f>3621.8/10-0.076</f>
        <v>362.10399999999998</v>
      </c>
      <c r="I186" s="59">
        <v>10</v>
      </c>
      <c r="J186" s="59">
        <v>10</v>
      </c>
      <c r="K186" s="88" t="s">
        <v>446</v>
      </c>
    </row>
    <row r="187" spans="1:11" ht="18" customHeight="1" x14ac:dyDescent="0.25">
      <c r="A187" s="84">
        <v>186</v>
      </c>
      <c r="B187" s="62">
        <v>10</v>
      </c>
      <c r="C187" s="62">
        <v>1</v>
      </c>
      <c r="D187" s="62">
        <v>24</v>
      </c>
      <c r="E187" s="84" t="str">
        <f>_xlfn.XLOOKUP(D187,'🚛 FROTA'!A:A,'🚛 FROTA'!B:B,"")</f>
        <v>DYG5G03</v>
      </c>
      <c r="F187" s="84" t="str">
        <f>_xlfn.XLOOKUP(B187,'🛡️ SEGUROS'!A:A,'🛡️ SEGUROS'!C:C,"")</f>
        <v>0531 49 8551463</v>
      </c>
      <c r="G187" s="63">
        <v>46188</v>
      </c>
      <c r="H187" s="149">
        <f>3628.27/10-0.076</f>
        <v>362.75099999999998</v>
      </c>
      <c r="I187" s="62">
        <v>10</v>
      </c>
      <c r="J187" s="62">
        <v>10</v>
      </c>
      <c r="K187" s="88" t="s">
        <v>446</v>
      </c>
    </row>
    <row r="188" spans="1:11" ht="18" customHeight="1" x14ac:dyDescent="0.25">
      <c r="A188" s="85">
        <v>187</v>
      </c>
      <c r="B188" s="59">
        <v>10</v>
      </c>
      <c r="C188" s="59">
        <v>1</v>
      </c>
      <c r="D188" s="59">
        <v>34</v>
      </c>
      <c r="E188" s="85" t="str">
        <f>_xlfn.XLOOKUP(D188,'🚛 FROTA'!A:A,'🚛 FROTA'!B:B,"")</f>
        <v>EXW7D65</v>
      </c>
      <c r="F188" s="85" t="str">
        <f>_xlfn.XLOOKUP(B188,'🛡️ SEGUROS'!A:A,'🛡️ SEGUROS'!C:C,"")</f>
        <v>0531 49 8551463</v>
      </c>
      <c r="G188" s="60">
        <v>46188</v>
      </c>
      <c r="H188" s="156">
        <f>3497.19/10-0.076</f>
        <v>349.64299999999997</v>
      </c>
      <c r="I188" s="59">
        <v>10</v>
      </c>
      <c r="J188" s="59">
        <v>10</v>
      </c>
      <c r="K188" s="88" t="s">
        <v>446</v>
      </c>
    </row>
    <row r="189" spans="1:11" ht="18" customHeight="1" x14ac:dyDescent="0.25">
      <c r="A189" s="84">
        <v>188</v>
      </c>
      <c r="B189" s="62">
        <v>10</v>
      </c>
      <c r="C189" s="62">
        <v>1</v>
      </c>
      <c r="D189" s="62">
        <v>39</v>
      </c>
      <c r="E189" s="84" t="str">
        <f>_xlfn.XLOOKUP(D189,'🚛 FROTA'!A:A,'🚛 FROTA'!B:B,"")</f>
        <v>EJX0I24</v>
      </c>
      <c r="F189" s="84" t="str">
        <f>_xlfn.XLOOKUP(B189,'🛡️ SEGUROS'!A:A,'🛡️ SEGUROS'!C:C,"")</f>
        <v>0531 49 8551463</v>
      </c>
      <c r="G189" s="63">
        <v>46188</v>
      </c>
      <c r="H189" s="157">
        <f>3497.19/10-0.076</f>
        <v>349.64299999999997</v>
      </c>
      <c r="I189" s="62">
        <v>10</v>
      </c>
      <c r="J189" s="62">
        <v>10</v>
      </c>
      <c r="K189" s="88" t="s">
        <v>446</v>
      </c>
    </row>
    <row r="190" spans="1:11" ht="18" customHeight="1" x14ac:dyDescent="0.25">
      <c r="A190" s="85">
        <v>189</v>
      </c>
      <c r="B190" s="59">
        <v>10</v>
      </c>
      <c r="C190" s="59">
        <v>1</v>
      </c>
      <c r="D190" s="59">
        <v>46</v>
      </c>
      <c r="E190" s="85" t="str">
        <f>_xlfn.XLOOKUP(D190,'🚛 FROTA'!A:A,'🚛 FROTA'!B:B,"")</f>
        <v>CCU5G26</v>
      </c>
      <c r="F190" s="85" t="str">
        <f>_xlfn.XLOOKUP(B190,'🛡️ SEGUROS'!A:A,'🛡️ SEGUROS'!C:C,"")</f>
        <v>0531 49 8551463</v>
      </c>
      <c r="G190" s="60">
        <v>46188</v>
      </c>
      <c r="H190" s="156">
        <f>3497.19/10-0.076</f>
        <v>349.64299999999997</v>
      </c>
      <c r="I190" s="59">
        <v>10</v>
      </c>
      <c r="J190" s="59">
        <v>10</v>
      </c>
      <c r="K190" s="88" t="s">
        <v>446</v>
      </c>
    </row>
    <row r="191" spans="1:11" ht="18" customHeight="1" x14ac:dyDescent="0.25">
      <c r="A191" s="84">
        <v>190</v>
      </c>
      <c r="B191" s="62">
        <v>10</v>
      </c>
      <c r="C191" s="62">
        <v>1</v>
      </c>
      <c r="D191" s="62">
        <v>47</v>
      </c>
      <c r="E191" s="84" t="str">
        <f>_xlfn.XLOOKUP(D191,'🚛 FROTA'!A:A,'🚛 FROTA'!B:B,"")</f>
        <v>CUG4B86</v>
      </c>
      <c r="F191" s="84" t="str">
        <f>_xlfn.XLOOKUP(B191,'🛡️ SEGUROS'!A:A,'🛡️ SEGUROS'!C:C,"")</f>
        <v>0531 49 8551463</v>
      </c>
      <c r="G191" s="63">
        <v>46188</v>
      </c>
      <c r="H191" s="157">
        <f>3783.48/10-0.03</f>
        <v>378.31800000000004</v>
      </c>
      <c r="I191" s="62">
        <v>10</v>
      </c>
      <c r="J191" s="62">
        <v>10</v>
      </c>
      <c r="K191" s="88" t="s">
        <v>446</v>
      </c>
    </row>
  </sheetData>
  <autoFilter ref="A1:K191" xr:uid="{00000000-0009-0000-0000-000008000000}">
    <filterColumn colId="1">
      <filters>
        <filter val="10"/>
        <filter val="11"/>
        <filter val="6"/>
        <filter val="8"/>
        <filter val="9"/>
      </filters>
    </filterColumn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theme="6" tint="-0.499984740745262"/>
  </sheetPr>
  <dimension ref="A1:AM612"/>
  <sheetViews>
    <sheetView topLeftCell="X1" zoomScale="85" zoomScaleNormal="85" workbookViewId="0">
      <selection activeCell="AC1" sqref="AC1"/>
    </sheetView>
  </sheetViews>
  <sheetFormatPr defaultColWidth="12.28515625" defaultRowHeight="18" customHeight="1" x14ac:dyDescent="0.25"/>
  <cols>
    <col min="1" max="1" width="4.28515625" style="116" customWidth="1"/>
    <col min="2" max="2" width="1.28515625" style="116" customWidth="1"/>
    <col min="3" max="3" width="12.85546875" style="139" customWidth="1"/>
    <col min="4" max="4" width="7.42578125" style="147" customWidth="1"/>
    <col min="5" max="5" width="11.5703125" style="139" bestFit="1" customWidth="1"/>
    <col min="6" max="6" width="10.7109375" style="144" bestFit="1" customWidth="1"/>
    <col min="7" max="7" width="9.28515625" style="143" bestFit="1" customWidth="1"/>
    <col min="8" max="8" width="7.85546875" style="116" customWidth="1"/>
    <col min="9" max="9" width="13.140625" style="116" bestFit="1" customWidth="1"/>
    <col min="10" max="10" width="17.7109375" style="116" bestFit="1" customWidth="1"/>
    <col min="11" max="11" width="18.28515625" style="116" bestFit="1" customWidth="1"/>
    <col min="12" max="12" width="32.7109375" style="144" bestFit="1" customWidth="1"/>
    <col min="13" max="13" width="11.7109375" style="144" bestFit="1" customWidth="1"/>
    <col min="14" max="14" width="12.7109375" style="144" bestFit="1" customWidth="1"/>
    <col min="15" max="15" width="10.7109375" style="144" customWidth="1"/>
    <col min="16" max="16" width="10.42578125" style="144" customWidth="1"/>
    <col min="17" max="17" width="15.7109375" style="165" bestFit="1" customWidth="1"/>
    <col min="18" max="18" width="12.5703125" style="144" bestFit="1" customWidth="1"/>
    <col min="19" max="19" width="12.140625" style="116" bestFit="1" customWidth="1"/>
    <col min="20" max="20" width="8.85546875" style="116" bestFit="1" customWidth="1"/>
    <col min="21" max="21" width="17.7109375" style="116" bestFit="1" customWidth="1"/>
    <col min="22" max="22" width="12.7109375" style="116" bestFit="1" customWidth="1"/>
    <col min="23" max="23" width="58" style="116" bestFit="1" customWidth="1"/>
    <col min="24" max="24" width="101.140625" style="116" bestFit="1" customWidth="1"/>
    <col min="25" max="25" width="37.85546875" style="116" bestFit="1" customWidth="1"/>
    <col min="26" max="26" width="7.5703125" style="116" bestFit="1" customWidth="1"/>
    <col min="27" max="27" width="21.7109375" style="116" bestFit="1" customWidth="1"/>
    <col min="28" max="28" width="10.7109375" style="116" bestFit="1" customWidth="1"/>
    <col min="29" max="29" width="23.7109375" style="116" bestFit="1" customWidth="1"/>
    <col min="30" max="30" width="23.7109375" style="116" customWidth="1"/>
    <col min="31" max="31" width="25.42578125" style="116" bestFit="1" customWidth="1"/>
    <col min="32" max="32" width="25.42578125" style="116" customWidth="1"/>
    <col min="33" max="33" width="15.42578125" style="116" bestFit="1" customWidth="1"/>
    <col min="34" max="34" width="15.7109375" style="116" bestFit="1" customWidth="1"/>
    <col min="35" max="35" width="17.42578125" style="116" bestFit="1" customWidth="1"/>
    <col min="36" max="36" width="13.85546875" style="116" bestFit="1" customWidth="1"/>
    <col min="37" max="37" width="9.7109375" style="116" bestFit="1" customWidth="1"/>
    <col min="38" max="38" width="11.28515625" style="116" bestFit="1" customWidth="1"/>
    <col min="39" max="39" width="14.7109375" style="116" bestFit="1" customWidth="1"/>
    <col min="40" max="40" width="12.28515625" style="116" customWidth="1"/>
    <col min="41" max="16384" width="12.28515625" style="116"/>
  </cols>
  <sheetData>
    <row r="1" spans="1:39" ht="18" customHeight="1" x14ac:dyDescent="0.25">
      <c r="A1" s="115" t="s">
        <v>523</v>
      </c>
      <c r="B1" s="140" t="s">
        <v>524</v>
      </c>
      <c r="C1" s="115" t="s">
        <v>449</v>
      </c>
      <c r="D1" s="115" t="s">
        <v>525</v>
      </c>
      <c r="E1" s="115" t="s">
        <v>526</v>
      </c>
      <c r="F1" s="115" t="s">
        <v>432</v>
      </c>
      <c r="G1" s="115" t="s">
        <v>47</v>
      </c>
      <c r="H1" s="115" t="s">
        <v>46</v>
      </c>
      <c r="I1" s="115" t="s">
        <v>277</v>
      </c>
      <c r="J1" s="115" t="s">
        <v>50</v>
      </c>
      <c r="K1" s="115" t="s">
        <v>56</v>
      </c>
      <c r="L1" s="115" t="s">
        <v>527</v>
      </c>
      <c r="M1" s="115" t="s">
        <v>528</v>
      </c>
      <c r="N1" s="115" t="s">
        <v>529</v>
      </c>
      <c r="O1" s="115" t="s">
        <v>520</v>
      </c>
      <c r="P1" s="115" t="s">
        <v>521</v>
      </c>
      <c r="Q1" s="115" t="s">
        <v>480</v>
      </c>
      <c r="R1" s="115" t="s">
        <v>530</v>
      </c>
      <c r="S1" s="115" t="s">
        <v>531</v>
      </c>
      <c r="T1" s="115" t="s">
        <v>59</v>
      </c>
      <c r="U1" s="115" t="s">
        <v>532</v>
      </c>
      <c r="V1" s="115" t="s">
        <v>533</v>
      </c>
      <c r="W1" s="115" t="s">
        <v>534</v>
      </c>
      <c r="X1" s="115" t="s">
        <v>535</v>
      </c>
      <c r="Y1" s="115" t="s">
        <v>536</v>
      </c>
      <c r="Z1" s="115" t="s">
        <v>537</v>
      </c>
      <c r="AA1" s="115" t="s">
        <v>538</v>
      </c>
      <c r="AB1" s="115" t="s">
        <v>539</v>
      </c>
      <c r="AC1" s="115" t="s">
        <v>540</v>
      </c>
      <c r="AD1" s="115" t="s">
        <v>541</v>
      </c>
      <c r="AE1" s="115" t="s">
        <v>542</v>
      </c>
      <c r="AF1" s="115" t="s">
        <v>543</v>
      </c>
      <c r="AG1" s="115" t="s">
        <v>544</v>
      </c>
      <c r="AH1" s="115" t="s">
        <v>545</v>
      </c>
      <c r="AI1" s="115" t="s">
        <v>546</v>
      </c>
      <c r="AJ1" s="115" t="s">
        <v>547</v>
      </c>
      <c r="AK1" s="115" t="s">
        <v>548</v>
      </c>
      <c r="AL1" s="115" t="s">
        <v>549</v>
      </c>
      <c r="AM1" s="115" t="s">
        <v>550</v>
      </c>
    </row>
    <row r="2" spans="1:39" ht="18" hidden="1" customHeight="1" x14ac:dyDescent="0.25">
      <c r="A2" s="117">
        <v>1</v>
      </c>
      <c r="B2" s="117"/>
      <c r="C2" s="118" t="s">
        <v>551</v>
      </c>
      <c r="D2" s="146">
        <f t="array" aca="1" ref="D2" ca="1">SUM(--(_xlfn.UNIQUE(_xlfn._xlws.FILTER($M$2:$M$1011 &amp; "", ($C$2:$C$1011 = C2) * ($M$2:$M$1011 &lt;&gt; ""))) &lt;&gt; ""))</f>
        <v>1</v>
      </c>
      <c r="E2" s="166">
        <f t="shared" ref="E2:E65" ca="1" si="0">SUMIF(C:C, C2, Q:Q)</f>
        <v>2169.9900000000002</v>
      </c>
      <c r="F2" s="143">
        <v>1</v>
      </c>
      <c r="G2" s="143" t="s">
        <v>169</v>
      </c>
      <c r="H2" s="119">
        <f>_xlfn.XLOOKUP(G2,'🚛 FROTA'!B:B,'🚛 FROTA'!A:A,"")</f>
        <v>43</v>
      </c>
      <c r="I2" s="119"/>
      <c r="J2" s="119" t="str">
        <f>IF(G2="","",_xlfn.XLOOKUP(G2,'🚛 FROTA'!B:B,'🚛 FROTA'!E:E,""))</f>
        <v>Express Delivery</v>
      </c>
      <c r="K2" s="119" t="str">
        <f>IF(G2="","",_xlfn.XLOOKUP(G2,'🚛 FROTA'!B:B,'🚛 FROTA'!K:K,""))</f>
        <v>Carroceria</v>
      </c>
      <c r="L2" s="143" t="s">
        <v>552</v>
      </c>
      <c r="M2" s="143" t="s">
        <v>553</v>
      </c>
      <c r="N2" s="145">
        <v>45487</v>
      </c>
      <c r="O2" s="143">
        <v>1</v>
      </c>
      <c r="P2" s="143">
        <v>3</v>
      </c>
      <c r="Q2" s="167">
        <v>723.33</v>
      </c>
      <c r="R2" s="143" t="s">
        <v>554</v>
      </c>
      <c r="S2" s="122" t="s">
        <v>534</v>
      </c>
      <c r="T2" s="120" t="s">
        <v>522</v>
      </c>
      <c r="U2" s="121" t="s">
        <v>555</v>
      </c>
      <c r="V2" s="119" t="s">
        <v>556</v>
      </c>
      <c r="W2" s="119" t="s">
        <v>557</v>
      </c>
      <c r="X2" s="123" t="s">
        <v>558</v>
      </c>
      <c r="Y2" s="119"/>
      <c r="Z2" s="124">
        <v>31751</v>
      </c>
      <c r="AA2" s="125"/>
      <c r="AB2" s="126"/>
      <c r="AC2" s="127"/>
      <c r="AD2" s="127"/>
      <c r="AE2" s="127"/>
      <c r="AF2" s="127"/>
      <c r="AG2" s="125"/>
      <c r="AH2" s="128">
        <f t="shared" ref="AH2:AH35" ca="1" si="1">IF(OR(R2="A VISTA", R2="C. CRÉDITO", R2="ADIANTAMENTO"), N2, IF(R2="Faturado", _xlfn.MINIFS(N:N, C:C, C2)-30, ""))</f>
        <v>45457</v>
      </c>
      <c r="AI2" s="129" t="s">
        <v>559</v>
      </c>
      <c r="AJ2" s="129"/>
      <c r="AK2" s="129"/>
      <c r="AL2" s="129"/>
      <c r="AM2" s="129"/>
    </row>
    <row r="3" spans="1:39" ht="18" hidden="1" customHeight="1" x14ac:dyDescent="0.25">
      <c r="A3" s="117">
        <v>2</v>
      </c>
      <c r="B3" s="117"/>
      <c r="C3" s="118" t="s">
        <v>551</v>
      </c>
      <c r="D3" s="146">
        <f t="array" aca="1" ref="D3" ca="1">SUM(--(_xlfn.UNIQUE(_xlfn._xlws.FILTER($M$2:$M$1011 &amp; "", ($C$2:$C$1011 = C3) * ($M$2:$M$1011 &lt;&gt; ""))) &lt;&gt; ""))</f>
        <v>1</v>
      </c>
      <c r="E3" s="166">
        <f t="shared" ca="1" si="0"/>
        <v>2169.9900000000002</v>
      </c>
      <c r="F3" s="143">
        <v>1</v>
      </c>
      <c r="G3" s="143" t="s">
        <v>169</v>
      </c>
      <c r="H3" s="119">
        <f>_xlfn.XLOOKUP(G3,'🚛 FROTA'!B:B,'🚛 FROTA'!A:A,"")</f>
        <v>43</v>
      </c>
      <c r="I3" s="119"/>
      <c r="J3" s="119" t="str">
        <f>IF(G3="","",_xlfn.XLOOKUP(G3,'🚛 FROTA'!B:B,'🚛 FROTA'!E:E,""))</f>
        <v>Express Delivery</v>
      </c>
      <c r="K3" s="119" t="str">
        <f>IF(G3="","",_xlfn.XLOOKUP(G3,'🚛 FROTA'!B:B,'🚛 FROTA'!K:K,""))</f>
        <v>Carroceria</v>
      </c>
      <c r="L3" s="143" t="s">
        <v>552</v>
      </c>
      <c r="M3" s="143" t="s">
        <v>553</v>
      </c>
      <c r="N3" s="145">
        <v>45517</v>
      </c>
      <c r="O3" s="143">
        <v>2</v>
      </c>
      <c r="P3" s="143">
        <v>3</v>
      </c>
      <c r="Q3" s="167">
        <v>723.33</v>
      </c>
      <c r="R3" s="143" t="s">
        <v>554</v>
      </c>
      <c r="S3" s="122" t="s">
        <v>560</v>
      </c>
      <c r="T3" s="120" t="s">
        <v>522</v>
      </c>
      <c r="U3" s="121" t="s">
        <v>555</v>
      </c>
      <c r="V3" s="119" t="s">
        <v>556</v>
      </c>
      <c r="W3" s="119" t="s">
        <v>557</v>
      </c>
      <c r="X3" s="123" t="s">
        <v>558</v>
      </c>
      <c r="Y3" s="119"/>
      <c r="Z3" s="124">
        <v>31751</v>
      </c>
      <c r="AA3" s="125"/>
      <c r="AB3" s="126"/>
      <c r="AC3" s="127"/>
      <c r="AD3" s="127"/>
      <c r="AE3" s="127"/>
      <c r="AF3" s="127"/>
      <c r="AG3" s="125"/>
      <c r="AH3" s="128">
        <f t="shared" ca="1" si="1"/>
        <v>45457</v>
      </c>
      <c r="AI3" s="129" t="s">
        <v>559</v>
      </c>
      <c r="AJ3" s="129"/>
      <c r="AK3" s="129"/>
      <c r="AL3" s="129"/>
      <c r="AM3" s="129"/>
    </row>
    <row r="4" spans="1:39" ht="18" hidden="1" customHeight="1" x14ac:dyDescent="0.25">
      <c r="A4" s="117">
        <v>3</v>
      </c>
      <c r="B4" s="117"/>
      <c r="C4" s="118" t="s">
        <v>551</v>
      </c>
      <c r="D4" s="146">
        <f t="array" aca="1" ref="D4" ca="1">SUM(--(_xlfn.UNIQUE(_xlfn._xlws.FILTER($M$2:$M$1011 &amp; "", ($C$2:$C$1011 = C4) * ($M$2:$M$1011 &lt;&gt; ""))) &lt;&gt; ""))</f>
        <v>1</v>
      </c>
      <c r="E4" s="166">
        <f t="shared" ca="1" si="0"/>
        <v>2169.9900000000002</v>
      </c>
      <c r="F4" s="143">
        <v>1</v>
      </c>
      <c r="G4" s="143" t="s">
        <v>169</v>
      </c>
      <c r="H4" s="119">
        <f>_xlfn.XLOOKUP(G4,'🚛 FROTA'!B:B,'🚛 FROTA'!A:A,"")</f>
        <v>43</v>
      </c>
      <c r="I4" s="119"/>
      <c r="J4" s="119" t="str">
        <f>IF(G4="","",_xlfn.XLOOKUP(G4,'🚛 FROTA'!B:B,'🚛 FROTA'!E:E,""))</f>
        <v>Express Delivery</v>
      </c>
      <c r="K4" s="119" t="str">
        <f>IF(G4="","",_xlfn.XLOOKUP(G4,'🚛 FROTA'!B:B,'🚛 FROTA'!K:K,""))</f>
        <v>Carroceria</v>
      </c>
      <c r="L4" s="143" t="s">
        <v>552</v>
      </c>
      <c r="M4" s="143" t="s">
        <v>553</v>
      </c>
      <c r="N4" s="145">
        <v>45547</v>
      </c>
      <c r="O4" s="143">
        <v>3</v>
      </c>
      <c r="P4" s="143">
        <v>3</v>
      </c>
      <c r="Q4" s="167">
        <v>723.33</v>
      </c>
      <c r="R4" s="143" t="s">
        <v>554</v>
      </c>
      <c r="S4" s="122" t="s">
        <v>534</v>
      </c>
      <c r="T4" s="120" t="s">
        <v>522</v>
      </c>
      <c r="U4" s="121" t="s">
        <v>555</v>
      </c>
      <c r="V4" s="119" t="s">
        <v>556</v>
      </c>
      <c r="W4" s="119" t="s">
        <v>557</v>
      </c>
      <c r="X4" s="123" t="s">
        <v>558</v>
      </c>
      <c r="Y4" s="119"/>
      <c r="Z4" s="124">
        <v>31751</v>
      </c>
      <c r="AA4" s="125"/>
      <c r="AB4" s="126"/>
      <c r="AC4" s="127"/>
      <c r="AD4" s="127"/>
      <c r="AE4" s="127"/>
      <c r="AF4" s="127"/>
      <c r="AG4" s="125"/>
      <c r="AH4" s="128">
        <f t="shared" ca="1" si="1"/>
        <v>45457</v>
      </c>
      <c r="AI4" s="129" t="s">
        <v>559</v>
      </c>
      <c r="AJ4" s="129"/>
      <c r="AK4" s="129"/>
      <c r="AL4" s="129"/>
      <c r="AM4" s="129"/>
    </row>
    <row r="5" spans="1:39" ht="18" hidden="1" customHeight="1" x14ac:dyDescent="0.25">
      <c r="A5" s="117">
        <v>4</v>
      </c>
      <c r="B5" s="117"/>
      <c r="C5" s="118" t="s">
        <v>561</v>
      </c>
      <c r="D5" s="146">
        <f t="array" aca="1" ref="D5" ca="1">SUM(--(_xlfn.UNIQUE(_xlfn._xlws.FILTER($M$2:$M$1011 &amp; "", ($C$2:$C$1011 = C5) * ($M$2:$M$1011 &lt;&gt; ""))) &lt;&gt; ""))</f>
        <v>1</v>
      </c>
      <c r="E5" s="166">
        <f t="shared" ca="1" si="0"/>
        <v>3424.84</v>
      </c>
      <c r="F5" s="143">
        <v>1</v>
      </c>
      <c r="G5" s="143" t="s">
        <v>155</v>
      </c>
      <c r="H5" s="119">
        <f>_xlfn.XLOOKUP(G5,'🚛 FROTA'!B:B,'🚛 FROTA'!A:A,"")</f>
        <v>34</v>
      </c>
      <c r="I5" s="119"/>
      <c r="J5" s="119" t="str">
        <f>IF(G5="","",_xlfn.XLOOKUP(G5,'🚛 FROTA'!B:B,'🚛 FROTA'!E:E,""))</f>
        <v>9.170 Delivery</v>
      </c>
      <c r="K5" s="119" t="str">
        <f>IF(G5="","",_xlfn.XLOOKUP(G5,'🚛 FROTA'!B:B,'🚛 FROTA'!K:K,""))</f>
        <v>Basculante</v>
      </c>
      <c r="L5" s="143" t="s">
        <v>552</v>
      </c>
      <c r="M5" s="143" t="s">
        <v>562</v>
      </c>
      <c r="N5" s="145">
        <v>45630</v>
      </c>
      <c r="O5" s="143">
        <v>1</v>
      </c>
      <c r="P5" s="143">
        <v>4</v>
      </c>
      <c r="Q5" s="167">
        <v>856.21</v>
      </c>
      <c r="R5" s="143" t="s">
        <v>554</v>
      </c>
      <c r="S5" s="122" t="s">
        <v>534</v>
      </c>
      <c r="T5" s="120" t="s">
        <v>522</v>
      </c>
      <c r="U5" s="121" t="s">
        <v>555</v>
      </c>
      <c r="V5" s="119" t="s">
        <v>556</v>
      </c>
      <c r="W5" s="119" t="s">
        <v>563</v>
      </c>
      <c r="X5" s="123" t="s">
        <v>564</v>
      </c>
      <c r="Y5" s="119"/>
      <c r="Z5" s="124">
        <v>58017</v>
      </c>
      <c r="AA5" s="125"/>
      <c r="AB5" s="126"/>
      <c r="AC5" s="127"/>
      <c r="AD5" s="127"/>
      <c r="AE5" s="127"/>
      <c r="AF5" s="127"/>
      <c r="AG5" s="125"/>
      <c r="AH5" s="128">
        <f t="shared" ca="1" si="1"/>
        <v>45600</v>
      </c>
      <c r="AI5" s="129" t="s">
        <v>559</v>
      </c>
      <c r="AJ5" s="129"/>
      <c r="AK5" s="129"/>
      <c r="AL5" s="129"/>
      <c r="AM5" s="129"/>
    </row>
    <row r="6" spans="1:39" ht="18" hidden="1" customHeight="1" x14ac:dyDescent="0.25">
      <c r="A6" s="117">
        <v>5</v>
      </c>
      <c r="B6" s="117"/>
      <c r="C6" s="118" t="s">
        <v>565</v>
      </c>
      <c r="D6" s="146">
        <f t="array" aca="1" ref="D6" ca="1">SUM(--(_xlfn.UNIQUE(_xlfn._xlws.FILTER($M$2:$M$1011 &amp; "", ($C$2:$C$1011 = C6) * ($M$2:$M$1011 &lt;&gt; ""))) &lt;&gt; ""))</f>
        <v>1</v>
      </c>
      <c r="E6" s="166">
        <f t="shared" ca="1" si="0"/>
        <v>0</v>
      </c>
      <c r="F6" s="143">
        <v>1</v>
      </c>
      <c r="G6" s="143" t="s">
        <v>154</v>
      </c>
      <c r="H6" s="119">
        <f>_xlfn.XLOOKUP(G6,'🚛 FROTA'!B:B,'🚛 FROTA'!A:A,"")</f>
        <v>33</v>
      </c>
      <c r="I6" s="119"/>
      <c r="J6" s="119" t="str">
        <f>IF(G6="","",_xlfn.XLOOKUP(G6,'🚛 FROTA'!B:B,'🚛 FROTA'!E:E,""))</f>
        <v>Fiorino Working</v>
      </c>
      <c r="K6" s="119"/>
      <c r="L6" s="143" t="s">
        <v>566</v>
      </c>
      <c r="M6" s="143" t="s">
        <v>567</v>
      </c>
      <c r="N6" s="145">
        <v>45658</v>
      </c>
      <c r="O6" s="143">
        <v>1</v>
      </c>
      <c r="P6" s="143">
        <v>1</v>
      </c>
      <c r="Q6" s="167">
        <v>0</v>
      </c>
      <c r="R6" s="143" t="s">
        <v>554</v>
      </c>
      <c r="S6" s="122" t="s">
        <v>534</v>
      </c>
      <c r="T6" s="120" t="s">
        <v>522</v>
      </c>
      <c r="U6" s="121" t="s">
        <v>555</v>
      </c>
      <c r="V6" s="119" t="s">
        <v>568</v>
      </c>
      <c r="W6" s="119" t="s">
        <v>569</v>
      </c>
      <c r="X6" s="123" t="s">
        <v>570</v>
      </c>
      <c r="Y6" s="119"/>
      <c r="Z6" s="130"/>
      <c r="AA6" s="125"/>
      <c r="AB6" s="126"/>
      <c r="AC6" s="127"/>
      <c r="AD6" s="127"/>
      <c r="AE6" s="127"/>
      <c r="AF6" s="127"/>
      <c r="AG6" s="125"/>
      <c r="AH6" s="128">
        <f t="shared" ca="1" si="1"/>
        <v>45628</v>
      </c>
      <c r="AI6" s="129"/>
      <c r="AJ6" s="129"/>
      <c r="AK6" s="129"/>
      <c r="AL6" s="129"/>
      <c r="AM6" s="129"/>
    </row>
    <row r="7" spans="1:39" ht="18" customHeight="1" x14ac:dyDescent="0.25">
      <c r="A7" s="117">
        <v>6</v>
      </c>
      <c r="B7" s="117"/>
      <c r="C7" s="118" t="s">
        <v>462</v>
      </c>
      <c r="D7" s="146">
        <f t="array" aca="1" ref="D7" ca="1">SUM(--(_xlfn.UNIQUE(_xlfn._xlws.FILTER($M$2:$M$1011 &amp; "", ($C$2:$C$1011 = C7) * ($M$2:$M$1011 &lt;&gt; ""))) &lt;&gt; ""))</f>
        <v>2</v>
      </c>
      <c r="E7" s="166">
        <f t="shared" ca="1" si="0"/>
        <v>1871.58</v>
      </c>
      <c r="F7" s="143">
        <v>1</v>
      </c>
      <c r="G7" s="143" t="s">
        <v>167</v>
      </c>
      <c r="H7" s="119">
        <f>_xlfn.XLOOKUP(G7,'🚛 FROTA'!B:B,'🚛 FROTA'!A:A,"")</f>
        <v>42</v>
      </c>
      <c r="I7" s="119"/>
      <c r="J7" s="119" t="str">
        <f>IF(G7="","",_xlfn.XLOOKUP(G7,'🚛 FROTA'!B:B,'🚛 FROTA'!E:E,""))</f>
        <v>Express Delivery</v>
      </c>
      <c r="K7" s="119" t="str">
        <f>IF(G7="","",_xlfn.XLOOKUP(G7,'🚛 FROTA'!B:B,'🚛 FROTA'!K:K,""))</f>
        <v>Carroceria</v>
      </c>
      <c r="L7" s="143" t="s">
        <v>571</v>
      </c>
      <c r="M7" s="143" t="s">
        <v>572</v>
      </c>
      <c r="N7" s="145">
        <v>45660</v>
      </c>
      <c r="O7" s="143">
        <v>1</v>
      </c>
      <c r="P7" s="143">
        <v>2</v>
      </c>
      <c r="Q7" s="167">
        <v>788</v>
      </c>
      <c r="R7" s="143" t="s">
        <v>554</v>
      </c>
      <c r="S7" s="122" t="s">
        <v>560</v>
      </c>
      <c r="T7" s="120" t="s">
        <v>522</v>
      </c>
      <c r="U7" s="121" t="s">
        <v>555</v>
      </c>
      <c r="V7" s="119" t="s">
        <v>573</v>
      </c>
      <c r="W7" s="119" t="s">
        <v>574</v>
      </c>
      <c r="X7" s="123" t="s">
        <v>575</v>
      </c>
      <c r="Y7" s="119" t="s">
        <v>576</v>
      </c>
      <c r="Z7" s="124">
        <v>50456</v>
      </c>
      <c r="AA7" s="122" t="s">
        <v>577</v>
      </c>
      <c r="AB7" s="122">
        <v>2</v>
      </c>
      <c r="AC7" s="131" t="s">
        <v>578</v>
      </c>
      <c r="AD7" s="131" t="s">
        <v>579</v>
      </c>
      <c r="AE7" s="131" t="s">
        <v>580</v>
      </c>
      <c r="AF7" s="131" t="s">
        <v>581</v>
      </c>
      <c r="AG7" s="125" t="s">
        <v>582</v>
      </c>
      <c r="AH7" s="128">
        <f t="shared" ca="1" si="1"/>
        <v>45630</v>
      </c>
      <c r="AI7" s="129" t="s">
        <v>583</v>
      </c>
      <c r="AJ7" s="129"/>
      <c r="AK7" s="129"/>
      <c r="AL7" s="129"/>
      <c r="AM7" s="129"/>
    </row>
    <row r="8" spans="1:39" ht="18" hidden="1" customHeight="1" x14ac:dyDescent="0.25">
      <c r="A8" s="117">
        <v>7</v>
      </c>
      <c r="B8" s="117"/>
      <c r="C8" s="118" t="s">
        <v>561</v>
      </c>
      <c r="D8" s="146">
        <f t="array" aca="1" ref="D8" ca="1">SUM(--(_xlfn.UNIQUE(_xlfn._xlws.FILTER($M$2:$M$1011 &amp; "", ($C$2:$C$1011 = C8) * ($M$2:$M$1011 &lt;&gt; ""))) &lt;&gt; ""))</f>
        <v>1</v>
      </c>
      <c r="E8" s="166">
        <f t="shared" ca="1" si="0"/>
        <v>3424.84</v>
      </c>
      <c r="F8" s="143">
        <v>1</v>
      </c>
      <c r="G8" s="143" t="s">
        <v>155</v>
      </c>
      <c r="H8" s="119">
        <f>_xlfn.XLOOKUP(G8,'🚛 FROTA'!B:B,'🚛 FROTA'!A:A,"")</f>
        <v>34</v>
      </c>
      <c r="I8" s="119"/>
      <c r="J8" s="119" t="str">
        <f>IF(G8="","",_xlfn.XLOOKUP(G8,'🚛 FROTA'!B:B,'🚛 FROTA'!E:E,""))</f>
        <v>9.170 Delivery</v>
      </c>
      <c r="K8" s="119" t="str">
        <f>IF(G8="","",_xlfn.XLOOKUP(G8,'🚛 FROTA'!B:B,'🚛 FROTA'!K:K,""))</f>
        <v>Basculante</v>
      </c>
      <c r="L8" s="143" t="s">
        <v>552</v>
      </c>
      <c r="M8" s="143" t="s">
        <v>562</v>
      </c>
      <c r="N8" s="145">
        <v>45660</v>
      </c>
      <c r="O8" s="143">
        <v>2</v>
      </c>
      <c r="P8" s="143">
        <v>4</v>
      </c>
      <c r="Q8" s="167">
        <v>856.21</v>
      </c>
      <c r="R8" s="143" t="s">
        <v>554</v>
      </c>
      <c r="S8" s="122" t="s">
        <v>534</v>
      </c>
      <c r="T8" s="120" t="s">
        <v>522</v>
      </c>
      <c r="U8" s="121" t="s">
        <v>555</v>
      </c>
      <c r="V8" s="119" t="s">
        <v>556</v>
      </c>
      <c r="W8" s="119" t="s">
        <v>563</v>
      </c>
      <c r="X8" s="123" t="s">
        <v>564</v>
      </c>
      <c r="Y8" s="119"/>
      <c r="Z8" s="124">
        <v>58017</v>
      </c>
      <c r="AA8" s="125"/>
      <c r="AB8" s="126"/>
      <c r="AC8" s="127"/>
      <c r="AD8" s="127"/>
      <c r="AE8" s="127"/>
      <c r="AF8" s="127"/>
      <c r="AG8" s="125"/>
      <c r="AH8" s="128">
        <f t="shared" ca="1" si="1"/>
        <v>45600</v>
      </c>
      <c r="AI8" s="129" t="s">
        <v>559</v>
      </c>
      <c r="AJ8" s="129"/>
      <c r="AK8" s="129"/>
      <c r="AL8" s="129"/>
      <c r="AM8" s="129"/>
    </row>
    <row r="9" spans="1:39" ht="18" hidden="1" customHeight="1" x14ac:dyDescent="0.25">
      <c r="A9" s="117">
        <v>8</v>
      </c>
      <c r="B9" s="117"/>
      <c r="C9" s="118" t="s">
        <v>462</v>
      </c>
      <c r="D9" s="146">
        <f t="array" aca="1" ref="D9" ca="1">SUM(--(_xlfn.UNIQUE(_xlfn._xlws.FILTER($M$2:$M$1011 &amp; "", ($C$2:$C$1011 = C9) * ($M$2:$M$1011 &lt;&gt; ""))) &lt;&gt; ""))</f>
        <v>2</v>
      </c>
      <c r="E9" s="166">
        <f t="shared" ca="1" si="0"/>
        <v>1871.58</v>
      </c>
      <c r="F9" s="143">
        <v>1</v>
      </c>
      <c r="G9" s="143" t="s">
        <v>167</v>
      </c>
      <c r="H9" s="119">
        <f>_xlfn.XLOOKUP(G9,'🚛 FROTA'!B:B,'🚛 FROTA'!A:A,"")</f>
        <v>42</v>
      </c>
      <c r="I9" s="119"/>
      <c r="J9" s="119" t="str">
        <f>IF(G9="","",_xlfn.XLOOKUP(G9,'🚛 FROTA'!B:B,'🚛 FROTA'!E:E,""))</f>
        <v>Express Delivery</v>
      </c>
      <c r="K9" s="119" t="str">
        <f>IF(G9="","",_xlfn.XLOOKUP(G9,'🚛 FROTA'!B:B,'🚛 FROTA'!K:K,""))</f>
        <v>Carroceria</v>
      </c>
      <c r="L9" s="143" t="s">
        <v>571</v>
      </c>
      <c r="M9" s="143" t="s">
        <v>584</v>
      </c>
      <c r="N9" s="145">
        <v>45665</v>
      </c>
      <c r="O9" s="143">
        <v>1</v>
      </c>
      <c r="P9" s="143">
        <v>1</v>
      </c>
      <c r="Q9" s="167">
        <v>295.58</v>
      </c>
      <c r="R9" s="143" t="s">
        <v>554</v>
      </c>
      <c r="S9" s="122" t="s">
        <v>534</v>
      </c>
      <c r="T9" s="120" t="s">
        <v>522</v>
      </c>
      <c r="U9" s="121" t="s">
        <v>555</v>
      </c>
      <c r="V9" s="119" t="s">
        <v>573</v>
      </c>
      <c r="W9" s="119" t="s">
        <v>585</v>
      </c>
      <c r="X9" s="123" t="s">
        <v>586</v>
      </c>
      <c r="Y9" s="119"/>
      <c r="Z9" s="124">
        <v>50456</v>
      </c>
      <c r="AA9" s="122" t="s">
        <v>577</v>
      </c>
      <c r="AB9" s="122">
        <v>2</v>
      </c>
      <c r="AC9" s="131" t="s">
        <v>578</v>
      </c>
      <c r="AD9" s="131"/>
      <c r="AE9" s="131" t="s">
        <v>579</v>
      </c>
      <c r="AF9" s="131"/>
      <c r="AG9" s="125" t="s">
        <v>587</v>
      </c>
      <c r="AH9" s="128">
        <f t="shared" ca="1" si="1"/>
        <v>45630</v>
      </c>
      <c r="AI9" s="129" t="s">
        <v>583</v>
      </c>
      <c r="AJ9" s="129"/>
      <c r="AK9" s="129"/>
      <c r="AL9" s="129"/>
      <c r="AM9" s="129"/>
    </row>
    <row r="10" spans="1:39" ht="18" customHeight="1" x14ac:dyDescent="0.25">
      <c r="A10" s="117">
        <v>9</v>
      </c>
      <c r="B10" s="117"/>
      <c r="C10" s="118" t="s">
        <v>462</v>
      </c>
      <c r="D10" s="146">
        <f t="array" aca="1" ref="D10" ca="1">SUM(--(_xlfn.UNIQUE(_xlfn._xlws.FILTER($M$2:$M$1011 &amp; "", ($C$2:$C$1011 = C10) * ($M$2:$M$1011 &lt;&gt; ""))) &lt;&gt; ""))</f>
        <v>2</v>
      </c>
      <c r="E10" s="166">
        <f t="shared" ca="1" si="0"/>
        <v>1871.58</v>
      </c>
      <c r="F10" s="143">
        <v>1</v>
      </c>
      <c r="G10" s="143" t="s">
        <v>167</v>
      </c>
      <c r="H10" s="119">
        <f>_xlfn.XLOOKUP(G10,'🚛 FROTA'!B:B,'🚛 FROTA'!A:A,"")</f>
        <v>42</v>
      </c>
      <c r="I10" s="119"/>
      <c r="J10" s="119" t="str">
        <f>IF(G10="","",_xlfn.XLOOKUP(G10,'🚛 FROTA'!B:B,'🚛 FROTA'!E:E,""))</f>
        <v>Express Delivery</v>
      </c>
      <c r="K10" s="119" t="str">
        <f>IF(G10="","",_xlfn.XLOOKUP(G10,'🚛 FROTA'!B:B,'🚛 FROTA'!K:K,""))</f>
        <v>Carroceria</v>
      </c>
      <c r="L10" s="143" t="s">
        <v>571</v>
      </c>
      <c r="M10" s="143" t="s">
        <v>572</v>
      </c>
      <c r="N10" s="145">
        <v>45691</v>
      </c>
      <c r="O10" s="143">
        <v>2</v>
      </c>
      <c r="P10" s="143">
        <v>2</v>
      </c>
      <c r="Q10" s="167">
        <v>788</v>
      </c>
      <c r="R10" s="143" t="s">
        <v>554</v>
      </c>
      <c r="S10" s="122" t="s">
        <v>560</v>
      </c>
      <c r="T10" s="120" t="s">
        <v>522</v>
      </c>
      <c r="U10" s="121" t="s">
        <v>555</v>
      </c>
      <c r="V10" s="119" t="s">
        <v>573</v>
      </c>
      <c r="W10" s="119" t="s">
        <v>574</v>
      </c>
      <c r="X10" s="123" t="s">
        <v>575</v>
      </c>
      <c r="Y10" s="119" t="s">
        <v>576</v>
      </c>
      <c r="Z10" s="124">
        <v>50456</v>
      </c>
      <c r="AA10" s="122" t="s">
        <v>577</v>
      </c>
      <c r="AB10" s="122">
        <v>2</v>
      </c>
      <c r="AC10" s="131" t="s">
        <v>578</v>
      </c>
      <c r="AD10" s="131" t="s">
        <v>579</v>
      </c>
      <c r="AE10" s="131" t="s">
        <v>580</v>
      </c>
      <c r="AF10" s="131" t="s">
        <v>581</v>
      </c>
      <c r="AG10" s="125" t="s">
        <v>582</v>
      </c>
      <c r="AH10" s="128">
        <f t="shared" ca="1" si="1"/>
        <v>45630</v>
      </c>
      <c r="AI10" s="129" t="s">
        <v>583</v>
      </c>
      <c r="AJ10" s="129"/>
      <c r="AK10" s="129"/>
      <c r="AL10" s="129"/>
      <c r="AM10" s="129"/>
    </row>
    <row r="11" spans="1:39" ht="18" hidden="1" customHeight="1" x14ac:dyDescent="0.25">
      <c r="A11" s="117">
        <v>10</v>
      </c>
      <c r="B11" s="117"/>
      <c r="C11" s="118" t="s">
        <v>588</v>
      </c>
      <c r="D11" s="146">
        <f t="array" aca="1" ref="D11" ca="1">SUM(--(_xlfn.UNIQUE(_xlfn._xlws.FILTER($M$2:$M$1011 &amp; "", ($C$2:$C$1011 = C11) * ($M$2:$M$1011 &lt;&gt; ""))) &lt;&gt; ""))</f>
        <v>1</v>
      </c>
      <c r="E11" s="166">
        <f t="shared" ca="1" si="0"/>
        <v>2340</v>
      </c>
      <c r="F11" s="143">
        <v>1</v>
      </c>
      <c r="G11" s="143" t="s">
        <v>169</v>
      </c>
      <c r="H11" s="119">
        <f>_xlfn.XLOOKUP(G11,'🚛 FROTA'!B:B,'🚛 FROTA'!A:A,"")</f>
        <v>43</v>
      </c>
      <c r="I11" s="119"/>
      <c r="J11" s="119" t="str">
        <f>IF(G11="","",_xlfn.XLOOKUP(G11,'🚛 FROTA'!B:B,'🚛 FROTA'!E:E,""))</f>
        <v>Express Delivery</v>
      </c>
      <c r="K11" s="119" t="str">
        <f>IF(G11="","",_xlfn.XLOOKUP(G11,'🚛 FROTA'!B:B,'🚛 FROTA'!K:K,""))</f>
        <v>Carroceria</v>
      </c>
      <c r="L11" s="143" t="s">
        <v>552</v>
      </c>
      <c r="M11" s="143" t="s">
        <v>589</v>
      </c>
      <c r="N11" s="145">
        <v>45665</v>
      </c>
      <c r="O11" s="143">
        <v>1</v>
      </c>
      <c r="P11" s="143">
        <v>3</v>
      </c>
      <c r="Q11" s="167">
        <v>780</v>
      </c>
      <c r="R11" s="143" t="s">
        <v>554</v>
      </c>
      <c r="S11" s="122" t="s">
        <v>534</v>
      </c>
      <c r="T11" s="120" t="s">
        <v>522</v>
      </c>
      <c r="U11" s="121" t="s">
        <v>555</v>
      </c>
      <c r="V11" s="119" t="s">
        <v>556</v>
      </c>
      <c r="W11" s="119" t="s">
        <v>557</v>
      </c>
      <c r="X11" s="123" t="s">
        <v>558</v>
      </c>
      <c r="Y11" s="119"/>
      <c r="Z11" s="124">
        <v>37842</v>
      </c>
      <c r="AA11" s="125"/>
      <c r="AB11" s="126"/>
      <c r="AC11" s="127"/>
      <c r="AD11" s="127"/>
      <c r="AE11" s="127"/>
      <c r="AF11" s="127"/>
      <c r="AG11" s="125"/>
      <c r="AH11" s="128">
        <f t="shared" ca="1" si="1"/>
        <v>45635</v>
      </c>
      <c r="AI11" s="129" t="s">
        <v>559</v>
      </c>
      <c r="AJ11" s="129"/>
      <c r="AK11" s="129"/>
      <c r="AL11" s="129"/>
      <c r="AM11" s="129"/>
    </row>
    <row r="12" spans="1:39" ht="18" hidden="1" customHeight="1" x14ac:dyDescent="0.25">
      <c r="A12" s="117">
        <v>11</v>
      </c>
      <c r="B12" s="117"/>
      <c r="C12" s="118" t="s">
        <v>588</v>
      </c>
      <c r="D12" s="146">
        <f t="array" aca="1" ref="D12" ca="1">SUM(--(_xlfn.UNIQUE(_xlfn._xlws.FILTER($M$2:$M$1011 &amp; "", ($C$2:$C$1011 = C12) * ($M$2:$M$1011 &lt;&gt; ""))) &lt;&gt; ""))</f>
        <v>1</v>
      </c>
      <c r="E12" s="166">
        <f t="shared" ca="1" si="0"/>
        <v>2340</v>
      </c>
      <c r="F12" s="143">
        <v>1</v>
      </c>
      <c r="G12" s="143" t="s">
        <v>169</v>
      </c>
      <c r="H12" s="119">
        <f>_xlfn.XLOOKUP(G12,'🚛 FROTA'!B:B,'🚛 FROTA'!A:A,"")</f>
        <v>43</v>
      </c>
      <c r="I12" s="119"/>
      <c r="J12" s="119" t="str">
        <f>IF(G12="","",_xlfn.XLOOKUP(G12,'🚛 FROTA'!B:B,'🚛 FROTA'!E:E,""))</f>
        <v>Express Delivery</v>
      </c>
      <c r="K12" s="119" t="str">
        <f>IF(G12="","",_xlfn.XLOOKUP(G12,'🚛 FROTA'!B:B,'🚛 FROTA'!K:K,""))</f>
        <v>Carroceria</v>
      </c>
      <c r="L12" s="143" t="s">
        <v>552</v>
      </c>
      <c r="M12" s="143" t="s">
        <v>589</v>
      </c>
      <c r="N12" s="145">
        <v>45695</v>
      </c>
      <c r="O12" s="143">
        <v>2</v>
      </c>
      <c r="P12" s="143">
        <v>3</v>
      </c>
      <c r="Q12" s="167">
        <v>780</v>
      </c>
      <c r="R12" s="143" t="s">
        <v>554</v>
      </c>
      <c r="S12" s="122" t="s">
        <v>534</v>
      </c>
      <c r="T12" s="120" t="s">
        <v>522</v>
      </c>
      <c r="U12" s="121" t="s">
        <v>555</v>
      </c>
      <c r="V12" s="119" t="s">
        <v>556</v>
      </c>
      <c r="W12" s="119" t="s">
        <v>557</v>
      </c>
      <c r="X12" s="123" t="s">
        <v>558</v>
      </c>
      <c r="Y12" s="119"/>
      <c r="Z12" s="124">
        <v>37842</v>
      </c>
      <c r="AA12" s="125"/>
      <c r="AB12" s="126"/>
      <c r="AC12" s="127"/>
      <c r="AD12" s="127"/>
      <c r="AE12" s="127"/>
      <c r="AF12" s="127"/>
      <c r="AG12" s="125"/>
      <c r="AH12" s="128">
        <f t="shared" ca="1" si="1"/>
        <v>45635</v>
      </c>
      <c r="AI12" s="129" t="s">
        <v>559</v>
      </c>
      <c r="AJ12" s="129"/>
      <c r="AK12" s="129"/>
      <c r="AL12" s="129"/>
      <c r="AM12" s="129"/>
    </row>
    <row r="13" spans="1:39" ht="18" hidden="1" customHeight="1" x14ac:dyDescent="0.25">
      <c r="A13" s="117">
        <v>12</v>
      </c>
      <c r="B13" s="117"/>
      <c r="C13" s="118" t="s">
        <v>588</v>
      </c>
      <c r="D13" s="146">
        <f t="array" aca="1" ref="D13" ca="1">SUM(--(_xlfn.UNIQUE(_xlfn._xlws.FILTER($M$2:$M$1011 &amp; "", ($C$2:$C$1011 = C13) * ($M$2:$M$1011 &lt;&gt; ""))) &lt;&gt; ""))</f>
        <v>1</v>
      </c>
      <c r="E13" s="166">
        <f t="shared" ca="1" si="0"/>
        <v>2340</v>
      </c>
      <c r="F13" s="143">
        <v>1</v>
      </c>
      <c r="G13" s="143" t="s">
        <v>169</v>
      </c>
      <c r="H13" s="119">
        <f>_xlfn.XLOOKUP(G13,'🚛 FROTA'!B:B,'🚛 FROTA'!A:A,"")</f>
        <v>43</v>
      </c>
      <c r="I13" s="119"/>
      <c r="J13" s="119" t="str">
        <f>IF(G13="","",_xlfn.XLOOKUP(G13,'🚛 FROTA'!B:B,'🚛 FROTA'!E:E,""))</f>
        <v>Express Delivery</v>
      </c>
      <c r="K13" s="119" t="str">
        <f>IF(G13="","",_xlfn.XLOOKUP(G13,'🚛 FROTA'!B:B,'🚛 FROTA'!K:K,""))</f>
        <v>Carroceria</v>
      </c>
      <c r="L13" s="143" t="s">
        <v>552</v>
      </c>
      <c r="M13" s="143" t="s">
        <v>589</v>
      </c>
      <c r="N13" s="145">
        <v>45725</v>
      </c>
      <c r="O13" s="143">
        <v>3</v>
      </c>
      <c r="P13" s="143">
        <v>3</v>
      </c>
      <c r="Q13" s="167">
        <v>780</v>
      </c>
      <c r="R13" s="143" t="s">
        <v>554</v>
      </c>
      <c r="S13" s="122" t="s">
        <v>534</v>
      </c>
      <c r="T13" s="120" t="s">
        <v>522</v>
      </c>
      <c r="U13" s="121" t="s">
        <v>555</v>
      </c>
      <c r="V13" s="119" t="s">
        <v>556</v>
      </c>
      <c r="W13" s="119" t="s">
        <v>557</v>
      </c>
      <c r="X13" s="123" t="s">
        <v>558</v>
      </c>
      <c r="Y13" s="119"/>
      <c r="Z13" s="124">
        <v>37842</v>
      </c>
      <c r="AA13" s="125"/>
      <c r="AB13" s="126"/>
      <c r="AC13" s="127"/>
      <c r="AD13" s="127"/>
      <c r="AE13" s="127"/>
      <c r="AF13" s="127"/>
      <c r="AG13" s="125"/>
      <c r="AH13" s="128">
        <f t="shared" ca="1" si="1"/>
        <v>45635</v>
      </c>
      <c r="AI13" s="129" t="s">
        <v>559</v>
      </c>
      <c r="AJ13" s="129"/>
      <c r="AK13" s="129"/>
      <c r="AL13" s="129"/>
      <c r="AM13" s="129"/>
    </row>
    <row r="14" spans="1:39" ht="18" customHeight="1" x14ac:dyDescent="0.25">
      <c r="A14" s="117">
        <v>13</v>
      </c>
      <c r="B14" s="117"/>
      <c r="C14" s="118" t="s">
        <v>590</v>
      </c>
      <c r="D14" s="146">
        <f t="array" aca="1" ref="D14" ca="1">SUM(--(_xlfn.UNIQUE(_xlfn._xlws.FILTER($M$2:$M$1011 &amp; "", ($C$2:$C$1011 = C14) * ($M$2:$M$1011 &lt;&gt; ""))) &lt;&gt; ""))</f>
        <v>2</v>
      </c>
      <c r="E14" s="166">
        <f t="shared" ca="1" si="0"/>
        <v>1877.1200000000003</v>
      </c>
      <c r="F14" s="143">
        <v>1</v>
      </c>
      <c r="G14" s="143" t="s">
        <v>169</v>
      </c>
      <c r="H14" s="119">
        <f>_xlfn.XLOOKUP(G14,'🚛 FROTA'!B:B,'🚛 FROTA'!A:A,"")</f>
        <v>43</v>
      </c>
      <c r="I14" s="119"/>
      <c r="J14" s="119" t="str">
        <f>IF(G14="","",_xlfn.XLOOKUP(G14,'🚛 FROTA'!B:B,'🚛 FROTA'!E:E,""))</f>
        <v>Express Delivery</v>
      </c>
      <c r="K14" s="119" t="str">
        <f>IF(G14="","",_xlfn.XLOOKUP(G14,'🚛 FROTA'!B:B,'🚛 FROTA'!K:K,""))</f>
        <v>Carroceria</v>
      </c>
      <c r="L14" s="143" t="s">
        <v>571</v>
      </c>
      <c r="M14" s="143" t="s">
        <v>591</v>
      </c>
      <c r="N14" s="145">
        <v>45667</v>
      </c>
      <c r="O14" s="143">
        <v>1</v>
      </c>
      <c r="P14" s="143">
        <v>3</v>
      </c>
      <c r="Q14" s="167">
        <v>523.33000000000004</v>
      </c>
      <c r="R14" s="143" t="s">
        <v>554</v>
      </c>
      <c r="S14" s="122" t="s">
        <v>560</v>
      </c>
      <c r="T14" s="120" t="s">
        <v>522</v>
      </c>
      <c r="U14" s="121" t="s">
        <v>555</v>
      </c>
      <c r="V14" s="119" t="s">
        <v>573</v>
      </c>
      <c r="W14" s="119" t="s">
        <v>574</v>
      </c>
      <c r="X14" s="123" t="s">
        <v>575</v>
      </c>
      <c r="Y14" s="119" t="s">
        <v>576</v>
      </c>
      <c r="Z14" s="124">
        <v>38060</v>
      </c>
      <c r="AA14" s="122" t="s">
        <v>577</v>
      </c>
      <c r="AB14" s="122">
        <v>2</v>
      </c>
      <c r="AC14" s="131" t="s">
        <v>578</v>
      </c>
      <c r="AD14" s="131" t="s">
        <v>579</v>
      </c>
      <c r="AE14" s="131" t="s">
        <v>580</v>
      </c>
      <c r="AF14" s="131" t="s">
        <v>581</v>
      </c>
      <c r="AG14" s="125" t="s">
        <v>582</v>
      </c>
      <c r="AH14" s="128">
        <f t="shared" ca="1" si="1"/>
        <v>45637</v>
      </c>
      <c r="AI14" s="129" t="s">
        <v>583</v>
      </c>
      <c r="AJ14" s="129"/>
      <c r="AK14" s="129"/>
      <c r="AL14" s="129"/>
      <c r="AM14" s="129"/>
    </row>
    <row r="15" spans="1:39" ht="18" hidden="1" customHeight="1" x14ac:dyDescent="0.25">
      <c r="A15" s="117">
        <v>14</v>
      </c>
      <c r="B15" s="117"/>
      <c r="C15" s="118" t="s">
        <v>590</v>
      </c>
      <c r="D15" s="146">
        <f t="array" aca="1" ref="D15" ca="1">SUM(--(_xlfn.UNIQUE(_xlfn._xlws.FILTER($M$2:$M$1011 &amp; "", ($C$2:$C$1011 = C15) * ($M$2:$M$1011 &lt;&gt; ""))) &lt;&gt; ""))</f>
        <v>2</v>
      </c>
      <c r="E15" s="166">
        <f t="shared" ca="1" si="0"/>
        <v>1877.1200000000003</v>
      </c>
      <c r="F15" s="143">
        <v>1</v>
      </c>
      <c r="G15" s="143" t="s">
        <v>169</v>
      </c>
      <c r="H15" s="119">
        <f>_xlfn.XLOOKUP(G15,'🚛 FROTA'!B:B,'🚛 FROTA'!A:A,"")</f>
        <v>43</v>
      </c>
      <c r="I15" s="119"/>
      <c r="J15" s="119" t="str">
        <f>IF(G15="","",_xlfn.XLOOKUP(G15,'🚛 FROTA'!B:B,'🚛 FROTA'!E:E,""))</f>
        <v>Express Delivery</v>
      </c>
      <c r="K15" s="119" t="str">
        <f>IF(G15="","",_xlfn.XLOOKUP(G15,'🚛 FROTA'!B:B,'🚛 FROTA'!K:K,""))</f>
        <v>Carroceria</v>
      </c>
      <c r="L15" s="143" t="s">
        <v>571</v>
      </c>
      <c r="M15" s="143" t="s">
        <v>592</v>
      </c>
      <c r="N15" s="145">
        <v>45670</v>
      </c>
      <c r="O15" s="143">
        <v>1</v>
      </c>
      <c r="P15" s="143">
        <v>1</v>
      </c>
      <c r="Q15" s="167">
        <v>305.12</v>
      </c>
      <c r="R15" s="143" t="s">
        <v>554</v>
      </c>
      <c r="S15" s="122" t="s">
        <v>534</v>
      </c>
      <c r="T15" s="120" t="s">
        <v>522</v>
      </c>
      <c r="U15" s="121" t="s">
        <v>555</v>
      </c>
      <c r="V15" s="119" t="s">
        <v>573</v>
      </c>
      <c r="W15" s="119" t="s">
        <v>585</v>
      </c>
      <c r="X15" s="123" t="s">
        <v>593</v>
      </c>
      <c r="Y15" s="119"/>
      <c r="Z15" s="124">
        <v>38060</v>
      </c>
      <c r="AA15" s="122" t="s">
        <v>577</v>
      </c>
      <c r="AB15" s="122">
        <v>2</v>
      </c>
      <c r="AC15" s="131" t="s">
        <v>578</v>
      </c>
      <c r="AD15" s="131"/>
      <c r="AE15" s="131" t="s">
        <v>579</v>
      </c>
      <c r="AF15" s="131"/>
      <c r="AG15" s="125" t="s">
        <v>587</v>
      </c>
      <c r="AH15" s="128">
        <f t="shared" ca="1" si="1"/>
        <v>45637</v>
      </c>
      <c r="AI15" s="129" t="s">
        <v>583</v>
      </c>
      <c r="AJ15" s="129"/>
      <c r="AK15" s="129"/>
      <c r="AL15" s="129"/>
      <c r="AM15" s="129"/>
    </row>
    <row r="16" spans="1:39" ht="18" customHeight="1" x14ac:dyDescent="0.25">
      <c r="A16" s="117">
        <v>15</v>
      </c>
      <c r="B16" s="117"/>
      <c r="C16" s="118" t="s">
        <v>590</v>
      </c>
      <c r="D16" s="146">
        <f t="array" aca="1" ref="D16" ca="1">SUM(--(_xlfn.UNIQUE(_xlfn._xlws.FILTER($M$2:$M$1011 &amp; "", ($C$2:$C$1011 = C16) * ($M$2:$M$1011 &lt;&gt; ""))) &lt;&gt; ""))</f>
        <v>2</v>
      </c>
      <c r="E16" s="166">
        <f t="shared" ca="1" si="0"/>
        <v>1877.1200000000003</v>
      </c>
      <c r="F16" s="143">
        <v>1</v>
      </c>
      <c r="G16" s="143" t="s">
        <v>169</v>
      </c>
      <c r="H16" s="119">
        <f>_xlfn.XLOOKUP(G16,'🚛 FROTA'!B:B,'🚛 FROTA'!A:A,"")</f>
        <v>43</v>
      </c>
      <c r="I16" s="119"/>
      <c r="J16" s="119" t="str">
        <f>IF(G16="","",_xlfn.XLOOKUP(G16,'🚛 FROTA'!B:B,'🚛 FROTA'!E:E,""))</f>
        <v>Express Delivery</v>
      </c>
      <c r="K16" s="119" t="str">
        <f>IF(G16="","",_xlfn.XLOOKUP(G16,'🚛 FROTA'!B:B,'🚛 FROTA'!K:K,""))</f>
        <v>Carroceria</v>
      </c>
      <c r="L16" s="143" t="s">
        <v>571</v>
      </c>
      <c r="M16" s="143" t="s">
        <v>591</v>
      </c>
      <c r="N16" s="145">
        <v>45698</v>
      </c>
      <c r="O16" s="143">
        <v>2</v>
      </c>
      <c r="P16" s="143">
        <v>3</v>
      </c>
      <c r="Q16" s="167">
        <v>523.33000000000004</v>
      </c>
      <c r="R16" s="143" t="s">
        <v>554</v>
      </c>
      <c r="S16" s="122" t="s">
        <v>560</v>
      </c>
      <c r="T16" s="120" t="s">
        <v>522</v>
      </c>
      <c r="U16" s="121" t="s">
        <v>555</v>
      </c>
      <c r="V16" s="119" t="s">
        <v>573</v>
      </c>
      <c r="W16" s="119" t="s">
        <v>574</v>
      </c>
      <c r="X16" s="123" t="s">
        <v>575</v>
      </c>
      <c r="Y16" s="119" t="s">
        <v>576</v>
      </c>
      <c r="Z16" s="124">
        <v>38060</v>
      </c>
      <c r="AA16" s="122" t="s">
        <v>577</v>
      </c>
      <c r="AB16" s="122">
        <v>2</v>
      </c>
      <c r="AC16" s="131" t="s">
        <v>578</v>
      </c>
      <c r="AD16" s="131" t="s">
        <v>579</v>
      </c>
      <c r="AE16" s="131" t="s">
        <v>580</v>
      </c>
      <c r="AF16" s="131" t="s">
        <v>581</v>
      </c>
      <c r="AG16" s="125" t="s">
        <v>582</v>
      </c>
      <c r="AH16" s="128">
        <f t="shared" ca="1" si="1"/>
        <v>45637</v>
      </c>
      <c r="AI16" s="129" t="s">
        <v>583</v>
      </c>
      <c r="AJ16" s="129"/>
      <c r="AK16" s="129"/>
      <c r="AL16" s="129"/>
      <c r="AM16" s="129"/>
    </row>
    <row r="17" spans="1:39" ht="18" customHeight="1" x14ac:dyDescent="0.25">
      <c r="A17" s="117">
        <v>16</v>
      </c>
      <c r="B17" s="117"/>
      <c r="C17" s="118" t="s">
        <v>590</v>
      </c>
      <c r="D17" s="146">
        <f t="array" aca="1" ref="D17" ca="1">SUM(--(_xlfn.UNIQUE(_xlfn._xlws.FILTER($M$2:$M$1011 &amp; "", ($C$2:$C$1011 = C17) * ($M$2:$M$1011 &lt;&gt; ""))) &lt;&gt; ""))</f>
        <v>2</v>
      </c>
      <c r="E17" s="166">
        <f t="shared" ca="1" si="0"/>
        <v>1877.1200000000003</v>
      </c>
      <c r="F17" s="143">
        <v>1</v>
      </c>
      <c r="G17" s="143" t="s">
        <v>169</v>
      </c>
      <c r="H17" s="119">
        <f>_xlfn.XLOOKUP(G17,'🚛 FROTA'!B:B,'🚛 FROTA'!A:A,"")</f>
        <v>43</v>
      </c>
      <c r="I17" s="119"/>
      <c r="J17" s="119" t="str">
        <f>IF(G17="","",_xlfn.XLOOKUP(G17,'🚛 FROTA'!B:B,'🚛 FROTA'!E:E,""))</f>
        <v>Express Delivery</v>
      </c>
      <c r="K17" s="119" t="str">
        <f>IF(G17="","",_xlfn.XLOOKUP(G17,'🚛 FROTA'!B:B,'🚛 FROTA'!K:K,""))</f>
        <v>Carroceria</v>
      </c>
      <c r="L17" s="143" t="s">
        <v>571</v>
      </c>
      <c r="M17" s="143" t="s">
        <v>591</v>
      </c>
      <c r="N17" s="145">
        <v>45727</v>
      </c>
      <c r="O17" s="143">
        <v>3</v>
      </c>
      <c r="P17" s="143">
        <v>3</v>
      </c>
      <c r="Q17" s="167">
        <v>525.34</v>
      </c>
      <c r="R17" s="143" t="s">
        <v>554</v>
      </c>
      <c r="S17" s="122" t="s">
        <v>560</v>
      </c>
      <c r="T17" s="120" t="s">
        <v>522</v>
      </c>
      <c r="U17" s="121" t="s">
        <v>555</v>
      </c>
      <c r="V17" s="119" t="s">
        <v>573</v>
      </c>
      <c r="W17" s="119" t="s">
        <v>574</v>
      </c>
      <c r="X17" s="123" t="s">
        <v>575</v>
      </c>
      <c r="Y17" s="119" t="s">
        <v>576</v>
      </c>
      <c r="Z17" s="124">
        <v>38060</v>
      </c>
      <c r="AA17" s="122" t="s">
        <v>577</v>
      </c>
      <c r="AB17" s="122">
        <v>2</v>
      </c>
      <c r="AC17" s="131" t="s">
        <v>578</v>
      </c>
      <c r="AD17" s="131" t="s">
        <v>579</v>
      </c>
      <c r="AE17" s="131" t="s">
        <v>580</v>
      </c>
      <c r="AF17" s="131" t="s">
        <v>581</v>
      </c>
      <c r="AG17" s="125" t="s">
        <v>582</v>
      </c>
      <c r="AH17" s="128">
        <f t="shared" ca="1" si="1"/>
        <v>45637</v>
      </c>
      <c r="AI17" s="129" t="s">
        <v>583</v>
      </c>
      <c r="AJ17" s="129"/>
      <c r="AK17" s="129"/>
      <c r="AL17" s="129"/>
      <c r="AM17" s="129"/>
    </row>
    <row r="18" spans="1:39" ht="18" hidden="1" customHeight="1" x14ac:dyDescent="0.25">
      <c r="A18" s="117">
        <v>17</v>
      </c>
      <c r="B18" s="117"/>
      <c r="C18" s="118" t="s">
        <v>594</v>
      </c>
      <c r="D18" s="146">
        <f t="array" aca="1" ref="D18" ca="1">SUM(--(_xlfn.UNIQUE(_xlfn._xlws.FILTER($M$2:$M$1011 &amp; "", ($C$2:$C$1011 = C18) * ($M$2:$M$1011 &lt;&gt; ""))) &lt;&gt; ""))</f>
        <v>1</v>
      </c>
      <c r="E18" s="166">
        <f t="shared" ca="1" si="0"/>
        <v>668.29</v>
      </c>
      <c r="F18" s="143">
        <v>1</v>
      </c>
      <c r="G18" s="143" t="s">
        <v>141</v>
      </c>
      <c r="H18" s="119">
        <f>_xlfn.XLOOKUP(G18,'🚛 FROTA'!B:B,'🚛 FROTA'!A:A,"")</f>
        <v>24</v>
      </c>
      <c r="I18" s="119"/>
      <c r="J18" s="119" t="str">
        <f>IF(G18="","",_xlfn.XLOOKUP(G18,'🚛 FROTA'!B:B,'🚛 FROTA'!E:E,""))</f>
        <v>14.190 Constellation</v>
      </c>
      <c r="K18" s="119" t="str">
        <f>IF(G18="","",_xlfn.XLOOKUP(G18,'🚛 FROTA'!B:B,'🚛 FROTA'!K:K,""))</f>
        <v>Munck</v>
      </c>
      <c r="L18" s="143" t="s">
        <v>595</v>
      </c>
      <c r="M18" s="143" t="s">
        <v>596</v>
      </c>
      <c r="N18" s="145">
        <v>45668</v>
      </c>
      <c r="O18" s="143">
        <v>2</v>
      </c>
      <c r="P18" s="143">
        <v>3</v>
      </c>
      <c r="Q18" s="167">
        <v>334.09</v>
      </c>
      <c r="R18" s="143" t="s">
        <v>554</v>
      </c>
      <c r="S18" s="122" t="s">
        <v>560</v>
      </c>
      <c r="T18" s="120" t="s">
        <v>522</v>
      </c>
      <c r="U18" s="121" t="s">
        <v>597</v>
      </c>
      <c r="V18" s="119" t="s">
        <v>598</v>
      </c>
      <c r="W18" s="119" t="s">
        <v>599</v>
      </c>
      <c r="X18" s="123" t="s">
        <v>600</v>
      </c>
      <c r="Y18" s="119" t="s">
        <v>601</v>
      </c>
      <c r="Z18" s="130">
        <v>105005</v>
      </c>
      <c r="AA18" s="125"/>
      <c r="AB18" s="126"/>
      <c r="AC18" s="127"/>
      <c r="AD18" s="127"/>
      <c r="AE18" s="127"/>
      <c r="AF18" s="127"/>
      <c r="AG18" s="125"/>
      <c r="AH18" s="128">
        <f t="shared" ca="1" si="1"/>
        <v>45638</v>
      </c>
      <c r="AI18" s="129" t="s">
        <v>602</v>
      </c>
      <c r="AJ18" s="129"/>
      <c r="AK18" s="132">
        <f>IF(Z18="",0,Z18+10000)</f>
        <v>115005</v>
      </c>
      <c r="AL18" s="129"/>
      <c r="AM18" s="129"/>
    </row>
    <row r="19" spans="1:39" ht="18" hidden="1" customHeight="1" x14ac:dyDescent="0.25">
      <c r="A19" s="117">
        <v>18</v>
      </c>
      <c r="B19" s="117"/>
      <c r="C19" s="118" t="s">
        <v>594</v>
      </c>
      <c r="D19" s="146">
        <f t="array" aca="1" ref="D19" ca="1">SUM(--(_xlfn.UNIQUE(_xlfn._xlws.FILTER($M$2:$M$1011 &amp; "", ($C$2:$C$1011 = C19) * ($M$2:$M$1011 &lt;&gt; ""))) &lt;&gt; ""))</f>
        <v>1</v>
      </c>
      <c r="E19" s="166">
        <f t="shared" ca="1" si="0"/>
        <v>668.29</v>
      </c>
      <c r="F19" s="143">
        <v>1</v>
      </c>
      <c r="G19" s="143" t="s">
        <v>141</v>
      </c>
      <c r="H19" s="119">
        <f>_xlfn.XLOOKUP(G19,'🚛 FROTA'!B:B,'🚛 FROTA'!A:A,"")</f>
        <v>24</v>
      </c>
      <c r="I19" s="119"/>
      <c r="J19" s="119" t="str">
        <f>IF(G19="","",_xlfn.XLOOKUP(G19,'🚛 FROTA'!B:B,'🚛 FROTA'!E:E,""))</f>
        <v>14.190 Constellation</v>
      </c>
      <c r="K19" s="119" t="str">
        <f>IF(G19="","",_xlfn.XLOOKUP(G19,'🚛 FROTA'!B:B,'🚛 FROTA'!K:K,""))</f>
        <v>Munck</v>
      </c>
      <c r="L19" s="143" t="s">
        <v>595</v>
      </c>
      <c r="M19" s="143" t="s">
        <v>596</v>
      </c>
      <c r="N19" s="145">
        <v>45698</v>
      </c>
      <c r="O19" s="143">
        <v>3</v>
      </c>
      <c r="P19" s="143">
        <v>3</v>
      </c>
      <c r="Q19" s="167">
        <v>334.2</v>
      </c>
      <c r="R19" s="143" t="s">
        <v>554</v>
      </c>
      <c r="S19" s="122" t="s">
        <v>560</v>
      </c>
      <c r="T19" s="120" t="s">
        <v>522</v>
      </c>
      <c r="U19" s="121" t="s">
        <v>597</v>
      </c>
      <c r="V19" s="119" t="s">
        <v>598</v>
      </c>
      <c r="W19" s="119" t="s">
        <v>599</v>
      </c>
      <c r="X19" s="123" t="s">
        <v>600</v>
      </c>
      <c r="Y19" s="119" t="s">
        <v>601</v>
      </c>
      <c r="Z19" s="130">
        <v>105005</v>
      </c>
      <c r="AA19" s="125"/>
      <c r="AB19" s="126"/>
      <c r="AC19" s="127"/>
      <c r="AD19" s="127"/>
      <c r="AE19" s="127"/>
      <c r="AF19" s="127"/>
      <c r="AG19" s="125"/>
      <c r="AH19" s="128">
        <f t="shared" ca="1" si="1"/>
        <v>45638</v>
      </c>
      <c r="AI19" s="129" t="s">
        <v>602</v>
      </c>
      <c r="AJ19" s="129"/>
      <c r="AK19" s="132">
        <f>IF(Z19="",0,Z19+10000)</f>
        <v>115005</v>
      </c>
      <c r="AL19" s="129"/>
      <c r="AM19" s="129"/>
    </row>
    <row r="20" spans="1:39" ht="18" customHeight="1" x14ac:dyDescent="0.25">
      <c r="A20" s="117">
        <v>19</v>
      </c>
      <c r="B20" s="117"/>
      <c r="C20" s="118" t="s">
        <v>603</v>
      </c>
      <c r="D20" s="146">
        <f t="array" aca="1" ref="D20" ca="1">SUM(--(_xlfn.UNIQUE(_xlfn._xlws.FILTER($M$2:$M$1011 &amp; "", ($C$2:$C$1011 = C20) * ($M$2:$M$1011 &lt;&gt; ""))) &lt;&gt; ""))</f>
        <v>1</v>
      </c>
      <c r="E20" s="166">
        <f t="shared" ca="1" si="0"/>
        <v>1065.32</v>
      </c>
      <c r="F20" s="143">
        <v>1</v>
      </c>
      <c r="G20" s="143" t="s">
        <v>172</v>
      </c>
      <c r="H20" s="119">
        <f>_xlfn.XLOOKUP(G20,'🚛 FROTA'!B:B,'🚛 FROTA'!A:A,"")</f>
        <v>45</v>
      </c>
      <c r="I20" s="119"/>
      <c r="J20" s="119" t="str">
        <f>IF(G20="","",_xlfn.XLOOKUP(G20,'🚛 FROTA'!B:B,'🚛 FROTA'!E:E,""))</f>
        <v>Express Delivery</v>
      </c>
      <c r="K20" s="119" t="str">
        <f>IF(G20="","",_xlfn.XLOOKUP(G20,'🚛 FROTA'!B:B,'🚛 FROTA'!K:K,""))</f>
        <v>Carroceria</v>
      </c>
      <c r="L20" s="143" t="s">
        <v>604</v>
      </c>
      <c r="M20" s="143" t="s">
        <v>605</v>
      </c>
      <c r="N20" s="145">
        <v>45668</v>
      </c>
      <c r="O20" s="143">
        <v>2</v>
      </c>
      <c r="P20" s="143">
        <v>3</v>
      </c>
      <c r="Q20" s="167">
        <v>532.66</v>
      </c>
      <c r="R20" s="143" t="s">
        <v>554</v>
      </c>
      <c r="S20" s="122" t="s">
        <v>560</v>
      </c>
      <c r="T20" s="120" t="s">
        <v>522</v>
      </c>
      <c r="U20" s="121" t="s">
        <v>555</v>
      </c>
      <c r="V20" s="119" t="s">
        <v>573</v>
      </c>
      <c r="W20" s="119" t="s">
        <v>574</v>
      </c>
      <c r="X20" s="123" t="s">
        <v>606</v>
      </c>
      <c r="Y20" s="119" t="s">
        <v>576</v>
      </c>
      <c r="Z20" s="130"/>
      <c r="AA20" s="122" t="s">
        <v>577</v>
      </c>
      <c r="AB20" s="122">
        <v>2</v>
      </c>
      <c r="AC20" s="131" t="s">
        <v>578</v>
      </c>
      <c r="AD20" s="131" t="s">
        <v>607</v>
      </c>
      <c r="AE20" s="131" t="s">
        <v>608</v>
      </c>
      <c r="AF20" s="131" t="s">
        <v>581</v>
      </c>
      <c r="AG20" s="125" t="s">
        <v>582</v>
      </c>
      <c r="AH20" s="128">
        <f t="shared" ca="1" si="1"/>
        <v>45638</v>
      </c>
      <c r="AI20" s="129" t="s">
        <v>609</v>
      </c>
      <c r="AJ20" s="129"/>
      <c r="AK20" s="129"/>
      <c r="AL20" s="129"/>
      <c r="AM20" s="129"/>
    </row>
    <row r="21" spans="1:39" ht="18" customHeight="1" x14ac:dyDescent="0.25">
      <c r="A21" s="117">
        <v>20</v>
      </c>
      <c r="B21" s="117"/>
      <c r="C21" s="118" t="s">
        <v>603</v>
      </c>
      <c r="D21" s="146">
        <f t="array" aca="1" ref="D21" ca="1">SUM(--(_xlfn.UNIQUE(_xlfn._xlws.FILTER($M$2:$M$1011 &amp; "", ($C$2:$C$1011 = C21) * ($M$2:$M$1011 &lt;&gt; ""))) &lt;&gt; ""))</f>
        <v>1</v>
      </c>
      <c r="E21" s="166">
        <f t="shared" ca="1" si="0"/>
        <v>1065.32</v>
      </c>
      <c r="F21" s="143">
        <v>1</v>
      </c>
      <c r="G21" s="143" t="s">
        <v>172</v>
      </c>
      <c r="H21" s="119">
        <f>_xlfn.XLOOKUP(G21,'🚛 FROTA'!B:B,'🚛 FROTA'!A:A,"")</f>
        <v>45</v>
      </c>
      <c r="I21" s="119"/>
      <c r="J21" s="119" t="str">
        <f>IF(G21="","",_xlfn.XLOOKUP(G21,'🚛 FROTA'!B:B,'🚛 FROTA'!E:E,""))</f>
        <v>Express Delivery</v>
      </c>
      <c r="K21" s="119" t="str">
        <f>IF(G21="","",_xlfn.XLOOKUP(G21,'🚛 FROTA'!B:B,'🚛 FROTA'!K:K,""))</f>
        <v>Carroceria</v>
      </c>
      <c r="L21" s="143" t="s">
        <v>604</v>
      </c>
      <c r="M21" s="143" t="s">
        <v>605</v>
      </c>
      <c r="N21" s="145">
        <v>45698</v>
      </c>
      <c r="O21" s="143">
        <v>3</v>
      </c>
      <c r="P21" s="143">
        <v>3</v>
      </c>
      <c r="Q21" s="167">
        <v>532.66</v>
      </c>
      <c r="R21" s="143" t="s">
        <v>554</v>
      </c>
      <c r="S21" s="122" t="s">
        <v>560</v>
      </c>
      <c r="T21" s="120" t="s">
        <v>522</v>
      </c>
      <c r="U21" s="121" t="s">
        <v>555</v>
      </c>
      <c r="V21" s="119" t="s">
        <v>573</v>
      </c>
      <c r="W21" s="119" t="s">
        <v>574</v>
      </c>
      <c r="X21" s="123" t="s">
        <v>606</v>
      </c>
      <c r="Y21" s="119" t="s">
        <v>576</v>
      </c>
      <c r="Z21" s="130"/>
      <c r="AA21" s="122" t="s">
        <v>577</v>
      </c>
      <c r="AB21" s="122">
        <v>2</v>
      </c>
      <c r="AC21" s="131" t="s">
        <v>578</v>
      </c>
      <c r="AD21" s="131" t="s">
        <v>607</v>
      </c>
      <c r="AE21" s="131" t="s">
        <v>608</v>
      </c>
      <c r="AF21" s="131" t="s">
        <v>581</v>
      </c>
      <c r="AG21" s="125" t="s">
        <v>582</v>
      </c>
      <c r="AH21" s="128">
        <f t="shared" ca="1" si="1"/>
        <v>45638</v>
      </c>
      <c r="AI21" s="129" t="s">
        <v>609</v>
      </c>
      <c r="AJ21" s="129"/>
      <c r="AK21" s="129"/>
      <c r="AL21" s="129"/>
      <c r="AM21" s="129"/>
    </row>
    <row r="22" spans="1:39" ht="18" customHeight="1" x14ac:dyDescent="0.25">
      <c r="A22" s="117">
        <v>21</v>
      </c>
      <c r="B22" s="117"/>
      <c r="C22" s="118" t="s">
        <v>610</v>
      </c>
      <c r="D22" s="146">
        <f t="array" aca="1" ref="D22" ca="1">SUM(--(_xlfn.UNIQUE(_xlfn._xlws.FILTER($M$2:$M$1011 &amp; "", ($C$2:$C$1011 = C22) * ($M$2:$M$1011 &lt;&gt; ""))) &lt;&gt; ""))</f>
        <v>1</v>
      </c>
      <c r="E22" s="166">
        <f t="shared" ca="1" si="0"/>
        <v>1326.66</v>
      </c>
      <c r="F22" s="143">
        <v>1</v>
      </c>
      <c r="G22" s="143" t="s">
        <v>128</v>
      </c>
      <c r="H22" s="119">
        <f>_xlfn.XLOOKUP(G22,'🚛 FROTA'!B:B,'🚛 FROTA'!A:A,"")</f>
        <v>20</v>
      </c>
      <c r="I22" s="119"/>
      <c r="J22" s="119" t="str">
        <f>IF(G22="","",_xlfn.XLOOKUP(G22,'🚛 FROTA'!B:B,'🚛 FROTA'!E:E,""))</f>
        <v>3CX</v>
      </c>
      <c r="K22" s="119"/>
      <c r="L22" s="143" t="s">
        <v>571</v>
      </c>
      <c r="M22" s="143" t="s">
        <v>611</v>
      </c>
      <c r="N22" s="145">
        <v>45670</v>
      </c>
      <c r="O22" s="143">
        <v>3</v>
      </c>
      <c r="P22" s="143">
        <v>3</v>
      </c>
      <c r="Q22" s="167">
        <v>1326.66</v>
      </c>
      <c r="R22" s="143" t="s">
        <v>554</v>
      </c>
      <c r="S22" s="122" t="s">
        <v>560</v>
      </c>
      <c r="T22" s="120" t="s">
        <v>522</v>
      </c>
      <c r="U22" s="121" t="s">
        <v>555</v>
      </c>
      <c r="V22" s="119" t="s">
        <v>573</v>
      </c>
      <c r="W22" s="119" t="s">
        <v>574</v>
      </c>
      <c r="X22" s="123" t="s">
        <v>612</v>
      </c>
      <c r="Y22" s="119" t="s">
        <v>576</v>
      </c>
      <c r="Z22" s="130"/>
      <c r="AA22" s="122" t="s">
        <v>577</v>
      </c>
      <c r="AB22" s="122">
        <v>2</v>
      </c>
      <c r="AC22" s="131" t="s">
        <v>613</v>
      </c>
      <c r="AD22" s="131" t="s">
        <v>614</v>
      </c>
      <c r="AE22" s="131" t="s">
        <v>615</v>
      </c>
      <c r="AF22" s="131" t="s">
        <v>581</v>
      </c>
      <c r="AG22" s="125" t="s">
        <v>582</v>
      </c>
      <c r="AH22" s="128">
        <f t="shared" ca="1" si="1"/>
        <v>45640</v>
      </c>
      <c r="AI22" s="129" t="s">
        <v>583</v>
      </c>
      <c r="AJ22" s="129"/>
      <c r="AK22" s="129"/>
      <c r="AL22" s="129"/>
      <c r="AM22" s="129"/>
    </row>
    <row r="23" spans="1:39" ht="18" hidden="1" customHeight="1" x14ac:dyDescent="0.25">
      <c r="A23" s="117">
        <v>22</v>
      </c>
      <c r="B23" s="117"/>
      <c r="C23" s="118" t="s">
        <v>561</v>
      </c>
      <c r="D23" s="146">
        <f t="array" aca="1" ref="D23" ca="1">SUM(--(_xlfn.UNIQUE(_xlfn._xlws.FILTER($M$2:$M$1011 &amp; "", ($C$2:$C$1011 = C23) * ($M$2:$M$1011 &lt;&gt; ""))) &lt;&gt; ""))</f>
        <v>1</v>
      </c>
      <c r="E23" s="166">
        <f t="shared" ca="1" si="0"/>
        <v>3424.84</v>
      </c>
      <c r="F23" s="143">
        <v>1</v>
      </c>
      <c r="G23" s="143" t="s">
        <v>155</v>
      </c>
      <c r="H23" s="119">
        <f>_xlfn.XLOOKUP(G23,'🚛 FROTA'!B:B,'🚛 FROTA'!A:A,"")</f>
        <v>34</v>
      </c>
      <c r="I23" s="119"/>
      <c r="J23" s="119" t="str">
        <f>IF(G23="","",_xlfn.XLOOKUP(G23,'🚛 FROTA'!B:B,'🚛 FROTA'!E:E,""))</f>
        <v>9.170 Delivery</v>
      </c>
      <c r="K23" s="119" t="str">
        <f>IF(G23="","",_xlfn.XLOOKUP(G23,'🚛 FROTA'!B:B,'🚛 FROTA'!K:K,""))</f>
        <v>Basculante</v>
      </c>
      <c r="L23" s="143" t="s">
        <v>552</v>
      </c>
      <c r="M23" s="143" t="s">
        <v>562</v>
      </c>
      <c r="N23" s="145">
        <v>45690</v>
      </c>
      <c r="O23" s="143">
        <v>3</v>
      </c>
      <c r="P23" s="143">
        <v>4</v>
      </c>
      <c r="Q23" s="167">
        <v>856.21</v>
      </c>
      <c r="R23" s="143" t="s">
        <v>554</v>
      </c>
      <c r="S23" s="122" t="s">
        <v>534</v>
      </c>
      <c r="T23" s="120" t="s">
        <v>522</v>
      </c>
      <c r="U23" s="121" t="s">
        <v>555</v>
      </c>
      <c r="V23" s="119" t="s">
        <v>556</v>
      </c>
      <c r="W23" s="119" t="s">
        <v>563</v>
      </c>
      <c r="X23" s="123" t="s">
        <v>564</v>
      </c>
      <c r="Y23" s="119"/>
      <c r="Z23" s="124">
        <v>58017</v>
      </c>
      <c r="AA23" s="125"/>
      <c r="AB23" s="126"/>
      <c r="AC23" s="127"/>
      <c r="AD23" s="127"/>
      <c r="AE23" s="127"/>
      <c r="AF23" s="127"/>
      <c r="AG23" s="125"/>
      <c r="AH23" s="128">
        <f t="shared" ca="1" si="1"/>
        <v>45600</v>
      </c>
      <c r="AI23" s="129" t="s">
        <v>559</v>
      </c>
      <c r="AJ23" s="129"/>
      <c r="AK23" s="129"/>
      <c r="AL23" s="129"/>
      <c r="AM23" s="129"/>
    </row>
    <row r="24" spans="1:39" ht="18" hidden="1" customHeight="1" x14ac:dyDescent="0.25">
      <c r="A24" s="117">
        <v>23</v>
      </c>
      <c r="B24" s="117"/>
      <c r="C24" s="118" t="s">
        <v>616</v>
      </c>
      <c r="D24" s="146">
        <f t="array" aca="1" ref="D24" ca="1">SUM(--(_xlfn.UNIQUE(_xlfn._xlws.FILTER($M$2:$M$1011 &amp; "", ($C$2:$C$1011 = C24) * ($M$2:$M$1011 &lt;&gt; ""))) &lt;&gt; ""))</f>
        <v>3</v>
      </c>
      <c r="E24" s="166">
        <f t="shared" ca="1" si="0"/>
        <v>5943.73</v>
      </c>
      <c r="F24" s="143">
        <v>1</v>
      </c>
      <c r="G24" s="143" t="s">
        <v>85</v>
      </c>
      <c r="H24" s="119">
        <f>_xlfn.XLOOKUP(G24,'🚛 FROTA'!B:B,'🚛 FROTA'!A:A,"")</f>
        <v>6</v>
      </c>
      <c r="I24" s="119"/>
      <c r="J24" s="119" t="str">
        <f>IF(G24="","",_xlfn.XLOOKUP(G24,'🚛 FROTA'!B:B,'🚛 FROTA'!E:E,""))</f>
        <v>13.180 Constellation</v>
      </c>
      <c r="K24" s="119" t="str">
        <f>IF(G24="","",_xlfn.XLOOKUP(G24,'🚛 FROTA'!B:B,'🚛 FROTA'!K:K,""))</f>
        <v>Munck</v>
      </c>
      <c r="L24" s="143" t="s">
        <v>617</v>
      </c>
      <c r="M24" s="143" t="s">
        <v>618</v>
      </c>
      <c r="N24" s="145">
        <v>45672</v>
      </c>
      <c r="O24" s="143">
        <v>1</v>
      </c>
      <c r="P24" s="143">
        <v>1</v>
      </c>
      <c r="Q24" s="167">
        <v>565</v>
      </c>
      <c r="R24" s="143" t="s">
        <v>554</v>
      </c>
      <c r="S24" s="122" t="s">
        <v>560</v>
      </c>
      <c r="T24" s="120" t="s">
        <v>522</v>
      </c>
      <c r="U24" s="121" t="s">
        <v>555</v>
      </c>
      <c r="V24" s="119" t="s">
        <v>619</v>
      </c>
      <c r="W24" s="119" t="s">
        <v>620</v>
      </c>
      <c r="X24" s="123" t="s">
        <v>621</v>
      </c>
      <c r="Y24" s="119"/>
      <c r="Z24" s="130"/>
      <c r="AA24" s="125"/>
      <c r="AB24" s="126"/>
      <c r="AC24" s="127"/>
      <c r="AD24" s="127"/>
      <c r="AE24" s="127"/>
      <c r="AF24" s="127"/>
      <c r="AG24" s="125"/>
      <c r="AH24" s="128">
        <f t="shared" ca="1" si="1"/>
        <v>45642</v>
      </c>
      <c r="AI24" s="129" t="s">
        <v>622</v>
      </c>
      <c r="AJ24" s="129"/>
      <c r="AK24" s="129"/>
      <c r="AL24" s="129"/>
      <c r="AM24" s="129"/>
    </row>
    <row r="25" spans="1:39" ht="18" hidden="1" customHeight="1" x14ac:dyDescent="0.25">
      <c r="A25" s="117">
        <v>24</v>
      </c>
      <c r="B25" s="117"/>
      <c r="C25" s="118" t="s">
        <v>616</v>
      </c>
      <c r="D25" s="146">
        <f t="array" aca="1" ref="D25" ca="1">SUM(--(_xlfn.UNIQUE(_xlfn._xlws.FILTER($M$2:$M$1011 &amp; "", ($C$2:$C$1011 = C25) * ($M$2:$M$1011 &lt;&gt; ""))) &lt;&gt; ""))</f>
        <v>3</v>
      </c>
      <c r="E25" s="166">
        <f t="shared" ca="1" si="0"/>
        <v>5943.73</v>
      </c>
      <c r="F25" s="143">
        <v>1</v>
      </c>
      <c r="G25" s="143" t="s">
        <v>85</v>
      </c>
      <c r="H25" s="119">
        <f>_xlfn.XLOOKUP(G25,'🚛 FROTA'!B:B,'🚛 FROTA'!A:A,"")</f>
        <v>6</v>
      </c>
      <c r="I25" s="119"/>
      <c r="J25" s="119" t="str">
        <f>IF(G25="","",_xlfn.XLOOKUP(G25,'🚛 FROTA'!B:B,'🚛 FROTA'!E:E,""))</f>
        <v>13.180 Constellation</v>
      </c>
      <c r="K25" s="119" t="str">
        <f>IF(G25="","",_xlfn.XLOOKUP(G25,'🚛 FROTA'!B:B,'🚛 FROTA'!K:K,""))</f>
        <v>Munck</v>
      </c>
      <c r="L25" s="143" t="s">
        <v>623</v>
      </c>
      <c r="M25" s="143" t="s">
        <v>624</v>
      </c>
      <c r="N25" s="145">
        <v>45673</v>
      </c>
      <c r="O25" s="143">
        <v>1</v>
      </c>
      <c r="P25" s="143">
        <v>1</v>
      </c>
      <c r="Q25" s="167">
        <v>1800</v>
      </c>
      <c r="R25" s="143" t="s">
        <v>554</v>
      </c>
      <c r="S25" s="122" t="s">
        <v>534</v>
      </c>
      <c r="T25" s="120" t="s">
        <v>522</v>
      </c>
      <c r="U25" s="121" t="s">
        <v>555</v>
      </c>
      <c r="V25" s="119" t="s">
        <v>619</v>
      </c>
      <c r="W25" s="119" t="s">
        <v>625</v>
      </c>
      <c r="X25" s="123" t="s">
        <v>626</v>
      </c>
      <c r="Y25" s="119"/>
      <c r="Z25" s="130"/>
      <c r="AA25" s="125"/>
      <c r="AB25" s="126"/>
      <c r="AC25" s="127"/>
      <c r="AD25" s="127"/>
      <c r="AE25" s="127"/>
      <c r="AF25" s="127"/>
      <c r="AG25" s="125"/>
      <c r="AH25" s="128">
        <f t="shared" ca="1" si="1"/>
        <v>45642</v>
      </c>
      <c r="AI25" s="129"/>
      <c r="AJ25" s="129"/>
      <c r="AK25" s="129"/>
      <c r="AL25" s="129"/>
      <c r="AM25" s="129"/>
    </row>
    <row r="26" spans="1:39" ht="18" hidden="1" customHeight="1" x14ac:dyDescent="0.25">
      <c r="A26" s="117">
        <v>25</v>
      </c>
      <c r="B26" s="117"/>
      <c r="C26" s="118" t="s">
        <v>616</v>
      </c>
      <c r="D26" s="146">
        <f t="array" aca="1" ref="D26" ca="1">SUM(--(_xlfn.UNIQUE(_xlfn._xlws.FILTER($M$2:$M$1011 &amp; "", ($C$2:$C$1011 = C26) * ($M$2:$M$1011 &lt;&gt; ""))) &lt;&gt; ""))</f>
        <v>3</v>
      </c>
      <c r="E26" s="166">
        <f t="shared" ca="1" si="0"/>
        <v>5943.73</v>
      </c>
      <c r="F26" s="143">
        <v>1</v>
      </c>
      <c r="G26" s="143" t="s">
        <v>85</v>
      </c>
      <c r="H26" s="119">
        <f>_xlfn.XLOOKUP(G26,'🚛 FROTA'!B:B,'🚛 FROTA'!A:A,"")</f>
        <v>6</v>
      </c>
      <c r="I26" s="119"/>
      <c r="J26" s="119" t="str">
        <f>IF(G26="","",_xlfn.XLOOKUP(G26,'🚛 FROTA'!B:B,'🚛 FROTA'!E:E,""))</f>
        <v>13.180 Constellation</v>
      </c>
      <c r="K26" s="119" t="str">
        <f>IF(G26="","",_xlfn.XLOOKUP(G26,'🚛 FROTA'!B:B,'🚛 FROTA'!K:K,""))</f>
        <v>Munck</v>
      </c>
      <c r="L26" s="143" t="s">
        <v>627</v>
      </c>
      <c r="M26" s="143" t="s">
        <v>628</v>
      </c>
      <c r="N26" s="145">
        <v>45684</v>
      </c>
      <c r="O26" s="143">
        <v>2</v>
      </c>
      <c r="P26" s="143">
        <v>3</v>
      </c>
      <c r="Q26" s="167">
        <v>1789.37</v>
      </c>
      <c r="R26" s="143" t="s">
        <v>554</v>
      </c>
      <c r="S26" s="122" t="s">
        <v>560</v>
      </c>
      <c r="T26" s="120" t="s">
        <v>522</v>
      </c>
      <c r="U26" s="121" t="s">
        <v>555</v>
      </c>
      <c r="V26" s="119" t="s">
        <v>619</v>
      </c>
      <c r="W26" s="119" t="s">
        <v>629</v>
      </c>
      <c r="X26" s="123" t="s">
        <v>630</v>
      </c>
      <c r="Y26" s="119"/>
      <c r="Z26" s="130"/>
      <c r="AA26" s="125"/>
      <c r="AB26" s="126"/>
      <c r="AC26" s="127"/>
      <c r="AD26" s="127"/>
      <c r="AE26" s="127"/>
      <c r="AF26" s="127"/>
      <c r="AG26" s="125"/>
      <c r="AH26" s="128">
        <f t="shared" ca="1" si="1"/>
        <v>45642</v>
      </c>
      <c r="AI26" s="129" t="s">
        <v>631</v>
      </c>
      <c r="AJ26" s="129"/>
      <c r="AK26" s="129"/>
      <c r="AL26" s="129"/>
      <c r="AM26" s="129"/>
    </row>
    <row r="27" spans="1:39" ht="18" hidden="1" customHeight="1" x14ac:dyDescent="0.25">
      <c r="A27" s="117">
        <v>26</v>
      </c>
      <c r="B27" s="117"/>
      <c r="C27" s="118" t="s">
        <v>616</v>
      </c>
      <c r="D27" s="146">
        <f t="array" aca="1" ref="D27" ca="1">SUM(--(_xlfn.UNIQUE(_xlfn._xlws.FILTER($M$2:$M$1011 &amp; "", ($C$2:$C$1011 = C27) * ($M$2:$M$1011 &lt;&gt; ""))) &lt;&gt; ""))</f>
        <v>3</v>
      </c>
      <c r="E27" s="166">
        <f t="shared" ca="1" si="0"/>
        <v>5943.73</v>
      </c>
      <c r="F27" s="143">
        <v>1</v>
      </c>
      <c r="G27" s="143" t="s">
        <v>85</v>
      </c>
      <c r="H27" s="119">
        <f>_xlfn.XLOOKUP(G27,'🚛 FROTA'!B:B,'🚛 FROTA'!A:A,"")</f>
        <v>6</v>
      </c>
      <c r="I27" s="119"/>
      <c r="J27" s="119" t="str">
        <f>IF(G27="","",_xlfn.XLOOKUP(G27,'🚛 FROTA'!B:B,'🚛 FROTA'!E:E,""))</f>
        <v>13.180 Constellation</v>
      </c>
      <c r="K27" s="119" t="str">
        <f>IF(G27="","",_xlfn.XLOOKUP(G27,'🚛 FROTA'!B:B,'🚛 FROTA'!K:K,""))</f>
        <v>Munck</v>
      </c>
      <c r="L27" s="143" t="s">
        <v>627</v>
      </c>
      <c r="M27" s="143" t="s">
        <v>628</v>
      </c>
      <c r="N27" s="145">
        <v>45713</v>
      </c>
      <c r="O27" s="143">
        <v>3</v>
      </c>
      <c r="P27" s="143">
        <v>3</v>
      </c>
      <c r="Q27" s="167">
        <v>1789.36</v>
      </c>
      <c r="R27" s="143" t="s">
        <v>554</v>
      </c>
      <c r="S27" s="122" t="s">
        <v>560</v>
      </c>
      <c r="T27" s="120" t="s">
        <v>522</v>
      </c>
      <c r="U27" s="121" t="s">
        <v>555</v>
      </c>
      <c r="V27" s="119" t="s">
        <v>619</v>
      </c>
      <c r="W27" s="119" t="s">
        <v>629</v>
      </c>
      <c r="X27" s="123" t="s">
        <v>630</v>
      </c>
      <c r="Y27" s="119"/>
      <c r="Z27" s="130"/>
      <c r="AA27" s="125"/>
      <c r="AB27" s="126"/>
      <c r="AC27" s="127"/>
      <c r="AD27" s="127"/>
      <c r="AE27" s="127"/>
      <c r="AF27" s="127"/>
      <c r="AG27" s="125"/>
      <c r="AH27" s="128">
        <f t="shared" ca="1" si="1"/>
        <v>45642</v>
      </c>
      <c r="AI27" s="129" t="s">
        <v>631</v>
      </c>
      <c r="AJ27" s="129"/>
      <c r="AK27" s="129"/>
      <c r="AL27" s="129"/>
      <c r="AM27" s="129"/>
    </row>
    <row r="28" spans="1:39" ht="18" hidden="1" customHeight="1" x14ac:dyDescent="0.25">
      <c r="A28" s="117">
        <v>27</v>
      </c>
      <c r="B28" s="117"/>
      <c r="C28" s="118" t="s">
        <v>632</v>
      </c>
      <c r="D28" s="146">
        <f t="array" aca="1" ref="D28" ca="1">SUM(--(_xlfn.UNIQUE(_xlfn._xlws.FILTER($M$2:$M$1011 &amp; "", ($C$2:$C$1011 = C28) * ($M$2:$M$1011 &lt;&gt; ""))) &lt;&gt; ""))</f>
        <v>1</v>
      </c>
      <c r="E28" s="166">
        <f t="shared" ca="1" si="0"/>
        <v>1100</v>
      </c>
      <c r="F28" s="143">
        <v>1</v>
      </c>
      <c r="G28" s="143" t="s">
        <v>162</v>
      </c>
      <c r="H28" s="119">
        <f>_xlfn.XLOOKUP(G28,'🚛 FROTA'!B:B,'🚛 FROTA'!A:A,"")</f>
        <v>39</v>
      </c>
      <c r="I28" s="119"/>
      <c r="J28" s="119" t="str">
        <f>IF(G28="","",_xlfn.XLOOKUP(G28,'🚛 FROTA'!B:B,'🚛 FROTA'!E:E,""))</f>
        <v>Express Delivery</v>
      </c>
      <c r="K28" s="119" t="str">
        <f>IF(G28="","",_xlfn.XLOOKUP(G28,'🚛 FROTA'!B:B,'🚛 FROTA'!K:K,""))</f>
        <v>Carroceria Cabinado</v>
      </c>
      <c r="L28" s="143" t="s">
        <v>617</v>
      </c>
      <c r="M28" s="143" t="s">
        <v>633</v>
      </c>
      <c r="N28" s="145">
        <v>45674</v>
      </c>
      <c r="O28" s="143">
        <v>1</v>
      </c>
      <c r="P28" s="143">
        <v>1</v>
      </c>
      <c r="Q28" s="167">
        <v>1100</v>
      </c>
      <c r="R28" s="143" t="s">
        <v>554</v>
      </c>
      <c r="S28" s="122" t="s">
        <v>534</v>
      </c>
      <c r="T28" s="120" t="s">
        <v>522</v>
      </c>
      <c r="U28" s="121" t="s">
        <v>555</v>
      </c>
      <c r="V28" s="119" t="s">
        <v>634</v>
      </c>
      <c r="W28" s="119" t="s">
        <v>635</v>
      </c>
      <c r="X28" s="123" t="s">
        <v>636</v>
      </c>
      <c r="Y28" s="119"/>
      <c r="Z28" s="130"/>
      <c r="AA28" s="125"/>
      <c r="AB28" s="126"/>
      <c r="AC28" s="127"/>
      <c r="AD28" s="127"/>
      <c r="AE28" s="127"/>
      <c r="AF28" s="127"/>
      <c r="AG28" s="125"/>
      <c r="AH28" s="128">
        <f t="shared" ca="1" si="1"/>
        <v>45644</v>
      </c>
      <c r="AI28" s="129" t="s">
        <v>622</v>
      </c>
      <c r="AJ28" s="129"/>
      <c r="AK28" s="129"/>
      <c r="AL28" s="129"/>
      <c r="AM28" s="129"/>
    </row>
    <row r="29" spans="1:39" ht="18" hidden="1" customHeight="1" x14ac:dyDescent="0.25">
      <c r="A29" s="117">
        <v>28</v>
      </c>
      <c r="B29" s="117"/>
      <c r="C29" s="118" t="s">
        <v>637</v>
      </c>
      <c r="D29" s="146">
        <f t="array" aca="1" ref="D29" ca="1">SUM(--(_xlfn.UNIQUE(_xlfn._xlws.FILTER($M$2:$M$1011 &amp; "", ($C$2:$C$1011 = C29) * ($M$2:$M$1011 &lt;&gt; ""))) &lt;&gt; ""))</f>
        <v>1</v>
      </c>
      <c r="E29" s="166">
        <f t="shared" ca="1" si="0"/>
        <v>4620</v>
      </c>
      <c r="F29" s="143">
        <v>1</v>
      </c>
      <c r="G29" s="143" t="s">
        <v>85</v>
      </c>
      <c r="H29" s="119">
        <f>_xlfn.XLOOKUP(G29,'🚛 FROTA'!B:B,'🚛 FROTA'!A:A,"")</f>
        <v>6</v>
      </c>
      <c r="I29" s="119"/>
      <c r="J29" s="119" t="str">
        <f>IF(G29="","",_xlfn.XLOOKUP(G29,'🚛 FROTA'!B:B,'🚛 FROTA'!E:E,""))</f>
        <v>13.180 Constellation</v>
      </c>
      <c r="K29" s="119" t="str">
        <f>IF(G29="","",_xlfn.XLOOKUP(G29,'🚛 FROTA'!B:B,'🚛 FROTA'!K:K,""))</f>
        <v>Munck</v>
      </c>
      <c r="L29" s="143" t="s">
        <v>638</v>
      </c>
      <c r="M29" s="143" t="s">
        <v>639</v>
      </c>
      <c r="N29" s="145">
        <v>45678</v>
      </c>
      <c r="O29" s="143">
        <v>1</v>
      </c>
      <c r="P29" s="143">
        <v>3</v>
      </c>
      <c r="Q29" s="167">
        <v>1540</v>
      </c>
      <c r="R29" s="143" t="s">
        <v>554</v>
      </c>
      <c r="S29" s="122" t="s">
        <v>534</v>
      </c>
      <c r="T29" s="120" t="s">
        <v>522</v>
      </c>
      <c r="U29" s="121" t="s">
        <v>555</v>
      </c>
      <c r="V29" s="119" t="s">
        <v>640</v>
      </c>
      <c r="W29" s="119" t="s">
        <v>641</v>
      </c>
      <c r="X29" s="123" t="s">
        <v>642</v>
      </c>
      <c r="Y29" s="119"/>
      <c r="Z29" s="130"/>
      <c r="AA29" s="125"/>
      <c r="AB29" s="126"/>
      <c r="AC29" s="127"/>
      <c r="AD29" s="127"/>
      <c r="AE29" s="127"/>
      <c r="AF29" s="127"/>
      <c r="AG29" s="125"/>
      <c r="AH29" s="128">
        <f t="shared" ca="1" si="1"/>
        <v>45648</v>
      </c>
      <c r="AI29" s="129"/>
      <c r="AJ29" s="129"/>
      <c r="AK29" s="129"/>
      <c r="AL29" s="129"/>
      <c r="AM29" s="129"/>
    </row>
    <row r="30" spans="1:39" ht="18" hidden="1" customHeight="1" x14ac:dyDescent="0.25">
      <c r="A30" s="117">
        <v>29</v>
      </c>
      <c r="B30" s="117"/>
      <c r="C30" s="118" t="s">
        <v>637</v>
      </c>
      <c r="D30" s="146">
        <f t="array" aca="1" ref="D30" ca="1">SUM(--(_xlfn.UNIQUE(_xlfn._xlws.FILTER($M$2:$M$1011 &amp; "", ($C$2:$C$1011 = C30) * ($M$2:$M$1011 &lt;&gt; ""))) &lt;&gt; ""))</f>
        <v>1</v>
      </c>
      <c r="E30" s="166">
        <f t="shared" ca="1" si="0"/>
        <v>4620</v>
      </c>
      <c r="F30" s="143">
        <v>1</v>
      </c>
      <c r="G30" s="143" t="s">
        <v>85</v>
      </c>
      <c r="H30" s="119">
        <f>_xlfn.XLOOKUP(G30,'🚛 FROTA'!B:B,'🚛 FROTA'!A:A,"")</f>
        <v>6</v>
      </c>
      <c r="I30" s="119"/>
      <c r="J30" s="119" t="str">
        <f>IF(G30="","",_xlfn.XLOOKUP(G30,'🚛 FROTA'!B:B,'🚛 FROTA'!E:E,""))</f>
        <v>13.180 Constellation</v>
      </c>
      <c r="K30" s="119" t="str">
        <f>IF(G30="","",_xlfn.XLOOKUP(G30,'🚛 FROTA'!B:B,'🚛 FROTA'!K:K,""))</f>
        <v>Munck</v>
      </c>
      <c r="L30" s="143" t="s">
        <v>638</v>
      </c>
      <c r="M30" s="143" t="s">
        <v>639</v>
      </c>
      <c r="N30" s="145">
        <v>45728</v>
      </c>
      <c r="O30" s="143">
        <v>2</v>
      </c>
      <c r="P30" s="143">
        <v>2</v>
      </c>
      <c r="Q30" s="167">
        <v>1540</v>
      </c>
      <c r="R30" s="143" t="s">
        <v>554</v>
      </c>
      <c r="S30" s="122" t="s">
        <v>534</v>
      </c>
      <c r="T30" s="120" t="s">
        <v>522</v>
      </c>
      <c r="U30" s="121" t="s">
        <v>555</v>
      </c>
      <c r="V30" s="119" t="s">
        <v>640</v>
      </c>
      <c r="W30" s="119" t="s">
        <v>641</v>
      </c>
      <c r="X30" s="123" t="s">
        <v>642</v>
      </c>
      <c r="Y30" s="119"/>
      <c r="Z30" s="130"/>
      <c r="AA30" s="125"/>
      <c r="AB30" s="126"/>
      <c r="AC30" s="127"/>
      <c r="AD30" s="127"/>
      <c r="AE30" s="127"/>
      <c r="AF30" s="127"/>
      <c r="AG30" s="125"/>
      <c r="AH30" s="128">
        <f t="shared" ca="1" si="1"/>
        <v>45648</v>
      </c>
      <c r="AI30" s="129"/>
      <c r="AJ30" s="129"/>
      <c r="AK30" s="129"/>
      <c r="AL30" s="129"/>
      <c r="AM30" s="129"/>
    </row>
    <row r="31" spans="1:39" ht="18" hidden="1" customHeight="1" x14ac:dyDescent="0.25">
      <c r="A31" s="117">
        <v>30</v>
      </c>
      <c r="B31" s="117"/>
      <c r="C31" s="118" t="s">
        <v>637</v>
      </c>
      <c r="D31" s="146">
        <f t="array" aca="1" ref="D31" ca="1">SUM(--(_xlfn.UNIQUE(_xlfn._xlws.FILTER($M$2:$M$1011 &amp; "", ($C$2:$C$1011 = C31) * ($M$2:$M$1011 &lt;&gt; ""))) &lt;&gt; ""))</f>
        <v>1</v>
      </c>
      <c r="E31" s="166">
        <f t="shared" ca="1" si="0"/>
        <v>4620</v>
      </c>
      <c r="F31" s="143">
        <v>1</v>
      </c>
      <c r="G31" s="143" t="s">
        <v>85</v>
      </c>
      <c r="H31" s="119">
        <f>_xlfn.XLOOKUP(G31,'🚛 FROTA'!B:B,'🚛 FROTA'!A:A,"")</f>
        <v>6</v>
      </c>
      <c r="I31" s="119"/>
      <c r="J31" s="119" t="str">
        <f>IF(G31="","",_xlfn.XLOOKUP(G31,'🚛 FROTA'!B:B,'🚛 FROTA'!E:E,""))</f>
        <v>13.180 Constellation</v>
      </c>
      <c r="K31" s="119" t="str">
        <f>IF(G31="","",_xlfn.XLOOKUP(G31,'🚛 FROTA'!B:B,'🚛 FROTA'!K:K,""))</f>
        <v>Munck</v>
      </c>
      <c r="L31" s="143" t="s">
        <v>638</v>
      </c>
      <c r="M31" s="143" t="s">
        <v>639</v>
      </c>
      <c r="N31" s="145">
        <v>45758</v>
      </c>
      <c r="O31" s="143">
        <v>3</v>
      </c>
      <c r="P31" s="143">
        <v>3</v>
      </c>
      <c r="Q31" s="167">
        <v>1540</v>
      </c>
      <c r="R31" s="143" t="s">
        <v>554</v>
      </c>
      <c r="S31" s="122" t="s">
        <v>534</v>
      </c>
      <c r="T31" s="120" t="s">
        <v>522</v>
      </c>
      <c r="U31" s="121" t="s">
        <v>555</v>
      </c>
      <c r="V31" s="119" t="s">
        <v>640</v>
      </c>
      <c r="W31" s="119" t="s">
        <v>641</v>
      </c>
      <c r="X31" s="123" t="s">
        <v>642</v>
      </c>
      <c r="Y31" s="119"/>
      <c r="Z31" s="130"/>
      <c r="AA31" s="125"/>
      <c r="AB31" s="126"/>
      <c r="AC31" s="127"/>
      <c r="AD31" s="127"/>
      <c r="AE31" s="127"/>
      <c r="AF31" s="127"/>
      <c r="AG31" s="125"/>
      <c r="AH31" s="128">
        <f t="shared" ca="1" si="1"/>
        <v>45648</v>
      </c>
      <c r="AI31" s="129"/>
      <c r="AJ31" s="129"/>
      <c r="AK31" s="129"/>
      <c r="AL31" s="129"/>
      <c r="AM31" s="129"/>
    </row>
    <row r="32" spans="1:39" ht="18" hidden="1" customHeight="1" x14ac:dyDescent="0.25">
      <c r="A32" s="117">
        <v>31</v>
      </c>
      <c r="B32" s="117"/>
      <c r="C32" s="118" t="s">
        <v>643</v>
      </c>
      <c r="D32" s="146">
        <f t="array" aca="1" ref="D32" ca="1">SUM(--(_xlfn.UNIQUE(_xlfn._xlws.FILTER($M$2:$M$1011 &amp; "", ($C$2:$C$1011 = C32) * ($M$2:$M$1011 &lt;&gt; ""))) &lt;&gt; ""))</f>
        <v>1</v>
      </c>
      <c r="E32" s="166">
        <f t="shared" ca="1" si="0"/>
        <v>10400</v>
      </c>
      <c r="F32" s="143">
        <v>1</v>
      </c>
      <c r="G32" s="143" t="s">
        <v>78</v>
      </c>
      <c r="H32" s="119">
        <f>_xlfn.XLOOKUP(G32,'🚛 FROTA'!B:B,'🚛 FROTA'!A:A,"")</f>
        <v>4</v>
      </c>
      <c r="I32" s="119"/>
      <c r="J32" s="119" t="str">
        <f>IF(G32="","",_xlfn.XLOOKUP(G32,'🚛 FROTA'!B:B,'🚛 FROTA'!E:E,""))</f>
        <v>8.150E Delivery</v>
      </c>
      <c r="K32" s="119" t="str">
        <f>IF(G32="","",_xlfn.XLOOKUP(G32,'🚛 FROTA'!B:B,'🚛 FROTA'!K:K,""))</f>
        <v>Baú</v>
      </c>
      <c r="L32" s="143" t="s">
        <v>617</v>
      </c>
      <c r="M32" s="143" t="s">
        <v>644</v>
      </c>
      <c r="N32" s="145">
        <v>45682</v>
      </c>
      <c r="O32" s="143">
        <v>2</v>
      </c>
      <c r="P32" s="143">
        <v>5</v>
      </c>
      <c r="Q32" s="167">
        <v>2600</v>
      </c>
      <c r="R32" s="143" t="s">
        <v>554</v>
      </c>
      <c r="S32" s="122" t="s">
        <v>534</v>
      </c>
      <c r="T32" s="120" t="s">
        <v>522</v>
      </c>
      <c r="U32" s="121" t="s">
        <v>555</v>
      </c>
      <c r="V32" s="119" t="s">
        <v>645</v>
      </c>
      <c r="W32" s="119" t="s">
        <v>646</v>
      </c>
      <c r="X32" s="123" t="s">
        <v>647</v>
      </c>
      <c r="Y32" s="119"/>
      <c r="Z32" s="130"/>
      <c r="AA32" s="125"/>
      <c r="AB32" s="126"/>
      <c r="AC32" s="127"/>
      <c r="AD32" s="127"/>
      <c r="AE32" s="127"/>
      <c r="AF32" s="127"/>
      <c r="AG32" s="125"/>
      <c r="AH32" s="128">
        <f t="shared" ca="1" si="1"/>
        <v>45652</v>
      </c>
      <c r="AI32" s="129" t="s">
        <v>622</v>
      </c>
      <c r="AJ32" s="129"/>
      <c r="AK32" s="129"/>
      <c r="AL32" s="129"/>
      <c r="AM32" s="129"/>
    </row>
    <row r="33" spans="1:39" ht="18" hidden="1" customHeight="1" x14ac:dyDescent="0.25">
      <c r="A33" s="117">
        <v>32</v>
      </c>
      <c r="B33" s="117"/>
      <c r="C33" s="118" t="s">
        <v>643</v>
      </c>
      <c r="D33" s="146">
        <f t="array" aca="1" ref="D33" ca="1">SUM(--(_xlfn.UNIQUE(_xlfn._xlws.FILTER($M$2:$M$1011 &amp; "", ($C$2:$C$1011 = C33) * ($M$2:$M$1011 &lt;&gt; ""))) &lt;&gt; ""))</f>
        <v>1</v>
      </c>
      <c r="E33" s="166">
        <f t="shared" ca="1" si="0"/>
        <v>10400</v>
      </c>
      <c r="F33" s="143">
        <v>1</v>
      </c>
      <c r="G33" s="143" t="s">
        <v>78</v>
      </c>
      <c r="H33" s="119">
        <f>_xlfn.XLOOKUP(G33,'🚛 FROTA'!B:B,'🚛 FROTA'!A:A,"")</f>
        <v>4</v>
      </c>
      <c r="I33" s="119"/>
      <c r="J33" s="119" t="str">
        <f>IF(G33="","",_xlfn.XLOOKUP(G33,'🚛 FROTA'!B:B,'🚛 FROTA'!E:E,""))</f>
        <v>8.150E Delivery</v>
      </c>
      <c r="K33" s="119" t="str">
        <f>IF(G33="","",_xlfn.XLOOKUP(G33,'🚛 FROTA'!B:B,'🚛 FROTA'!K:K,""))</f>
        <v>Baú</v>
      </c>
      <c r="L33" s="143" t="s">
        <v>617</v>
      </c>
      <c r="M33" s="143" t="s">
        <v>644</v>
      </c>
      <c r="N33" s="145">
        <v>45713</v>
      </c>
      <c r="O33" s="143">
        <v>2</v>
      </c>
      <c r="P33" s="143">
        <v>5</v>
      </c>
      <c r="Q33" s="167">
        <v>2600</v>
      </c>
      <c r="R33" s="143" t="s">
        <v>554</v>
      </c>
      <c r="S33" s="122" t="s">
        <v>534</v>
      </c>
      <c r="T33" s="120" t="s">
        <v>522</v>
      </c>
      <c r="U33" s="121" t="s">
        <v>555</v>
      </c>
      <c r="V33" s="119" t="s">
        <v>645</v>
      </c>
      <c r="W33" s="119" t="s">
        <v>646</v>
      </c>
      <c r="X33" s="123" t="s">
        <v>647</v>
      </c>
      <c r="Y33" s="119"/>
      <c r="Z33" s="130"/>
      <c r="AA33" s="125"/>
      <c r="AB33" s="126"/>
      <c r="AC33" s="127"/>
      <c r="AD33" s="127"/>
      <c r="AE33" s="127"/>
      <c r="AF33" s="127"/>
      <c r="AG33" s="125"/>
      <c r="AH33" s="128">
        <f t="shared" ca="1" si="1"/>
        <v>45652</v>
      </c>
      <c r="AI33" s="129" t="s">
        <v>622</v>
      </c>
      <c r="AJ33" s="129"/>
      <c r="AK33" s="129"/>
      <c r="AL33" s="129"/>
      <c r="AM33" s="129"/>
    </row>
    <row r="34" spans="1:39" ht="18" hidden="1" customHeight="1" x14ac:dyDescent="0.25">
      <c r="A34" s="117">
        <v>33</v>
      </c>
      <c r="B34" s="117"/>
      <c r="C34" s="118" t="s">
        <v>643</v>
      </c>
      <c r="D34" s="146">
        <f t="array" aca="1" ref="D34" ca="1">SUM(--(_xlfn.UNIQUE(_xlfn._xlws.FILTER($M$2:$M$1011 &amp; "", ($C$2:$C$1011 = C34) * ($M$2:$M$1011 &lt;&gt; ""))) &lt;&gt; ""))</f>
        <v>1</v>
      </c>
      <c r="E34" s="166">
        <f t="shared" ca="1" si="0"/>
        <v>10400</v>
      </c>
      <c r="F34" s="143">
        <v>1</v>
      </c>
      <c r="G34" s="143" t="s">
        <v>78</v>
      </c>
      <c r="H34" s="119">
        <f>_xlfn.XLOOKUP(G34,'🚛 FROTA'!B:B,'🚛 FROTA'!A:A,"")</f>
        <v>4</v>
      </c>
      <c r="I34" s="119"/>
      <c r="J34" s="119" t="str">
        <f>IF(G34="","",_xlfn.XLOOKUP(G34,'🚛 FROTA'!B:B,'🚛 FROTA'!E:E,""))</f>
        <v>8.150E Delivery</v>
      </c>
      <c r="K34" s="119" t="str">
        <f>IF(G34="","",_xlfn.XLOOKUP(G34,'🚛 FROTA'!B:B,'🚛 FROTA'!K:K,""))</f>
        <v>Baú</v>
      </c>
      <c r="L34" s="143" t="s">
        <v>617</v>
      </c>
      <c r="M34" s="143" t="s">
        <v>644</v>
      </c>
      <c r="N34" s="145">
        <v>45741</v>
      </c>
      <c r="O34" s="143">
        <v>4</v>
      </c>
      <c r="P34" s="143">
        <v>5</v>
      </c>
      <c r="Q34" s="167">
        <v>2600</v>
      </c>
      <c r="R34" s="143" t="s">
        <v>554</v>
      </c>
      <c r="S34" s="122" t="s">
        <v>534</v>
      </c>
      <c r="T34" s="120" t="s">
        <v>522</v>
      </c>
      <c r="U34" s="121" t="s">
        <v>555</v>
      </c>
      <c r="V34" s="119" t="s">
        <v>645</v>
      </c>
      <c r="W34" s="119" t="s">
        <v>646</v>
      </c>
      <c r="X34" s="123" t="s">
        <v>647</v>
      </c>
      <c r="Y34" s="119"/>
      <c r="Z34" s="130"/>
      <c r="AA34" s="125"/>
      <c r="AB34" s="126"/>
      <c r="AC34" s="127"/>
      <c r="AD34" s="127"/>
      <c r="AE34" s="127"/>
      <c r="AF34" s="127"/>
      <c r="AG34" s="125"/>
      <c r="AH34" s="128">
        <f t="shared" ca="1" si="1"/>
        <v>45652</v>
      </c>
      <c r="AI34" s="129" t="s">
        <v>622</v>
      </c>
      <c r="AJ34" s="129"/>
      <c r="AK34" s="129"/>
      <c r="AL34" s="129"/>
      <c r="AM34" s="129"/>
    </row>
    <row r="35" spans="1:39" ht="18" hidden="1" customHeight="1" x14ac:dyDescent="0.25">
      <c r="A35" s="117">
        <v>34</v>
      </c>
      <c r="B35" s="117"/>
      <c r="C35" s="118" t="s">
        <v>643</v>
      </c>
      <c r="D35" s="146">
        <f t="array" aca="1" ref="D35" ca="1">SUM(--(_xlfn.UNIQUE(_xlfn._xlws.FILTER($M$2:$M$1011 &amp; "", ($C$2:$C$1011 = C35) * ($M$2:$M$1011 &lt;&gt; ""))) &lt;&gt; ""))</f>
        <v>1</v>
      </c>
      <c r="E35" s="166">
        <f t="shared" ca="1" si="0"/>
        <v>10400</v>
      </c>
      <c r="F35" s="143">
        <v>1</v>
      </c>
      <c r="G35" s="143" t="s">
        <v>78</v>
      </c>
      <c r="H35" s="119">
        <f>_xlfn.XLOOKUP(G35,'🚛 FROTA'!B:B,'🚛 FROTA'!A:A,"")</f>
        <v>4</v>
      </c>
      <c r="I35" s="119"/>
      <c r="J35" s="119" t="str">
        <f>IF(G35="","",_xlfn.XLOOKUP(G35,'🚛 FROTA'!B:B,'🚛 FROTA'!E:E,""))</f>
        <v>8.150E Delivery</v>
      </c>
      <c r="K35" s="119" t="str">
        <f>IF(G35="","",_xlfn.XLOOKUP(G35,'🚛 FROTA'!B:B,'🚛 FROTA'!K:K,""))</f>
        <v>Baú</v>
      </c>
      <c r="L35" s="143" t="s">
        <v>617</v>
      </c>
      <c r="M35" s="143" t="s">
        <v>644</v>
      </c>
      <c r="N35" s="145">
        <v>45792</v>
      </c>
      <c r="O35" s="143">
        <v>5</v>
      </c>
      <c r="P35" s="143">
        <v>5</v>
      </c>
      <c r="Q35" s="167">
        <v>2600</v>
      </c>
      <c r="R35" s="143" t="s">
        <v>554</v>
      </c>
      <c r="S35" s="122" t="s">
        <v>534</v>
      </c>
      <c r="T35" s="120" t="s">
        <v>522</v>
      </c>
      <c r="U35" s="121" t="s">
        <v>555</v>
      </c>
      <c r="V35" s="119" t="s">
        <v>645</v>
      </c>
      <c r="W35" s="119" t="s">
        <v>646</v>
      </c>
      <c r="X35" s="123" t="s">
        <v>647</v>
      </c>
      <c r="Y35" s="119"/>
      <c r="Z35" s="130"/>
      <c r="AA35" s="125"/>
      <c r="AB35" s="126"/>
      <c r="AC35" s="127"/>
      <c r="AD35" s="127"/>
      <c r="AE35" s="127"/>
      <c r="AF35" s="127"/>
      <c r="AG35" s="125"/>
      <c r="AH35" s="128">
        <f t="shared" ca="1" si="1"/>
        <v>45652</v>
      </c>
      <c r="AI35" s="129" t="s">
        <v>622</v>
      </c>
      <c r="AJ35" s="129"/>
      <c r="AK35" s="129"/>
      <c r="AL35" s="129"/>
      <c r="AM35" s="129"/>
    </row>
    <row r="36" spans="1:39" ht="18" hidden="1" customHeight="1" x14ac:dyDescent="0.25">
      <c r="A36" s="117">
        <v>35</v>
      </c>
      <c r="B36" s="117"/>
      <c r="C36" s="118" t="s">
        <v>648</v>
      </c>
      <c r="D36" s="146">
        <f t="array" aca="1" ref="D36" ca="1">SUM(--(_xlfn.UNIQUE(_xlfn._xlws.FILTER($M$2:$M$1011 &amp; "", ($C$2:$C$1011 = C36) * ($M$2:$M$1011 &lt;&gt; ""))) &lt;&gt; ""))</f>
        <v>1</v>
      </c>
      <c r="E36" s="166">
        <f t="shared" ca="1" si="0"/>
        <v>450</v>
      </c>
      <c r="F36" s="143">
        <v>1</v>
      </c>
      <c r="G36" s="143" t="s">
        <v>128</v>
      </c>
      <c r="H36" s="119">
        <f>_xlfn.XLOOKUP(G36,'🚛 FROTA'!B:B,'🚛 FROTA'!A:A,"")</f>
        <v>20</v>
      </c>
      <c r="I36" s="119"/>
      <c r="J36" s="119" t="str">
        <f>IF(G36="","",_xlfn.XLOOKUP(G36,'🚛 FROTA'!B:B,'🚛 FROTA'!E:E,""))</f>
        <v>3CX</v>
      </c>
      <c r="K36" s="119"/>
      <c r="L36" s="143" t="s">
        <v>649</v>
      </c>
      <c r="M36" s="143" t="s">
        <v>650</v>
      </c>
      <c r="N36" s="145">
        <v>45687</v>
      </c>
      <c r="O36" s="143">
        <v>1</v>
      </c>
      <c r="P36" s="143">
        <v>1</v>
      </c>
      <c r="Q36" s="167">
        <v>450</v>
      </c>
      <c r="R36" s="143" t="s">
        <v>651</v>
      </c>
      <c r="S36" s="122" t="s">
        <v>560</v>
      </c>
      <c r="T36" s="120" t="s">
        <v>522</v>
      </c>
      <c r="U36" s="121" t="s">
        <v>597</v>
      </c>
      <c r="V36" s="119" t="s">
        <v>568</v>
      </c>
      <c r="W36" s="119" t="s">
        <v>652</v>
      </c>
      <c r="X36" s="123" t="s">
        <v>653</v>
      </c>
      <c r="Y36" s="119" t="s">
        <v>654</v>
      </c>
      <c r="Z36" s="130"/>
      <c r="AA36" s="125"/>
      <c r="AB36" s="126"/>
      <c r="AC36" s="127"/>
      <c r="AD36" s="127"/>
      <c r="AE36" s="127"/>
      <c r="AF36" s="127"/>
      <c r="AG36" s="125"/>
      <c r="AH36" s="128">
        <f>IF(OR(R36="A Vista", R36="Crédito", R36="Adiantamento"), N36, IF(R36="Faturado", _xlfn.MINIFS(N:N, C:C, C36)-30, ""))</f>
        <v>45687</v>
      </c>
      <c r="AI36" s="129"/>
      <c r="AJ36" s="129"/>
      <c r="AK36" s="129"/>
      <c r="AL36" s="129"/>
      <c r="AM36" s="129"/>
    </row>
    <row r="37" spans="1:39" ht="18" hidden="1" customHeight="1" x14ac:dyDescent="0.25">
      <c r="A37" s="117">
        <v>36</v>
      </c>
      <c r="B37" s="117"/>
      <c r="C37" s="118" t="s">
        <v>655</v>
      </c>
      <c r="D37" s="146">
        <f t="array" aca="1" ref="D37" ca="1">SUM(--(_xlfn.UNIQUE(_xlfn._xlws.FILTER($M$2:$M$1011 &amp; "", ($C$2:$C$1011 = C37) * ($M$2:$M$1011 &lt;&gt; ""))) &lt;&gt; ""))</f>
        <v>2</v>
      </c>
      <c r="E37" s="166">
        <f t="shared" ca="1" si="0"/>
        <v>1588.0099999999998</v>
      </c>
      <c r="F37" s="143">
        <v>1</v>
      </c>
      <c r="G37" s="143" t="s">
        <v>167</v>
      </c>
      <c r="H37" s="119">
        <f>_xlfn.XLOOKUP(G37,'🚛 FROTA'!B:B,'🚛 FROTA'!A:A,"")</f>
        <v>42</v>
      </c>
      <c r="I37" s="119"/>
      <c r="J37" s="119" t="str">
        <f>IF(G37="","",_xlfn.XLOOKUP(G37,'🚛 FROTA'!B:B,'🚛 FROTA'!E:E,""))</f>
        <v>Express Delivery</v>
      </c>
      <c r="K37" s="119" t="str">
        <f>IF(G37="","",_xlfn.XLOOKUP(G37,'🚛 FROTA'!B:B,'🚛 FROTA'!K:K,""))</f>
        <v>Carroceria</v>
      </c>
      <c r="L37" s="143" t="s">
        <v>571</v>
      </c>
      <c r="M37" s="143" t="s">
        <v>656</v>
      </c>
      <c r="N37" s="145">
        <v>45695</v>
      </c>
      <c r="O37" s="143">
        <v>1</v>
      </c>
      <c r="P37" s="143">
        <v>1</v>
      </c>
      <c r="Q37" s="167">
        <v>50</v>
      </c>
      <c r="R37" s="143" t="s">
        <v>554</v>
      </c>
      <c r="S37" s="122" t="s">
        <v>534</v>
      </c>
      <c r="T37" s="120" t="s">
        <v>522</v>
      </c>
      <c r="U37" s="121" t="s">
        <v>555</v>
      </c>
      <c r="V37" s="119" t="s">
        <v>573</v>
      </c>
      <c r="W37" s="119" t="s">
        <v>657</v>
      </c>
      <c r="X37" s="123" t="s">
        <v>658</v>
      </c>
      <c r="Y37" s="119"/>
      <c r="Z37" s="124">
        <v>52531</v>
      </c>
      <c r="AA37" s="133" t="s">
        <v>659</v>
      </c>
      <c r="AB37" s="122">
        <v>2</v>
      </c>
      <c r="AC37" s="131" t="s">
        <v>578</v>
      </c>
      <c r="AD37" s="131" t="s">
        <v>579</v>
      </c>
      <c r="AE37" s="131" t="s">
        <v>580</v>
      </c>
      <c r="AF37" s="131"/>
      <c r="AG37" s="125" t="s">
        <v>582</v>
      </c>
      <c r="AH37" s="128">
        <f t="shared" ref="AH37:AH42" ca="1" si="2">IF(OR(R37="A VISTA", R37="C. CRÉDITO", R37="ADIANTAMENTO"), N37, IF(R37="Faturado", _xlfn.MINIFS(N:N, C:C, C37)-30, ""))</f>
        <v>45665</v>
      </c>
      <c r="AI37" s="129" t="s">
        <v>583</v>
      </c>
      <c r="AJ37" s="129"/>
      <c r="AK37" s="129"/>
      <c r="AL37" s="129"/>
      <c r="AM37" s="129"/>
    </row>
    <row r="38" spans="1:39" ht="18" hidden="1" customHeight="1" x14ac:dyDescent="0.25">
      <c r="A38" s="117">
        <v>37</v>
      </c>
      <c r="B38" s="117"/>
      <c r="C38" s="118" t="s">
        <v>561</v>
      </c>
      <c r="D38" s="146">
        <f t="array" aca="1" ref="D38" ca="1">SUM(--(_xlfn.UNIQUE(_xlfn._xlws.FILTER($M$2:$M$1011 &amp; "", ($C$2:$C$1011 = C38) * ($M$2:$M$1011 &lt;&gt; ""))) &lt;&gt; ""))</f>
        <v>1</v>
      </c>
      <c r="E38" s="166">
        <f t="shared" ca="1" si="0"/>
        <v>3424.84</v>
      </c>
      <c r="F38" s="143">
        <v>1</v>
      </c>
      <c r="G38" s="143" t="s">
        <v>155</v>
      </c>
      <c r="H38" s="119">
        <f>_xlfn.XLOOKUP(G38,'🚛 FROTA'!B:B,'🚛 FROTA'!A:A,"")</f>
        <v>34</v>
      </c>
      <c r="I38" s="119"/>
      <c r="J38" s="119" t="str">
        <f>IF(G38="","",_xlfn.XLOOKUP(G38,'🚛 FROTA'!B:B,'🚛 FROTA'!E:E,""))</f>
        <v>9.170 Delivery</v>
      </c>
      <c r="K38" s="119" t="str">
        <f>IF(G38="","",_xlfn.XLOOKUP(G38,'🚛 FROTA'!B:B,'🚛 FROTA'!K:K,""))</f>
        <v>Basculante</v>
      </c>
      <c r="L38" s="143" t="s">
        <v>552</v>
      </c>
      <c r="M38" s="143" t="s">
        <v>562</v>
      </c>
      <c r="N38" s="145">
        <v>45720</v>
      </c>
      <c r="O38" s="143">
        <v>4</v>
      </c>
      <c r="P38" s="143">
        <v>4</v>
      </c>
      <c r="Q38" s="167">
        <v>856.21</v>
      </c>
      <c r="R38" s="143" t="s">
        <v>554</v>
      </c>
      <c r="S38" s="122" t="s">
        <v>534</v>
      </c>
      <c r="T38" s="120" t="s">
        <v>522</v>
      </c>
      <c r="U38" s="121" t="s">
        <v>555</v>
      </c>
      <c r="V38" s="119" t="s">
        <v>556</v>
      </c>
      <c r="W38" s="119" t="s">
        <v>563</v>
      </c>
      <c r="X38" s="123" t="s">
        <v>564</v>
      </c>
      <c r="Y38" s="119"/>
      <c r="Z38" s="124">
        <v>58017</v>
      </c>
      <c r="AA38" s="125"/>
      <c r="AB38" s="126"/>
      <c r="AC38" s="127"/>
      <c r="AD38" s="127"/>
      <c r="AE38" s="127"/>
      <c r="AF38" s="127"/>
      <c r="AG38" s="125"/>
      <c r="AH38" s="128">
        <f t="shared" ca="1" si="2"/>
        <v>45600</v>
      </c>
      <c r="AI38" s="129" t="s">
        <v>559</v>
      </c>
      <c r="AJ38" s="129"/>
      <c r="AK38" s="129"/>
      <c r="AL38" s="129"/>
      <c r="AM38" s="129"/>
    </row>
    <row r="39" spans="1:39" ht="18" customHeight="1" x14ac:dyDescent="0.25">
      <c r="A39" s="117">
        <v>38</v>
      </c>
      <c r="B39" s="117"/>
      <c r="C39" s="118" t="s">
        <v>655</v>
      </c>
      <c r="D39" s="146">
        <f t="array" aca="1" ref="D39" ca="1">SUM(--(_xlfn.UNIQUE(_xlfn._xlws.FILTER($M$2:$M$1011 &amp; "", ($C$2:$C$1011 = C39) * ($M$2:$M$1011 &lt;&gt; ""))) &lt;&gt; ""))</f>
        <v>2</v>
      </c>
      <c r="E39" s="166">
        <f t="shared" ca="1" si="0"/>
        <v>1588.0099999999998</v>
      </c>
      <c r="F39" s="143">
        <v>1</v>
      </c>
      <c r="G39" s="143" t="s">
        <v>167</v>
      </c>
      <c r="H39" s="119">
        <f>_xlfn.XLOOKUP(G39,'🚛 FROTA'!B:B,'🚛 FROTA'!A:A,"")</f>
        <v>42</v>
      </c>
      <c r="I39" s="119"/>
      <c r="J39" s="119" t="str">
        <f>IF(G39="","",_xlfn.XLOOKUP(G39,'🚛 FROTA'!B:B,'🚛 FROTA'!E:E,""))</f>
        <v>Express Delivery</v>
      </c>
      <c r="K39" s="119" t="str">
        <f>IF(G39="","",_xlfn.XLOOKUP(G39,'🚛 FROTA'!B:B,'🚛 FROTA'!K:K,""))</f>
        <v>Carroceria</v>
      </c>
      <c r="L39" s="143" t="s">
        <v>571</v>
      </c>
      <c r="M39" s="143" t="s">
        <v>660</v>
      </c>
      <c r="N39" s="145">
        <v>45695</v>
      </c>
      <c r="O39" s="143">
        <v>1</v>
      </c>
      <c r="P39" s="143">
        <v>3</v>
      </c>
      <c r="Q39" s="167">
        <v>512.66999999999996</v>
      </c>
      <c r="R39" s="143" t="s">
        <v>554</v>
      </c>
      <c r="S39" s="122" t="s">
        <v>560</v>
      </c>
      <c r="T39" s="120" t="s">
        <v>522</v>
      </c>
      <c r="U39" s="121" t="s">
        <v>555</v>
      </c>
      <c r="V39" s="119" t="s">
        <v>573</v>
      </c>
      <c r="W39" s="119" t="s">
        <v>574</v>
      </c>
      <c r="X39" s="123" t="s">
        <v>661</v>
      </c>
      <c r="Y39" s="119" t="s">
        <v>576</v>
      </c>
      <c r="Z39" s="124">
        <v>52531</v>
      </c>
      <c r="AA39" s="133" t="s">
        <v>659</v>
      </c>
      <c r="AB39" s="122">
        <v>2</v>
      </c>
      <c r="AC39" s="131" t="s">
        <v>578</v>
      </c>
      <c r="AD39" s="131" t="s">
        <v>579</v>
      </c>
      <c r="AE39" s="131" t="s">
        <v>580</v>
      </c>
      <c r="AF39" s="131" t="s">
        <v>581</v>
      </c>
      <c r="AG39" s="125" t="s">
        <v>582</v>
      </c>
      <c r="AH39" s="128">
        <f t="shared" ca="1" si="2"/>
        <v>45665</v>
      </c>
      <c r="AI39" s="129" t="s">
        <v>583</v>
      </c>
      <c r="AJ39" s="129"/>
      <c r="AK39" s="129"/>
      <c r="AL39" s="129"/>
      <c r="AM39" s="129"/>
    </row>
    <row r="40" spans="1:39" ht="18" customHeight="1" x14ac:dyDescent="0.25">
      <c r="A40" s="117">
        <v>39</v>
      </c>
      <c r="B40" s="117"/>
      <c r="C40" s="118" t="s">
        <v>655</v>
      </c>
      <c r="D40" s="146">
        <f t="array" aca="1" ref="D40" ca="1">SUM(--(_xlfn.UNIQUE(_xlfn._xlws.FILTER($M$2:$M$1011 &amp; "", ($C$2:$C$1011 = C40) * ($M$2:$M$1011 &lt;&gt; ""))) &lt;&gt; ""))</f>
        <v>2</v>
      </c>
      <c r="E40" s="166">
        <f t="shared" ca="1" si="0"/>
        <v>1588.0099999999998</v>
      </c>
      <c r="F40" s="143">
        <v>1</v>
      </c>
      <c r="G40" s="143" t="s">
        <v>167</v>
      </c>
      <c r="H40" s="119">
        <f>_xlfn.XLOOKUP(G40,'🚛 FROTA'!B:B,'🚛 FROTA'!A:A,"")</f>
        <v>42</v>
      </c>
      <c r="I40" s="119"/>
      <c r="J40" s="119" t="str">
        <f>IF(G40="","",_xlfn.XLOOKUP(G40,'🚛 FROTA'!B:B,'🚛 FROTA'!E:E,""))</f>
        <v>Express Delivery</v>
      </c>
      <c r="K40" s="119" t="str">
        <f>IF(G40="","",_xlfn.XLOOKUP(G40,'🚛 FROTA'!B:B,'🚛 FROTA'!K:K,""))</f>
        <v>Carroceria</v>
      </c>
      <c r="L40" s="143" t="s">
        <v>571</v>
      </c>
      <c r="M40" s="143" t="s">
        <v>660</v>
      </c>
      <c r="N40" s="145">
        <v>45726</v>
      </c>
      <c r="O40" s="143">
        <v>2</v>
      </c>
      <c r="P40" s="143">
        <v>3</v>
      </c>
      <c r="Q40" s="167">
        <v>512.66999999999996</v>
      </c>
      <c r="R40" s="143" t="s">
        <v>554</v>
      </c>
      <c r="S40" s="122" t="s">
        <v>560</v>
      </c>
      <c r="T40" s="120" t="s">
        <v>522</v>
      </c>
      <c r="U40" s="121" t="s">
        <v>555</v>
      </c>
      <c r="V40" s="119" t="s">
        <v>573</v>
      </c>
      <c r="W40" s="119" t="s">
        <v>574</v>
      </c>
      <c r="X40" s="123" t="s">
        <v>661</v>
      </c>
      <c r="Y40" s="119" t="s">
        <v>576</v>
      </c>
      <c r="Z40" s="124">
        <v>52531</v>
      </c>
      <c r="AA40" s="133" t="s">
        <v>659</v>
      </c>
      <c r="AB40" s="122">
        <v>2</v>
      </c>
      <c r="AC40" s="131" t="s">
        <v>578</v>
      </c>
      <c r="AD40" s="131" t="s">
        <v>579</v>
      </c>
      <c r="AE40" s="131" t="s">
        <v>580</v>
      </c>
      <c r="AF40" s="131" t="s">
        <v>581</v>
      </c>
      <c r="AG40" s="125" t="s">
        <v>582</v>
      </c>
      <c r="AH40" s="128">
        <f t="shared" ca="1" si="2"/>
        <v>45665</v>
      </c>
      <c r="AI40" s="129" t="s">
        <v>583</v>
      </c>
      <c r="AJ40" s="129"/>
      <c r="AK40" s="129"/>
      <c r="AL40" s="129"/>
      <c r="AM40" s="129"/>
    </row>
    <row r="41" spans="1:39" ht="18" customHeight="1" x14ac:dyDescent="0.25">
      <c r="A41" s="117">
        <v>40</v>
      </c>
      <c r="B41" s="117"/>
      <c r="C41" s="118" t="s">
        <v>655</v>
      </c>
      <c r="D41" s="146">
        <f t="array" aca="1" ref="D41" ca="1">SUM(--(_xlfn.UNIQUE(_xlfn._xlws.FILTER($M$2:$M$1011 &amp; "", ($C$2:$C$1011 = C41) * ($M$2:$M$1011 &lt;&gt; ""))) &lt;&gt; ""))</f>
        <v>2</v>
      </c>
      <c r="E41" s="166">
        <f t="shared" ca="1" si="0"/>
        <v>1588.0099999999998</v>
      </c>
      <c r="F41" s="143">
        <v>1</v>
      </c>
      <c r="G41" s="143" t="s">
        <v>167</v>
      </c>
      <c r="H41" s="119">
        <f>_xlfn.XLOOKUP(G41,'🚛 FROTA'!B:B,'🚛 FROTA'!A:A,"")</f>
        <v>42</v>
      </c>
      <c r="I41" s="119"/>
      <c r="J41" s="119" t="str">
        <f>IF(G41="","",_xlfn.XLOOKUP(G41,'🚛 FROTA'!B:B,'🚛 FROTA'!E:E,""))</f>
        <v>Express Delivery</v>
      </c>
      <c r="K41" s="119" t="str">
        <f>IF(G41="","",_xlfn.XLOOKUP(G41,'🚛 FROTA'!B:B,'🚛 FROTA'!K:K,""))</f>
        <v>Carroceria</v>
      </c>
      <c r="L41" s="143" t="s">
        <v>571</v>
      </c>
      <c r="M41" s="143" t="s">
        <v>660</v>
      </c>
      <c r="N41" s="145">
        <v>45755</v>
      </c>
      <c r="O41" s="143">
        <v>3</v>
      </c>
      <c r="P41" s="143">
        <v>3</v>
      </c>
      <c r="Q41" s="167">
        <v>512.66999999999996</v>
      </c>
      <c r="R41" s="143" t="s">
        <v>554</v>
      </c>
      <c r="S41" s="122" t="s">
        <v>560</v>
      </c>
      <c r="T41" s="120" t="s">
        <v>522</v>
      </c>
      <c r="U41" s="121" t="s">
        <v>555</v>
      </c>
      <c r="V41" s="119" t="s">
        <v>573</v>
      </c>
      <c r="W41" s="119" t="s">
        <v>574</v>
      </c>
      <c r="X41" s="123" t="s">
        <v>661</v>
      </c>
      <c r="Y41" s="119" t="s">
        <v>576</v>
      </c>
      <c r="Z41" s="124">
        <v>52531</v>
      </c>
      <c r="AA41" s="133" t="s">
        <v>659</v>
      </c>
      <c r="AB41" s="122">
        <v>2</v>
      </c>
      <c r="AC41" s="131" t="s">
        <v>578</v>
      </c>
      <c r="AD41" s="131" t="s">
        <v>579</v>
      </c>
      <c r="AE41" s="131" t="s">
        <v>580</v>
      </c>
      <c r="AF41" s="131" t="s">
        <v>581</v>
      </c>
      <c r="AG41" s="125" t="s">
        <v>582</v>
      </c>
      <c r="AH41" s="128">
        <f t="shared" ca="1" si="2"/>
        <v>45665</v>
      </c>
      <c r="AI41" s="129" t="s">
        <v>583</v>
      </c>
      <c r="AJ41" s="129"/>
      <c r="AK41" s="129"/>
      <c r="AL41" s="129"/>
      <c r="AM41" s="129"/>
    </row>
    <row r="42" spans="1:39" ht="18" hidden="1" customHeight="1" x14ac:dyDescent="0.25">
      <c r="A42" s="117">
        <v>41</v>
      </c>
      <c r="B42" s="117"/>
      <c r="C42" s="118" t="s">
        <v>662</v>
      </c>
      <c r="D42" s="146">
        <f t="array" aca="1" ref="D42" ca="1">SUM(--(_xlfn.UNIQUE(_xlfn._xlws.FILTER($M$2:$M$1011 &amp; "", ($C$2:$C$1011 = C42) * ($M$2:$M$1011 &lt;&gt; ""))) &lt;&gt; ""))</f>
        <v>2</v>
      </c>
      <c r="E42" s="166">
        <f t="shared" ca="1" si="0"/>
        <v>3178.68</v>
      </c>
      <c r="F42" s="143">
        <v>1</v>
      </c>
      <c r="G42" s="143" t="s">
        <v>166</v>
      </c>
      <c r="H42" s="119">
        <f>_xlfn.XLOOKUP(G42,'🚛 FROTA'!B:B,'🚛 FROTA'!A:A,"")</f>
        <v>41</v>
      </c>
      <c r="I42" s="119"/>
      <c r="J42" s="119" t="str">
        <f>IF(G42="","",_xlfn.XLOOKUP(G42,'🚛 FROTA'!B:B,'🚛 FROTA'!E:E,""))</f>
        <v>Express Delivery</v>
      </c>
      <c r="K42" s="119" t="str">
        <f>IF(G42="","",_xlfn.XLOOKUP(G42,'🚛 FROTA'!B:B,'🚛 FROTA'!K:K,""))</f>
        <v>Carroceria Cabinado</v>
      </c>
      <c r="L42" s="143" t="s">
        <v>595</v>
      </c>
      <c r="M42" s="143" t="s">
        <v>663</v>
      </c>
      <c r="N42" s="145">
        <v>45697</v>
      </c>
      <c r="O42" s="143">
        <v>1</v>
      </c>
      <c r="P42" s="143">
        <v>3</v>
      </c>
      <c r="Q42" s="167">
        <v>726.16</v>
      </c>
      <c r="R42" s="143" t="s">
        <v>554</v>
      </c>
      <c r="S42" s="122" t="s">
        <v>560</v>
      </c>
      <c r="T42" s="120" t="s">
        <v>522</v>
      </c>
      <c r="U42" s="121" t="s">
        <v>555</v>
      </c>
      <c r="V42" s="119" t="s">
        <v>556</v>
      </c>
      <c r="W42" s="119" t="s">
        <v>664</v>
      </c>
      <c r="X42" s="123" t="s">
        <v>665</v>
      </c>
      <c r="Y42" s="119" t="s">
        <v>666</v>
      </c>
      <c r="Z42" s="130"/>
      <c r="AA42" s="125"/>
      <c r="AB42" s="126"/>
      <c r="AC42" s="127"/>
      <c r="AD42" s="127"/>
      <c r="AE42" s="127"/>
      <c r="AF42" s="127"/>
      <c r="AG42" s="125"/>
      <c r="AH42" s="128">
        <f t="shared" ca="1" si="2"/>
        <v>45667</v>
      </c>
      <c r="AI42" s="129" t="s">
        <v>602</v>
      </c>
      <c r="AJ42" s="129"/>
      <c r="AK42" s="129"/>
      <c r="AL42" s="129"/>
      <c r="AM42" s="129"/>
    </row>
    <row r="43" spans="1:39" ht="18" hidden="1" customHeight="1" x14ac:dyDescent="0.25">
      <c r="A43" s="117">
        <v>42</v>
      </c>
      <c r="B43" s="117"/>
      <c r="C43" s="118" t="s">
        <v>667</v>
      </c>
      <c r="D43" s="146">
        <f t="array" aca="1" ref="D43" ca="1">SUM(--(_xlfn.UNIQUE(_xlfn._xlws.FILTER($M$2:$M$1011 &amp; "", ($C$2:$C$1011 = C43) * ($M$2:$M$1011 &lt;&gt; ""))) &lt;&gt; ""))</f>
        <v>1</v>
      </c>
      <c r="E43" s="166">
        <f t="shared" ca="1" si="0"/>
        <v>570</v>
      </c>
      <c r="F43" s="143">
        <v>1</v>
      </c>
      <c r="G43" s="143" t="s">
        <v>166</v>
      </c>
      <c r="H43" s="119">
        <f>_xlfn.XLOOKUP(G43,'🚛 FROTA'!B:B,'🚛 FROTA'!A:A,"")</f>
        <v>41</v>
      </c>
      <c r="I43" s="119"/>
      <c r="J43" s="119" t="str">
        <f>IF(G43="","",_xlfn.XLOOKUP(G43,'🚛 FROTA'!B:B,'🚛 FROTA'!E:E,""))</f>
        <v>Express Delivery</v>
      </c>
      <c r="K43" s="119" t="str">
        <f>IF(G43="","",_xlfn.XLOOKUP(G43,'🚛 FROTA'!B:B,'🚛 FROTA'!K:K,""))</f>
        <v>Carroceria Cabinado</v>
      </c>
      <c r="L43" s="143" t="s">
        <v>668</v>
      </c>
      <c r="M43" s="143" t="s">
        <v>669</v>
      </c>
      <c r="N43" s="145">
        <v>45700</v>
      </c>
      <c r="O43" s="143">
        <v>1</v>
      </c>
      <c r="P43" s="143">
        <v>1</v>
      </c>
      <c r="Q43" s="167">
        <v>570</v>
      </c>
      <c r="R43" s="143" t="s">
        <v>651</v>
      </c>
      <c r="S43" s="122" t="s">
        <v>560</v>
      </c>
      <c r="T43" s="120" t="s">
        <v>522</v>
      </c>
      <c r="U43" s="121" t="s">
        <v>555</v>
      </c>
      <c r="V43" s="119" t="s">
        <v>670</v>
      </c>
      <c r="W43" s="119" t="s">
        <v>671</v>
      </c>
      <c r="X43" s="123" t="s">
        <v>672</v>
      </c>
      <c r="Y43" s="119" t="s">
        <v>673</v>
      </c>
      <c r="Z43" s="124">
        <v>29323</v>
      </c>
      <c r="AA43" s="125"/>
      <c r="AB43" s="126"/>
      <c r="AC43" s="127"/>
      <c r="AD43" s="127"/>
      <c r="AE43" s="127"/>
      <c r="AF43" s="127"/>
      <c r="AG43" s="125"/>
      <c r="AH43" s="128">
        <f>IF(OR(R43="A Vista", R43="Crédito", R43="Adiantamento"), N43, IF(R43="Faturado", _xlfn.MINIFS(N:N, C:C, C43)-30, ""))</f>
        <v>45700</v>
      </c>
      <c r="AI43" s="129"/>
      <c r="AJ43" s="129"/>
      <c r="AK43" s="129"/>
      <c r="AL43" s="129"/>
      <c r="AM43" s="129"/>
    </row>
    <row r="44" spans="1:39" ht="18" hidden="1" customHeight="1" x14ac:dyDescent="0.25">
      <c r="A44" s="117">
        <v>43</v>
      </c>
      <c r="B44" s="117"/>
      <c r="C44" s="118" t="s">
        <v>662</v>
      </c>
      <c r="D44" s="146">
        <f t="array" aca="1" ref="D44" ca="1">SUM(--(_xlfn.UNIQUE(_xlfn._xlws.FILTER($M$2:$M$1011 &amp; "", ($C$2:$C$1011 = C44) * ($M$2:$M$1011 &lt;&gt; ""))) &lt;&gt; ""))</f>
        <v>2</v>
      </c>
      <c r="E44" s="166">
        <f t="shared" ca="1" si="0"/>
        <v>3178.68</v>
      </c>
      <c r="F44" s="143">
        <v>1</v>
      </c>
      <c r="G44" s="143" t="s">
        <v>166</v>
      </c>
      <c r="H44" s="119">
        <f>_xlfn.XLOOKUP(G44,'🚛 FROTA'!B:B,'🚛 FROTA'!A:A,"")</f>
        <v>41</v>
      </c>
      <c r="I44" s="119"/>
      <c r="J44" s="119" t="str">
        <f>IF(G44="","",_xlfn.XLOOKUP(G44,'🚛 FROTA'!B:B,'🚛 FROTA'!E:E,""))</f>
        <v>Express Delivery</v>
      </c>
      <c r="K44" s="119" t="str">
        <f>IF(G44="","",_xlfn.XLOOKUP(G44,'🚛 FROTA'!B:B,'🚛 FROTA'!K:K,""))</f>
        <v>Carroceria Cabinado</v>
      </c>
      <c r="L44" s="143" t="s">
        <v>617</v>
      </c>
      <c r="M44" s="143" t="s">
        <v>674</v>
      </c>
      <c r="N44" s="145">
        <v>45700</v>
      </c>
      <c r="O44" s="143">
        <v>1</v>
      </c>
      <c r="P44" s="143">
        <v>2</v>
      </c>
      <c r="Q44" s="167">
        <v>500</v>
      </c>
      <c r="R44" s="143" t="s">
        <v>554</v>
      </c>
      <c r="S44" s="122" t="s">
        <v>534</v>
      </c>
      <c r="T44" s="120" t="s">
        <v>522</v>
      </c>
      <c r="U44" s="121" t="s">
        <v>555</v>
      </c>
      <c r="V44" s="119" t="s">
        <v>556</v>
      </c>
      <c r="W44" s="119" t="s">
        <v>675</v>
      </c>
      <c r="X44" s="123" t="s">
        <v>676</v>
      </c>
      <c r="Y44" s="119"/>
      <c r="Z44" s="130"/>
      <c r="AA44" s="125"/>
      <c r="AB44" s="126"/>
      <c r="AC44" s="127"/>
      <c r="AD44" s="127"/>
      <c r="AE44" s="127"/>
      <c r="AF44" s="127"/>
      <c r="AG44" s="125"/>
      <c r="AH44" s="128">
        <f t="shared" ref="AH44:AH82" ca="1" si="3">IF(OR(R44="A VISTA", R44="C. CRÉDITO", R44="ADIANTAMENTO"), N44, IF(R44="Faturado", _xlfn.MINIFS(N:N, C:C, C44)-30, ""))</f>
        <v>45667</v>
      </c>
      <c r="AI44" s="129" t="s">
        <v>622</v>
      </c>
      <c r="AJ44" s="129"/>
      <c r="AK44" s="129"/>
      <c r="AL44" s="129"/>
      <c r="AM44" s="129"/>
    </row>
    <row r="45" spans="1:39" ht="18" hidden="1" customHeight="1" x14ac:dyDescent="0.25">
      <c r="A45" s="117">
        <v>44</v>
      </c>
      <c r="B45" s="117"/>
      <c r="C45" s="118" t="s">
        <v>677</v>
      </c>
      <c r="D45" s="146">
        <f t="array" aca="1" ref="D45" ca="1">SUM(--(_xlfn.UNIQUE(_xlfn._xlws.FILTER($M$2:$M$1011 &amp; "", ($C$2:$C$1011 = C45) * ($M$2:$M$1011 &lt;&gt; ""))) &lt;&gt; ""))</f>
        <v>2</v>
      </c>
      <c r="E45" s="166">
        <f t="shared" ca="1" si="0"/>
        <v>2177.4700000000003</v>
      </c>
      <c r="F45" s="143">
        <v>1</v>
      </c>
      <c r="G45" s="143" t="s">
        <v>166</v>
      </c>
      <c r="H45" s="119">
        <f>_xlfn.XLOOKUP(G45,'🚛 FROTA'!B:B,'🚛 FROTA'!A:A,"")</f>
        <v>41</v>
      </c>
      <c r="I45" s="119"/>
      <c r="J45" s="119" t="str">
        <f>IF(G45="","",_xlfn.XLOOKUP(G45,'🚛 FROTA'!B:B,'🚛 FROTA'!E:E,""))</f>
        <v>Express Delivery</v>
      </c>
      <c r="K45" s="119" t="str">
        <f>IF(G45="","",_xlfn.XLOOKUP(G45,'🚛 FROTA'!B:B,'🚛 FROTA'!K:K,""))</f>
        <v>Carroceria Cabinado</v>
      </c>
      <c r="L45" s="143" t="s">
        <v>595</v>
      </c>
      <c r="M45" s="143" t="s">
        <v>678</v>
      </c>
      <c r="N45" s="145">
        <v>45725</v>
      </c>
      <c r="O45" s="143">
        <v>1</v>
      </c>
      <c r="P45" s="143">
        <v>3</v>
      </c>
      <c r="Q45" s="167">
        <v>359.13</v>
      </c>
      <c r="R45" s="143" t="s">
        <v>554</v>
      </c>
      <c r="S45" s="122" t="s">
        <v>560</v>
      </c>
      <c r="T45" s="120" t="s">
        <v>522</v>
      </c>
      <c r="U45" s="121" t="s">
        <v>597</v>
      </c>
      <c r="V45" s="119" t="s">
        <v>598</v>
      </c>
      <c r="W45" s="119" t="s">
        <v>679</v>
      </c>
      <c r="X45" s="123" t="s">
        <v>680</v>
      </c>
      <c r="Y45" s="119"/>
      <c r="Z45" s="130"/>
      <c r="AA45" s="125"/>
      <c r="AB45" s="126"/>
      <c r="AC45" s="127"/>
      <c r="AD45" s="127"/>
      <c r="AE45" s="127"/>
      <c r="AF45" s="127"/>
      <c r="AG45" s="125"/>
      <c r="AH45" s="128">
        <f t="shared" ca="1" si="3"/>
        <v>45695</v>
      </c>
      <c r="AI45" s="129" t="s">
        <v>602</v>
      </c>
      <c r="AJ45" s="129"/>
      <c r="AK45" s="132">
        <f>IF(Z45="",0,Z45+10000)</f>
        <v>0</v>
      </c>
      <c r="AL45" s="129"/>
      <c r="AM45" s="129"/>
    </row>
    <row r="46" spans="1:39" ht="18" hidden="1" customHeight="1" x14ac:dyDescent="0.25">
      <c r="A46" s="117">
        <v>45</v>
      </c>
      <c r="B46" s="117"/>
      <c r="C46" s="118" t="s">
        <v>662</v>
      </c>
      <c r="D46" s="146">
        <f t="array" aca="1" ref="D46" ca="1">SUM(--(_xlfn.UNIQUE(_xlfn._xlws.FILTER($M$2:$M$1011 &amp; "", ($C$2:$C$1011 = C46) * ($M$2:$M$1011 &lt;&gt; ""))) &lt;&gt; ""))</f>
        <v>2</v>
      </c>
      <c r="E46" s="166">
        <f t="shared" ca="1" si="0"/>
        <v>3178.68</v>
      </c>
      <c r="F46" s="143">
        <v>1</v>
      </c>
      <c r="G46" s="143" t="s">
        <v>166</v>
      </c>
      <c r="H46" s="119">
        <f>_xlfn.XLOOKUP(G46,'🚛 FROTA'!B:B,'🚛 FROTA'!A:A,"")</f>
        <v>41</v>
      </c>
      <c r="I46" s="119"/>
      <c r="J46" s="119" t="str">
        <f>IF(G46="","",_xlfn.XLOOKUP(G46,'🚛 FROTA'!B:B,'🚛 FROTA'!E:E,""))</f>
        <v>Express Delivery</v>
      </c>
      <c r="K46" s="119" t="str">
        <f>IF(G46="","",_xlfn.XLOOKUP(G46,'🚛 FROTA'!B:B,'🚛 FROTA'!K:K,""))</f>
        <v>Carroceria Cabinado</v>
      </c>
      <c r="L46" s="143" t="s">
        <v>595</v>
      </c>
      <c r="M46" s="143" t="s">
        <v>663</v>
      </c>
      <c r="N46" s="145">
        <v>45727</v>
      </c>
      <c r="O46" s="143">
        <v>2</v>
      </c>
      <c r="P46" s="143">
        <v>3</v>
      </c>
      <c r="Q46" s="167">
        <v>726.15</v>
      </c>
      <c r="R46" s="143" t="s">
        <v>554</v>
      </c>
      <c r="S46" s="122" t="s">
        <v>560</v>
      </c>
      <c r="T46" s="120" t="s">
        <v>522</v>
      </c>
      <c r="U46" s="121" t="s">
        <v>555</v>
      </c>
      <c r="V46" s="119" t="s">
        <v>556</v>
      </c>
      <c r="W46" s="119" t="s">
        <v>664</v>
      </c>
      <c r="X46" s="123" t="s">
        <v>665</v>
      </c>
      <c r="Y46" s="119" t="s">
        <v>666</v>
      </c>
      <c r="Z46" s="124">
        <v>53195</v>
      </c>
      <c r="AA46" s="125"/>
      <c r="AB46" s="126"/>
      <c r="AC46" s="127"/>
      <c r="AD46" s="127"/>
      <c r="AE46" s="127"/>
      <c r="AF46" s="127"/>
      <c r="AG46" s="125"/>
      <c r="AH46" s="128">
        <f t="shared" ca="1" si="3"/>
        <v>45667</v>
      </c>
      <c r="AI46" s="129" t="s">
        <v>602</v>
      </c>
      <c r="AJ46" s="129"/>
      <c r="AK46" s="129"/>
      <c r="AL46" s="129"/>
      <c r="AM46" s="129"/>
    </row>
    <row r="47" spans="1:39" ht="18" hidden="1" customHeight="1" x14ac:dyDescent="0.25">
      <c r="A47" s="117">
        <v>46</v>
      </c>
      <c r="B47" s="117"/>
      <c r="C47" s="118" t="s">
        <v>681</v>
      </c>
      <c r="D47" s="146">
        <f t="array" aca="1" ref="D47" ca="1">SUM(--(_xlfn.UNIQUE(_xlfn._xlws.FILTER($M$2:$M$1011 &amp; "", ($C$2:$C$1011 = C47) * ($M$2:$M$1011 &lt;&gt; ""))) &lt;&gt; ""))</f>
        <v>1</v>
      </c>
      <c r="E47" s="166">
        <f t="shared" ca="1" si="0"/>
        <v>1521.3400000000001</v>
      </c>
      <c r="F47" s="143">
        <v>1</v>
      </c>
      <c r="G47" s="143" t="s">
        <v>162</v>
      </c>
      <c r="H47" s="119">
        <f>_xlfn.XLOOKUP(G47,'🚛 FROTA'!B:B,'🚛 FROTA'!A:A,"")</f>
        <v>39</v>
      </c>
      <c r="I47" s="119"/>
      <c r="J47" s="119" t="str">
        <f>IF(G47="","",_xlfn.XLOOKUP(G47,'🚛 FROTA'!B:B,'🚛 FROTA'!E:E,""))</f>
        <v>Express Delivery</v>
      </c>
      <c r="K47" s="119" t="str">
        <f>IF(G47="","",_xlfn.XLOOKUP(G47,'🚛 FROTA'!B:B,'🚛 FROTA'!K:K,""))</f>
        <v>Carroceria Cabinado</v>
      </c>
      <c r="L47" s="143" t="s">
        <v>682</v>
      </c>
      <c r="M47" s="143" t="s">
        <v>683</v>
      </c>
      <c r="N47" s="145">
        <v>45698</v>
      </c>
      <c r="O47" s="143">
        <v>1</v>
      </c>
      <c r="P47" s="143">
        <v>3</v>
      </c>
      <c r="Q47" s="167">
        <v>507.12</v>
      </c>
      <c r="R47" s="143" t="s">
        <v>554</v>
      </c>
      <c r="S47" s="122" t="s">
        <v>560</v>
      </c>
      <c r="T47" s="120" t="s">
        <v>522</v>
      </c>
      <c r="U47" s="121" t="s">
        <v>555</v>
      </c>
      <c r="V47" s="119" t="s">
        <v>634</v>
      </c>
      <c r="W47" s="119" t="s">
        <v>684</v>
      </c>
      <c r="X47" s="123" t="s">
        <v>685</v>
      </c>
      <c r="Y47" s="119"/>
      <c r="Z47" s="130"/>
      <c r="AA47" s="125"/>
      <c r="AB47" s="126"/>
      <c r="AC47" s="127"/>
      <c r="AD47" s="127"/>
      <c r="AE47" s="127"/>
      <c r="AF47" s="127"/>
      <c r="AG47" s="125"/>
      <c r="AH47" s="128">
        <f t="shared" ca="1" si="3"/>
        <v>45668</v>
      </c>
      <c r="AI47" s="129" t="s">
        <v>686</v>
      </c>
      <c r="AJ47" s="129"/>
      <c r="AK47" s="129"/>
      <c r="AL47" s="129"/>
      <c r="AM47" s="129"/>
    </row>
    <row r="48" spans="1:39" ht="18" hidden="1" customHeight="1" x14ac:dyDescent="0.25">
      <c r="A48" s="117">
        <v>47</v>
      </c>
      <c r="B48" s="117"/>
      <c r="C48" s="118" t="s">
        <v>681</v>
      </c>
      <c r="D48" s="146">
        <f t="array" aca="1" ref="D48" ca="1">SUM(--(_xlfn.UNIQUE(_xlfn._xlws.FILTER($M$2:$M$1011 &amp; "", ($C$2:$C$1011 = C48) * ($M$2:$M$1011 &lt;&gt; ""))) &lt;&gt; ""))</f>
        <v>1</v>
      </c>
      <c r="E48" s="166">
        <f t="shared" ca="1" si="0"/>
        <v>1521.3400000000001</v>
      </c>
      <c r="F48" s="143">
        <v>1</v>
      </c>
      <c r="G48" s="143" t="s">
        <v>162</v>
      </c>
      <c r="H48" s="119">
        <f>_xlfn.XLOOKUP(G48,'🚛 FROTA'!B:B,'🚛 FROTA'!A:A,"")</f>
        <v>39</v>
      </c>
      <c r="I48" s="119"/>
      <c r="J48" s="119" t="str">
        <f>IF(G48="","",_xlfn.XLOOKUP(G48,'🚛 FROTA'!B:B,'🚛 FROTA'!E:E,""))</f>
        <v>Express Delivery</v>
      </c>
      <c r="K48" s="119" t="str">
        <f>IF(G48="","",_xlfn.XLOOKUP(G48,'🚛 FROTA'!B:B,'🚛 FROTA'!K:K,""))</f>
        <v>Carroceria Cabinado</v>
      </c>
      <c r="L48" s="143" t="s">
        <v>682</v>
      </c>
      <c r="M48" s="143" t="s">
        <v>683</v>
      </c>
      <c r="N48" s="145">
        <v>45726</v>
      </c>
      <c r="O48" s="143">
        <v>2</v>
      </c>
      <c r="P48" s="143">
        <v>3</v>
      </c>
      <c r="Q48" s="167">
        <v>507.11</v>
      </c>
      <c r="R48" s="143" t="s">
        <v>554</v>
      </c>
      <c r="S48" s="122" t="s">
        <v>560</v>
      </c>
      <c r="T48" s="120" t="s">
        <v>522</v>
      </c>
      <c r="U48" s="121" t="s">
        <v>555</v>
      </c>
      <c r="V48" s="119" t="s">
        <v>634</v>
      </c>
      <c r="W48" s="119" t="s">
        <v>684</v>
      </c>
      <c r="X48" s="123" t="s">
        <v>685</v>
      </c>
      <c r="Y48" s="119"/>
      <c r="Z48" s="124">
        <v>53195</v>
      </c>
      <c r="AA48" s="125"/>
      <c r="AB48" s="126"/>
      <c r="AC48" s="127"/>
      <c r="AD48" s="127"/>
      <c r="AE48" s="127"/>
      <c r="AF48" s="127"/>
      <c r="AG48" s="125"/>
      <c r="AH48" s="128">
        <f t="shared" ca="1" si="3"/>
        <v>45668</v>
      </c>
      <c r="AI48" s="129" t="s">
        <v>686</v>
      </c>
      <c r="AJ48" s="129"/>
      <c r="AK48" s="129"/>
      <c r="AL48" s="129"/>
      <c r="AM48" s="129"/>
    </row>
    <row r="49" spans="1:39" ht="18" hidden="1" customHeight="1" x14ac:dyDescent="0.25">
      <c r="A49" s="117">
        <v>48</v>
      </c>
      <c r="B49" s="117"/>
      <c r="C49" s="118" t="s">
        <v>681</v>
      </c>
      <c r="D49" s="146">
        <f t="array" aca="1" ref="D49" ca="1">SUM(--(_xlfn.UNIQUE(_xlfn._xlws.FILTER($M$2:$M$1011 &amp; "", ($C$2:$C$1011 = C49) * ($M$2:$M$1011 &lt;&gt; ""))) &lt;&gt; ""))</f>
        <v>1</v>
      </c>
      <c r="E49" s="166">
        <f t="shared" ca="1" si="0"/>
        <v>1521.3400000000001</v>
      </c>
      <c r="F49" s="143">
        <v>1</v>
      </c>
      <c r="G49" s="143" t="s">
        <v>162</v>
      </c>
      <c r="H49" s="119">
        <f>_xlfn.XLOOKUP(G49,'🚛 FROTA'!B:B,'🚛 FROTA'!A:A,"")</f>
        <v>39</v>
      </c>
      <c r="I49" s="119"/>
      <c r="J49" s="119" t="str">
        <f>IF(G49="","",_xlfn.XLOOKUP(G49,'🚛 FROTA'!B:B,'🚛 FROTA'!E:E,""))</f>
        <v>Express Delivery</v>
      </c>
      <c r="K49" s="119" t="str">
        <f>IF(G49="","",_xlfn.XLOOKUP(G49,'🚛 FROTA'!B:B,'🚛 FROTA'!K:K,""))</f>
        <v>Carroceria Cabinado</v>
      </c>
      <c r="L49" s="143" t="s">
        <v>682</v>
      </c>
      <c r="M49" s="143" t="s">
        <v>683</v>
      </c>
      <c r="N49" s="145">
        <v>45754</v>
      </c>
      <c r="O49" s="143">
        <v>3</v>
      </c>
      <c r="P49" s="143">
        <v>3</v>
      </c>
      <c r="Q49" s="167">
        <v>507.11</v>
      </c>
      <c r="R49" s="143" t="s">
        <v>554</v>
      </c>
      <c r="S49" s="122" t="s">
        <v>560</v>
      </c>
      <c r="T49" s="120" t="s">
        <v>522</v>
      </c>
      <c r="U49" s="121" t="s">
        <v>555</v>
      </c>
      <c r="V49" s="119" t="s">
        <v>634</v>
      </c>
      <c r="W49" s="119" t="s">
        <v>684</v>
      </c>
      <c r="X49" s="123" t="s">
        <v>685</v>
      </c>
      <c r="Y49" s="119"/>
      <c r="Z49" s="130"/>
      <c r="AA49" s="125"/>
      <c r="AB49" s="126"/>
      <c r="AC49" s="127"/>
      <c r="AD49" s="127"/>
      <c r="AE49" s="127"/>
      <c r="AF49" s="127"/>
      <c r="AG49" s="125"/>
      <c r="AH49" s="128">
        <f t="shared" ca="1" si="3"/>
        <v>45668</v>
      </c>
      <c r="AI49" s="129" t="s">
        <v>686</v>
      </c>
      <c r="AJ49" s="129"/>
      <c r="AK49" s="129"/>
      <c r="AL49" s="129"/>
      <c r="AM49" s="129"/>
    </row>
    <row r="50" spans="1:39" ht="18" hidden="1" customHeight="1" x14ac:dyDescent="0.25">
      <c r="A50" s="117">
        <v>49</v>
      </c>
      <c r="B50" s="117"/>
      <c r="C50" s="118" t="s">
        <v>662</v>
      </c>
      <c r="D50" s="146">
        <f t="array" aca="1" ref="D50" ca="1">SUM(--(_xlfn.UNIQUE(_xlfn._xlws.FILTER($M$2:$M$1011 &amp; "", ($C$2:$C$1011 = C50) * ($M$2:$M$1011 &lt;&gt; ""))) &lt;&gt; ""))</f>
        <v>2</v>
      </c>
      <c r="E50" s="166">
        <f t="shared" ca="1" si="0"/>
        <v>3178.68</v>
      </c>
      <c r="F50" s="143">
        <v>1</v>
      </c>
      <c r="G50" s="143" t="s">
        <v>166</v>
      </c>
      <c r="H50" s="119">
        <f>_xlfn.XLOOKUP(G50,'🚛 FROTA'!B:B,'🚛 FROTA'!A:A,"")</f>
        <v>41</v>
      </c>
      <c r="I50" s="119"/>
      <c r="J50" s="119" t="str">
        <f>IF(G50="","",_xlfn.XLOOKUP(G50,'🚛 FROTA'!B:B,'🚛 FROTA'!E:E,""))</f>
        <v>Express Delivery</v>
      </c>
      <c r="K50" s="119" t="str">
        <f>IF(G50="","",_xlfn.XLOOKUP(G50,'🚛 FROTA'!B:B,'🚛 FROTA'!K:K,""))</f>
        <v>Carroceria Cabinado</v>
      </c>
      <c r="L50" s="143" t="s">
        <v>617</v>
      </c>
      <c r="M50" s="143" t="s">
        <v>674</v>
      </c>
      <c r="N50" s="145">
        <v>45728</v>
      </c>
      <c r="O50" s="143">
        <v>2</v>
      </c>
      <c r="P50" s="143">
        <v>2</v>
      </c>
      <c r="Q50" s="167">
        <v>500</v>
      </c>
      <c r="R50" s="143" t="s">
        <v>554</v>
      </c>
      <c r="S50" s="122" t="s">
        <v>534</v>
      </c>
      <c r="T50" s="120" t="s">
        <v>522</v>
      </c>
      <c r="U50" s="121" t="s">
        <v>555</v>
      </c>
      <c r="V50" s="119" t="s">
        <v>556</v>
      </c>
      <c r="W50" s="119" t="s">
        <v>675</v>
      </c>
      <c r="X50" s="123" t="s">
        <v>676</v>
      </c>
      <c r="Y50" s="119"/>
      <c r="Z50" s="124">
        <v>29323</v>
      </c>
      <c r="AA50" s="125"/>
      <c r="AB50" s="126"/>
      <c r="AC50" s="127"/>
      <c r="AD50" s="127"/>
      <c r="AE50" s="127"/>
      <c r="AF50" s="127"/>
      <c r="AG50" s="125"/>
      <c r="AH50" s="128">
        <f t="shared" ca="1" si="3"/>
        <v>45667</v>
      </c>
      <c r="AI50" s="129" t="s">
        <v>622</v>
      </c>
      <c r="AJ50" s="129"/>
      <c r="AK50" s="129"/>
      <c r="AL50" s="129"/>
      <c r="AM50" s="129"/>
    </row>
    <row r="51" spans="1:39" ht="18" hidden="1" customHeight="1" x14ac:dyDescent="0.25">
      <c r="A51" s="117">
        <v>50</v>
      </c>
      <c r="B51" s="117"/>
      <c r="C51" s="118" t="s">
        <v>687</v>
      </c>
      <c r="D51" s="146">
        <f t="array" aca="1" ref="D51" ca="1">SUM(--(_xlfn.UNIQUE(_xlfn._xlws.FILTER($M$2:$M$1011 &amp; "", ($C$2:$C$1011 = C51) * ($M$2:$M$1011 &lt;&gt; ""))) &lt;&gt; ""))</f>
        <v>1</v>
      </c>
      <c r="E51" s="166">
        <f t="shared" ca="1" si="0"/>
        <v>4568</v>
      </c>
      <c r="F51" s="143">
        <v>1</v>
      </c>
      <c r="G51" s="143" t="s">
        <v>173</v>
      </c>
      <c r="H51" s="119">
        <f>_xlfn.XLOOKUP(G51,'🚛 FROTA'!B:B,'🚛 FROTA'!A:A,"")</f>
        <v>46</v>
      </c>
      <c r="I51" s="119"/>
      <c r="J51" s="119" t="str">
        <f>IF(G51="","",_xlfn.XLOOKUP(G51,'🚛 FROTA'!B:B,'🚛 FROTA'!E:E,""))</f>
        <v>Express Delivery</v>
      </c>
      <c r="K51" s="119" t="str">
        <f>IF(G51="","",_xlfn.XLOOKUP(G51,'🚛 FROTA'!B:B,'🚛 FROTA'!K:K,""))</f>
        <v>Carroceria</v>
      </c>
      <c r="L51" s="143" t="s">
        <v>552</v>
      </c>
      <c r="M51" s="143" t="s">
        <v>688</v>
      </c>
      <c r="N51" s="145">
        <v>45703</v>
      </c>
      <c r="O51" s="143">
        <v>1</v>
      </c>
      <c r="P51" s="143">
        <v>4</v>
      </c>
      <c r="Q51" s="167">
        <v>1142</v>
      </c>
      <c r="R51" s="143" t="s">
        <v>554</v>
      </c>
      <c r="S51" s="122" t="s">
        <v>534</v>
      </c>
      <c r="T51" s="120" t="s">
        <v>522</v>
      </c>
      <c r="U51" s="121" t="s">
        <v>555</v>
      </c>
      <c r="V51" s="119" t="s">
        <v>689</v>
      </c>
      <c r="W51" s="119" t="s">
        <v>690</v>
      </c>
      <c r="X51" s="123" t="s">
        <v>691</v>
      </c>
      <c r="Y51" s="119"/>
      <c r="Z51" s="130"/>
      <c r="AA51" s="125"/>
      <c r="AB51" s="126"/>
      <c r="AC51" s="127"/>
      <c r="AD51" s="127"/>
      <c r="AE51" s="127"/>
      <c r="AF51" s="127"/>
      <c r="AG51" s="125"/>
      <c r="AH51" s="128">
        <f t="shared" ca="1" si="3"/>
        <v>45673</v>
      </c>
      <c r="AI51" s="129" t="s">
        <v>559</v>
      </c>
      <c r="AJ51" s="129"/>
      <c r="AK51" s="129"/>
      <c r="AL51" s="129"/>
      <c r="AM51" s="129"/>
    </row>
    <row r="52" spans="1:39" ht="18" hidden="1" customHeight="1" x14ac:dyDescent="0.25">
      <c r="A52" s="117">
        <v>51</v>
      </c>
      <c r="B52" s="117"/>
      <c r="C52" s="118" t="s">
        <v>687</v>
      </c>
      <c r="D52" s="146">
        <f t="array" aca="1" ref="D52" ca="1">SUM(--(_xlfn.UNIQUE(_xlfn._xlws.FILTER($M$2:$M$1011 &amp; "", ($C$2:$C$1011 = C52) * ($M$2:$M$1011 &lt;&gt; ""))) &lt;&gt; ""))</f>
        <v>1</v>
      </c>
      <c r="E52" s="166">
        <f t="shared" ca="1" si="0"/>
        <v>4568</v>
      </c>
      <c r="F52" s="143">
        <v>1</v>
      </c>
      <c r="G52" s="143" t="s">
        <v>173</v>
      </c>
      <c r="H52" s="119">
        <f>_xlfn.XLOOKUP(G52,'🚛 FROTA'!B:B,'🚛 FROTA'!A:A,"")</f>
        <v>46</v>
      </c>
      <c r="I52" s="119"/>
      <c r="J52" s="119" t="str">
        <f>IF(G52="","",_xlfn.XLOOKUP(G52,'🚛 FROTA'!B:B,'🚛 FROTA'!E:E,""))</f>
        <v>Express Delivery</v>
      </c>
      <c r="K52" s="119" t="str">
        <f>IF(G52="","",_xlfn.XLOOKUP(G52,'🚛 FROTA'!B:B,'🚛 FROTA'!K:K,""))</f>
        <v>Carroceria</v>
      </c>
      <c r="L52" s="143" t="s">
        <v>552</v>
      </c>
      <c r="M52" s="143" t="s">
        <v>688</v>
      </c>
      <c r="N52" s="145">
        <v>45731</v>
      </c>
      <c r="O52" s="143">
        <v>2</v>
      </c>
      <c r="P52" s="143">
        <v>4</v>
      </c>
      <c r="Q52" s="167">
        <v>1142</v>
      </c>
      <c r="R52" s="143" t="s">
        <v>554</v>
      </c>
      <c r="S52" s="122" t="s">
        <v>534</v>
      </c>
      <c r="T52" s="120" t="s">
        <v>522</v>
      </c>
      <c r="U52" s="121" t="s">
        <v>555</v>
      </c>
      <c r="V52" s="119" t="s">
        <v>689</v>
      </c>
      <c r="W52" s="119" t="s">
        <v>690</v>
      </c>
      <c r="X52" s="123" t="s">
        <v>691</v>
      </c>
      <c r="Y52" s="119"/>
      <c r="Z52" s="130"/>
      <c r="AA52" s="125"/>
      <c r="AB52" s="126"/>
      <c r="AC52" s="127"/>
      <c r="AD52" s="127"/>
      <c r="AE52" s="127"/>
      <c r="AF52" s="127"/>
      <c r="AG52" s="125"/>
      <c r="AH52" s="128">
        <f t="shared" ca="1" si="3"/>
        <v>45673</v>
      </c>
      <c r="AI52" s="129" t="s">
        <v>559</v>
      </c>
      <c r="AJ52" s="129"/>
      <c r="AK52" s="129"/>
      <c r="AL52" s="129"/>
      <c r="AM52" s="129"/>
    </row>
    <row r="53" spans="1:39" ht="18" hidden="1" customHeight="1" x14ac:dyDescent="0.25">
      <c r="A53" s="117">
        <v>52</v>
      </c>
      <c r="B53" s="117"/>
      <c r="C53" s="118" t="s">
        <v>687</v>
      </c>
      <c r="D53" s="146">
        <f t="array" aca="1" ref="D53" ca="1">SUM(--(_xlfn.UNIQUE(_xlfn._xlws.FILTER($M$2:$M$1011 &amp; "", ($C$2:$C$1011 = C53) * ($M$2:$M$1011 &lt;&gt; ""))) &lt;&gt; ""))</f>
        <v>1</v>
      </c>
      <c r="E53" s="166">
        <f t="shared" ca="1" si="0"/>
        <v>4568</v>
      </c>
      <c r="F53" s="143">
        <v>1</v>
      </c>
      <c r="G53" s="143" t="s">
        <v>173</v>
      </c>
      <c r="H53" s="119">
        <f>_xlfn.XLOOKUP(G53,'🚛 FROTA'!B:B,'🚛 FROTA'!A:A,"")</f>
        <v>46</v>
      </c>
      <c r="I53" s="119"/>
      <c r="J53" s="119" t="str">
        <f>IF(G53="","",_xlfn.XLOOKUP(G53,'🚛 FROTA'!B:B,'🚛 FROTA'!E:E,""))</f>
        <v>Express Delivery</v>
      </c>
      <c r="K53" s="119" t="str">
        <f>IF(G53="","",_xlfn.XLOOKUP(G53,'🚛 FROTA'!B:B,'🚛 FROTA'!K:K,""))</f>
        <v>Carroceria</v>
      </c>
      <c r="L53" s="143" t="s">
        <v>552</v>
      </c>
      <c r="M53" s="143" t="s">
        <v>688</v>
      </c>
      <c r="N53" s="145">
        <v>45762</v>
      </c>
      <c r="O53" s="143">
        <v>3</v>
      </c>
      <c r="P53" s="143">
        <v>4</v>
      </c>
      <c r="Q53" s="167">
        <v>1142</v>
      </c>
      <c r="R53" s="143" t="s">
        <v>554</v>
      </c>
      <c r="S53" s="122" t="s">
        <v>534</v>
      </c>
      <c r="T53" s="120" t="s">
        <v>522</v>
      </c>
      <c r="U53" s="121" t="s">
        <v>555</v>
      </c>
      <c r="V53" s="119" t="s">
        <v>689</v>
      </c>
      <c r="W53" s="119" t="s">
        <v>690</v>
      </c>
      <c r="X53" s="123" t="s">
        <v>691</v>
      </c>
      <c r="Y53" s="119"/>
      <c r="Z53" s="124">
        <v>52531</v>
      </c>
      <c r="AA53" s="125"/>
      <c r="AB53" s="126"/>
      <c r="AC53" s="127"/>
      <c r="AD53" s="127"/>
      <c r="AE53" s="127"/>
      <c r="AF53" s="127"/>
      <c r="AG53" s="125"/>
      <c r="AH53" s="128">
        <f t="shared" ca="1" si="3"/>
        <v>45673</v>
      </c>
      <c r="AI53" s="129" t="s">
        <v>559</v>
      </c>
      <c r="AJ53" s="129"/>
      <c r="AK53" s="129"/>
      <c r="AL53" s="129"/>
      <c r="AM53" s="129"/>
    </row>
    <row r="54" spans="1:39" ht="18" hidden="1" customHeight="1" x14ac:dyDescent="0.25">
      <c r="A54" s="117">
        <v>53</v>
      </c>
      <c r="B54" s="117"/>
      <c r="C54" s="118" t="s">
        <v>687</v>
      </c>
      <c r="D54" s="146">
        <f t="array" aca="1" ref="D54" ca="1">SUM(--(_xlfn.UNIQUE(_xlfn._xlws.FILTER($M$2:$M$1011 &amp; "", ($C$2:$C$1011 = C54) * ($M$2:$M$1011 &lt;&gt; ""))) &lt;&gt; ""))</f>
        <v>1</v>
      </c>
      <c r="E54" s="166">
        <f t="shared" ca="1" si="0"/>
        <v>4568</v>
      </c>
      <c r="F54" s="143">
        <v>1</v>
      </c>
      <c r="G54" s="143" t="s">
        <v>173</v>
      </c>
      <c r="H54" s="119">
        <f>_xlfn.XLOOKUP(G54,'🚛 FROTA'!B:B,'🚛 FROTA'!A:A,"")</f>
        <v>46</v>
      </c>
      <c r="I54" s="119"/>
      <c r="J54" s="119" t="str">
        <f>IF(G54="","",_xlfn.XLOOKUP(G54,'🚛 FROTA'!B:B,'🚛 FROTA'!E:E,""))</f>
        <v>Express Delivery</v>
      </c>
      <c r="K54" s="119" t="str">
        <f>IF(G54="","",_xlfn.XLOOKUP(G54,'🚛 FROTA'!B:B,'🚛 FROTA'!K:K,""))</f>
        <v>Carroceria</v>
      </c>
      <c r="L54" s="143" t="s">
        <v>552</v>
      </c>
      <c r="M54" s="143" t="s">
        <v>688</v>
      </c>
      <c r="N54" s="145">
        <v>45790</v>
      </c>
      <c r="O54" s="143">
        <v>4</v>
      </c>
      <c r="P54" s="143">
        <v>4</v>
      </c>
      <c r="Q54" s="167">
        <v>1142</v>
      </c>
      <c r="R54" s="143" t="s">
        <v>554</v>
      </c>
      <c r="S54" s="122" t="s">
        <v>534</v>
      </c>
      <c r="T54" s="120" t="s">
        <v>522</v>
      </c>
      <c r="U54" s="121" t="s">
        <v>555</v>
      </c>
      <c r="V54" s="119" t="s">
        <v>689</v>
      </c>
      <c r="W54" s="119" t="s">
        <v>690</v>
      </c>
      <c r="X54" s="123" t="s">
        <v>691</v>
      </c>
      <c r="Y54" s="119"/>
      <c r="Z54" s="124">
        <v>5390</v>
      </c>
      <c r="AA54" s="125"/>
      <c r="AB54" s="126"/>
      <c r="AC54" s="127"/>
      <c r="AD54" s="127"/>
      <c r="AE54" s="127"/>
      <c r="AF54" s="127"/>
      <c r="AG54" s="125"/>
      <c r="AH54" s="128">
        <f t="shared" ca="1" si="3"/>
        <v>45673</v>
      </c>
      <c r="AI54" s="129" t="s">
        <v>559</v>
      </c>
      <c r="AJ54" s="129"/>
      <c r="AK54" s="129"/>
      <c r="AL54" s="129"/>
      <c r="AM54" s="129"/>
    </row>
    <row r="55" spans="1:39" ht="18" hidden="1" customHeight="1" x14ac:dyDescent="0.25">
      <c r="A55" s="117">
        <v>54</v>
      </c>
      <c r="B55" s="117"/>
      <c r="C55" s="118" t="s">
        <v>677</v>
      </c>
      <c r="D55" s="146">
        <f t="array" aca="1" ref="D55" ca="1">SUM(--(_xlfn.UNIQUE(_xlfn._xlws.FILTER($M$2:$M$1011 &amp; "", ($C$2:$C$1011 = C55) * ($M$2:$M$1011 &lt;&gt; ""))) &lt;&gt; ""))</f>
        <v>2</v>
      </c>
      <c r="E55" s="166">
        <f t="shared" ca="1" si="0"/>
        <v>2177.4700000000003</v>
      </c>
      <c r="F55" s="143">
        <v>1</v>
      </c>
      <c r="G55" s="143" t="s">
        <v>166</v>
      </c>
      <c r="H55" s="119">
        <f>_xlfn.XLOOKUP(G55,'🚛 FROTA'!B:B,'🚛 FROTA'!A:A,"")</f>
        <v>41</v>
      </c>
      <c r="I55" s="119"/>
      <c r="J55" s="119" t="str">
        <f>IF(G55="","",_xlfn.XLOOKUP(G55,'🚛 FROTA'!B:B,'🚛 FROTA'!E:E,""))</f>
        <v>Express Delivery</v>
      </c>
      <c r="K55" s="119" t="str">
        <f>IF(G55="","",_xlfn.XLOOKUP(G55,'🚛 FROTA'!B:B,'🚛 FROTA'!K:K,""))</f>
        <v>Carroceria Cabinado</v>
      </c>
      <c r="L55" s="143" t="s">
        <v>617</v>
      </c>
      <c r="M55" s="143" t="s">
        <v>692</v>
      </c>
      <c r="N55" s="145">
        <v>45730</v>
      </c>
      <c r="O55" s="143">
        <v>1</v>
      </c>
      <c r="P55" s="143">
        <v>1</v>
      </c>
      <c r="Q55" s="167">
        <v>1100</v>
      </c>
      <c r="R55" s="143" t="s">
        <v>554</v>
      </c>
      <c r="S55" s="122" t="s">
        <v>534</v>
      </c>
      <c r="T55" s="120" t="s">
        <v>522</v>
      </c>
      <c r="U55" s="121" t="s">
        <v>597</v>
      </c>
      <c r="V55" s="119" t="s">
        <v>598</v>
      </c>
      <c r="W55" s="119" t="s">
        <v>693</v>
      </c>
      <c r="X55" s="123" t="s">
        <v>694</v>
      </c>
      <c r="Y55" s="119"/>
      <c r="Z55" s="130"/>
      <c r="AA55" s="125"/>
      <c r="AB55" s="126"/>
      <c r="AC55" s="127"/>
      <c r="AD55" s="127"/>
      <c r="AE55" s="127"/>
      <c r="AF55" s="127"/>
      <c r="AG55" s="125"/>
      <c r="AH55" s="128">
        <f t="shared" ca="1" si="3"/>
        <v>45695</v>
      </c>
      <c r="AI55" s="129" t="s">
        <v>622</v>
      </c>
      <c r="AJ55" s="129"/>
      <c r="AK55" s="132">
        <f>IF(Z55="",0,Z55+10000)</f>
        <v>0</v>
      </c>
      <c r="AL55" s="129"/>
      <c r="AM55" s="129"/>
    </row>
    <row r="56" spans="1:39" ht="18" hidden="1" customHeight="1" x14ac:dyDescent="0.25">
      <c r="A56" s="117">
        <v>55</v>
      </c>
      <c r="B56" s="117"/>
      <c r="C56" s="118" t="s">
        <v>677</v>
      </c>
      <c r="D56" s="146">
        <f t="array" aca="1" ref="D56" ca="1">SUM(--(_xlfn.UNIQUE(_xlfn._xlws.FILTER($M$2:$M$1011 &amp; "", ($C$2:$C$1011 = C56) * ($M$2:$M$1011 &lt;&gt; ""))) &lt;&gt; ""))</f>
        <v>2</v>
      </c>
      <c r="E56" s="166">
        <f t="shared" ca="1" si="0"/>
        <v>2177.4700000000003</v>
      </c>
      <c r="F56" s="143">
        <v>1</v>
      </c>
      <c r="G56" s="143" t="s">
        <v>166</v>
      </c>
      <c r="H56" s="119">
        <f>_xlfn.XLOOKUP(G56,'🚛 FROTA'!B:B,'🚛 FROTA'!A:A,"")</f>
        <v>41</v>
      </c>
      <c r="I56" s="119"/>
      <c r="J56" s="119" t="str">
        <f>IF(G56="","",_xlfn.XLOOKUP(G56,'🚛 FROTA'!B:B,'🚛 FROTA'!E:E,""))</f>
        <v>Express Delivery</v>
      </c>
      <c r="K56" s="119" t="str">
        <f>IF(G56="","",_xlfn.XLOOKUP(G56,'🚛 FROTA'!B:B,'🚛 FROTA'!K:K,""))</f>
        <v>Carroceria Cabinado</v>
      </c>
      <c r="L56" s="143" t="s">
        <v>595</v>
      </c>
      <c r="M56" s="143" t="s">
        <v>678</v>
      </c>
      <c r="N56" s="145">
        <v>45755</v>
      </c>
      <c r="O56" s="143">
        <v>2</v>
      </c>
      <c r="P56" s="143">
        <v>3</v>
      </c>
      <c r="Q56" s="167">
        <v>359.12</v>
      </c>
      <c r="R56" s="143" t="s">
        <v>554</v>
      </c>
      <c r="S56" s="122" t="s">
        <v>560</v>
      </c>
      <c r="T56" s="120" t="s">
        <v>522</v>
      </c>
      <c r="U56" s="121" t="s">
        <v>597</v>
      </c>
      <c r="V56" s="119" t="s">
        <v>598</v>
      </c>
      <c r="W56" s="119" t="s">
        <v>679</v>
      </c>
      <c r="X56" s="123" t="s">
        <v>680</v>
      </c>
      <c r="Y56" s="119"/>
      <c r="Z56" s="130"/>
      <c r="AA56" s="125"/>
      <c r="AB56" s="126"/>
      <c r="AC56" s="127"/>
      <c r="AD56" s="127"/>
      <c r="AE56" s="127"/>
      <c r="AF56" s="127"/>
      <c r="AG56" s="125"/>
      <c r="AH56" s="128">
        <f t="shared" ca="1" si="3"/>
        <v>45695</v>
      </c>
      <c r="AI56" s="129" t="s">
        <v>602</v>
      </c>
      <c r="AJ56" s="129"/>
      <c r="AK56" s="132">
        <f>IF(Z56="",0,Z56+10000)</f>
        <v>0</v>
      </c>
      <c r="AL56" s="129"/>
      <c r="AM56" s="129"/>
    </row>
    <row r="57" spans="1:39" ht="18" hidden="1" customHeight="1" x14ac:dyDescent="0.25">
      <c r="A57" s="117">
        <v>56</v>
      </c>
      <c r="B57" s="117"/>
      <c r="C57" s="118" t="s">
        <v>662</v>
      </c>
      <c r="D57" s="146">
        <f t="array" aca="1" ref="D57" ca="1">SUM(--(_xlfn.UNIQUE(_xlfn._xlws.FILTER($M$2:$M$1011 &amp; "", ($C$2:$C$1011 = C57) * ($M$2:$M$1011 &lt;&gt; ""))) &lt;&gt; ""))</f>
        <v>2</v>
      </c>
      <c r="E57" s="166">
        <f t="shared" ca="1" si="0"/>
        <v>3178.68</v>
      </c>
      <c r="F57" s="143">
        <v>1</v>
      </c>
      <c r="G57" s="143" t="s">
        <v>166</v>
      </c>
      <c r="H57" s="119">
        <f>_xlfn.XLOOKUP(G57,'🚛 FROTA'!B:B,'🚛 FROTA'!A:A,"")</f>
        <v>41</v>
      </c>
      <c r="I57" s="119"/>
      <c r="J57" s="119" t="str">
        <f>IF(G57="","",_xlfn.XLOOKUP(G57,'🚛 FROTA'!B:B,'🚛 FROTA'!E:E,""))</f>
        <v>Express Delivery</v>
      </c>
      <c r="K57" s="119" t="str">
        <f>IF(G57="","",_xlfn.XLOOKUP(G57,'🚛 FROTA'!B:B,'🚛 FROTA'!K:K,""))</f>
        <v>Carroceria Cabinado</v>
      </c>
      <c r="L57" s="143" t="s">
        <v>595</v>
      </c>
      <c r="M57" s="143" t="s">
        <v>663</v>
      </c>
      <c r="N57" s="145">
        <v>45757</v>
      </c>
      <c r="O57" s="143">
        <v>3</v>
      </c>
      <c r="P57" s="143">
        <v>3</v>
      </c>
      <c r="Q57" s="167">
        <v>726.37</v>
      </c>
      <c r="R57" s="143" t="s">
        <v>554</v>
      </c>
      <c r="S57" s="122" t="s">
        <v>560</v>
      </c>
      <c r="T57" s="120" t="s">
        <v>522</v>
      </c>
      <c r="U57" s="121" t="s">
        <v>555</v>
      </c>
      <c r="V57" s="119" t="s">
        <v>556</v>
      </c>
      <c r="W57" s="119" t="s">
        <v>664</v>
      </c>
      <c r="X57" s="123" t="s">
        <v>665</v>
      </c>
      <c r="Y57" s="119" t="s">
        <v>666</v>
      </c>
      <c r="Z57" s="130"/>
      <c r="AA57" s="125"/>
      <c r="AB57" s="126"/>
      <c r="AC57" s="127"/>
      <c r="AD57" s="127"/>
      <c r="AE57" s="127"/>
      <c r="AF57" s="127"/>
      <c r="AG57" s="125"/>
      <c r="AH57" s="128">
        <f t="shared" ca="1" si="3"/>
        <v>45667</v>
      </c>
      <c r="AI57" s="129" t="s">
        <v>602</v>
      </c>
      <c r="AJ57" s="129"/>
      <c r="AK57" s="129"/>
      <c r="AL57" s="129"/>
      <c r="AM57" s="129"/>
    </row>
    <row r="58" spans="1:39" ht="18" hidden="1" customHeight="1" x14ac:dyDescent="0.25">
      <c r="A58" s="117">
        <v>57</v>
      </c>
      <c r="B58" s="117"/>
      <c r="C58" s="118" t="s">
        <v>677</v>
      </c>
      <c r="D58" s="146">
        <f t="array" aca="1" ref="D58" ca="1">SUM(--(_xlfn.UNIQUE(_xlfn._xlws.FILTER($M$2:$M$1011 &amp; "", ($C$2:$C$1011 = C58) * ($M$2:$M$1011 &lt;&gt; ""))) &lt;&gt; ""))</f>
        <v>2</v>
      </c>
      <c r="E58" s="166">
        <f t="shared" ca="1" si="0"/>
        <v>2177.4700000000003</v>
      </c>
      <c r="F58" s="143">
        <v>1</v>
      </c>
      <c r="G58" s="143" t="s">
        <v>166</v>
      </c>
      <c r="H58" s="119">
        <f>_xlfn.XLOOKUP(G58,'🚛 FROTA'!B:B,'🚛 FROTA'!A:A,"")</f>
        <v>41</v>
      </c>
      <c r="I58" s="119"/>
      <c r="J58" s="119" t="str">
        <f>IF(G58="","",_xlfn.XLOOKUP(G58,'🚛 FROTA'!B:B,'🚛 FROTA'!E:E,""))</f>
        <v>Express Delivery</v>
      </c>
      <c r="K58" s="119" t="str">
        <f>IF(G58="","",_xlfn.XLOOKUP(G58,'🚛 FROTA'!B:B,'🚛 FROTA'!K:K,""))</f>
        <v>Carroceria Cabinado</v>
      </c>
      <c r="L58" s="143" t="s">
        <v>595</v>
      </c>
      <c r="M58" s="143" t="s">
        <v>678</v>
      </c>
      <c r="N58" s="145">
        <v>45785</v>
      </c>
      <c r="O58" s="143">
        <v>3</v>
      </c>
      <c r="P58" s="143">
        <v>3</v>
      </c>
      <c r="Q58" s="167">
        <v>359.22</v>
      </c>
      <c r="R58" s="143" t="s">
        <v>554</v>
      </c>
      <c r="S58" s="122" t="s">
        <v>560</v>
      </c>
      <c r="T58" s="120" t="s">
        <v>522</v>
      </c>
      <c r="U58" s="121" t="s">
        <v>597</v>
      </c>
      <c r="V58" s="119" t="s">
        <v>598</v>
      </c>
      <c r="W58" s="119" t="s">
        <v>679</v>
      </c>
      <c r="X58" s="123" t="s">
        <v>680</v>
      </c>
      <c r="Y58" s="119"/>
      <c r="Z58" s="130"/>
      <c r="AA58" s="125"/>
      <c r="AB58" s="126"/>
      <c r="AC58" s="127"/>
      <c r="AD58" s="127"/>
      <c r="AE58" s="127"/>
      <c r="AF58" s="127"/>
      <c r="AG58" s="125"/>
      <c r="AH58" s="128">
        <f t="shared" ca="1" si="3"/>
        <v>45695</v>
      </c>
      <c r="AI58" s="129" t="s">
        <v>602</v>
      </c>
      <c r="AJ58" s="129"/>
      <c r="AK58" s="132">
        <f>IF(Z58="",0,Z58+10000)</f>
        <v>0</v>
      </c>
      <c r="AL58" s="129"/>
      <c r="AM58" s="129"/>
    </row>
    <row r="59" spans="1:39" ht="18" hidden="1" customHeight="1" x14ac:dyDescent="0.25">
      <c r="A59" s="117">
        <v>58</v>
      </c>
      <c r="B59" s="117"/>
      <c r="C59" s="118" t="s">
        <v>695</v>
      </c>
      <c r="D59" s="146">
        <f t="array" aca="1" ref="D59" ca="1">SUM(--(_xlfn.UNIQUE(_xlfn._xlws.FILTER($M$2:$M$1011 &amp; "", ($C$2:$C$1011 = C59) * ($M$2:$M$1011 &lt;&gt; ""))) &lt;&gt; ""))</f>
        <v>1</v>
      </c>
      <c r="E59" s="166">
        <f t="shared" ca="1" si="0"/>
        <v>1077.46</v>
      </c>
      <c r="F59" s="143">
        <v>1</v>
      </c>
      <c r="G59" s="143" t="s">
        <v>162</v>
      </c>
      <c r="H59" s="119">
        <f>_xlfn.XLOOKUP(G59,'🚛 FROTA'!B:B,'🚛 FROTA'!A:A,"")</f>
        <v>39</v>
      </c>
      <c r="I59" s="119"/>
      <c r="J59" s="119" t="str">
        <f>IF(G59="","",_xlfn.XLOOKUP(G59,'🚛 FROTA'!B:B,'🚛 FROTA'!E:E,""))</f>
        <v>Express Delivery</v>
      </c>
      <c r="K59" s="119" t="str">
        <f>IF(G59="","",_xlfn.XLOOKUP(G59,'🚛 FROTA'!B:B,'🚛 FROTA'!K:K,""))</f>
        <v>Carroceria Cabinado</v>
      </c>
      <c r="L59" s="143" t="s">
        <v>595</v>
      </c>
      <c r="M59" s="143" t="s">
        <v>678</v>
      </c>
      <c r="N59" s="145">
        <v>45725</v>
      </c>
      <c r="O59" s="143">
        <v>1</v>
      </c>
      <c r="P59" s="143">
        <v>3</v>
      </c>
      <c r="Q59" s="167">
        <v>359.13</v>
      </c>
      <c r="R59" s="143" t="s">
        <v>554</v>
      </c>
      <c r="S59" s="122" t="s">
        <v>560</v>
      </c>
      <c r="T59" s="120" t="s">
        <v>522</v>
      </c>
      <c r="U59" s="121" t="s">
        <v>597</v>
      </c>
      <c r="V59" s="119" t="s">
        <v>598</v>
      </c>
      <c r="W59" s="119" t="s">
        <v>679</v>
      </c>
      <c r="X59" s="123" t="s">
        <v>680</v>
      </c>
      <c r="Y59" s="119"/>
      <c r="Z59" s="130"/>
      <c r="AA59" s="125"/>
      <c r="AB59" s="126"/>
      <c r="AC59" s="127"/>
      <c r="AD59" s="127"/>
      <c r="AE59" s="127"/>
      <c r="AF59" s="127"/>
      <c r="AG59" s="125"/>
      <c r="AH59" s="128">
        <f t="shared" ca="1" si="3"/>
        <v>45695</v>
      </c>
      <c r="AI59" s="129" t="s">
        <v>602</v>
      </c>
      <c r="AJ59" s="129"/>
      <c r="AK59" s="132">
        <f>IF(Z59="",0,Z59+10000)</f>
        <v>0</v>
      </c>
      <c r="AL59" s="129"/>
      <c r="AM59" s="129"/>
    </row>
    <row r="60" spans="1:39" ht="18" hidden="1" customHeight="1" x14ac:dyDescent="0.25">
      <c r="A60" s="117">
        <v>59</v>
      </c>
      <c r="B60" s="117"/>
      <c r="C60" s="118" t="s">
        <v>695</v>
      </c>
      <c r="D60" s="146">
        <f t="array" aca="1" ref="D60" ca="1">SUM(--(_xlfn.UNIQUE(_xlfn._xlws.FILTER($M$2:$M$1011 &amp; "", ($C$2:$C$1011 = C60) * ($M$2:$M$1011 &lt;&gt; ""))) &lt;&gt; ""))</f>
        <v>1</v>
      </c>
      <c r="E60" s="166">
        <f t="shared" ca="1" si="0"/>
        <v>1077.46</v>
      </c>
      <c r="F60" s="143">
        <v>1</v>
      </c>
      <c r="G60" s="143" t="s">
        <v>162</v>
      </c>
      <c r="H60" s="119">
        <f>_xlfn.XLOOKUP(G60,'🚛 FROTA'!B:B,'🚛 FROTA'!A:A,"")</f>
        <v>39</v>
      </c>
      <c r="I60" s="119"/>
      <c r="J60" s="119" t="str">
        <f>IF(G60="","",_xlfn.XLOOKUP(G60,'🚛 FROTA'!B:B,'🚛 FROTA'!E:E,""))</f>
        <v>Express Delivery</v>
      </c>
      <c r="K60" s="119" t="str">
        <f>IF(G60="","",_xlfn.XLOOKUP(G60,'🚛 FROTA'!B:B,'🚛 FROTA'!K:K,""))</f>
        <v>Carroceria Cabinado</v>
      </c>
      <c r="L60" s="143" t="s">
        <v>595</v>
      </c>
      <c r="M60" s="143" t="s">
        <v>678</v>
      </c>
      <c r="N60" s="145">
        <v>45755</v>
      </c>
      <c r="O60" s="143">
        <v>2</v>
      </c>
      <c r="P60" s="143">
        <v>3</v>
      </c>
      <c r="Q60" s="167">
        <v>359.12</v>
      </c>
      <c r="R60" s="143" t="s">
        <v>554</v>
      </c>
      <c r="S60" s="122" t="s">
        <v>560</v>
      </c>
      <c r="T60" s="120" t="s">
        <v>522</v>
      </c>
      <c r="U60" s="121" t="s">
        <v>597</v>
      </c>
      <c r="V60" s="119" t="s">
        <v>598</v>
      </c>
      <c r="W60" s="119" t="s">
        <v>679</v>
      </c>
      <c r="X60" s="123" t="s">
        <v>680</v>
      </c>
      <c r="Y60" s="119"/>
      <c r="Z60" s="130"/>
      <c r="AA60" s="125"/>
      <c r="AB60" s="126"/>
      <c r="AC60" s="127"/>
      <c r="AD60" s="127"/>
      <c r="AE60" s="127"/>
      <c r="AF60" s="127"/>
      <c r="AG60" s="125"/>
      <c r="AH60" s="128">
        <f t="shared" ca="1" si="3"/>
        <v>45695</v>
      </c>
      <c r="AI60" s="129" t="s">
        <v>602</v>
      </c>
      <c r="AJ60" s="129"/>
      <c r="AK60" s="132">
        <f>IF(Z60="",0,Z60+10000)</f>
        <v>0</v>
      </c>
      <c r="AL60" s="129"/>
      <c r="AM60" s="129"/>
    </row>
    <row r="61" spans="1:39" ht="18" hidden="1" customHeight="1" x14ac:dyDescent="0.25">
      <c r="A61" s="117">
        <v>60</v>
      </c>
      <c r="B61" s="117"/>
      <c r="C61" s="118" t="s">
        <v>695</v>
      </c>
      <c r="D61" s="146">
        <f t="array" aca="1" ref="D61" ca="1">SUM(--(_xlfn.UNIQUE(_xlfn._xlws.FILTER($M$2:$M$1011 &amp; "", ($C$2:$C$1011 = C61) * ($M$2:$M$1011 &lt;&gt; ""))) &lt;&gt; ""))</f>
        <v>1</v>
      </c>
      <c r="E61" s="166">
        <f t="shared" ca="1" si="0"/>
        <v>1077.46</v>
      </c>
      <c r="F61" s="143">
        <v>1</v>
      </c>
      <c r="G61" s="143" t="s">
        <v>162</v>
      </c>
      <c r="H61" s="119">
        <f>_xlfn.XLOOKUP(G61,'🚛 FROTA'!B:B,'🚛 FROTA'!A:A,"")</f>
        <v>39</v>
      </c>
      <c r="I61" s="119"/>
      <c r="J61" s="119" t="str">
        <f>IF(G61="","",_xlfn.XLOOKUP(G61,'🚛 FROTA'!B:B,'🚛 FROTA'!E:E,""))</f>
        <v>Express Delivery</v>
      </c>
      <c r="K61" s="119" t="str">
        <f>IF(G61="","",_xlfn.XLOOKUP(G61,'🚛 FROTA'!B:B,'🚛 FROTA'!K:K,""))</f>
        <v>Carroceria Cabinado</v>
      </c>
      <c r="L61" s="143" t="s">
        <v>595</v>
      </c>
      <c r="M61" s="143" t="s">
        <v>678</v>
      </c>
      <c r="N61" s="145">
        <v>45785</v>
      </c>
      <c r="O61" s="143">
        <v>3</v>
      </c>
      <c r="P61" s="143">
        <v>3</v>
      </c>
      <c r="Q61" s="167">
        <v>359.21</v>
      </c>
      <c r="R61" s="143" t="s">
        <v>554</v>
      </c>
      <c r="S61" s="122" t="s">
        <v>560</v>
      </c>
      <c r="T61" s="120" t="s">
        <v>522</v>
      </c>
      <c r="U61" s="121" t="s">
        <v>597</v>
      </c>
      <c r="V61" s="119" t="s">
        <v>598</v>
      </c>
      <c r="W61" s="119" t="s">
        <v>679</v>
      </c>
      <c r="X61" s="123" t="s">
        <v>680</v>
      </c>
      <c r="Y61" s="119"/>
      <c r="Z61" s="130"/>
      <c r="AA61" s="125"/>
      <c r="AB61" s="126"/>
      <c r="AC61" s="127"/>
      <c r="AD61" s="127"/>
      <c r="AE61" s="127"/>
      <c r="AF61" s="127"/>
      <c r="AG61" s="125"/>
      <c r="AH61" s="128">
        <f t="shared" ca="1" si="3"/>
        <v>45695</v>
      </c>
      <c r="AI61" s="129" t="s">
        <v>602</v>
      </c>
      <c r="AJ61" s="129"/>
      <c r="AK61" s="132">
        <f>IF(Z61="",0,Z61+10000)</f>
        <v>0</v>
      </c>
      <c r="AL61" s="129"/>
      <c r="AM61" s="129"/>
    </row>
    <row r="62" spans="1:39" ht="18" hidden="1" customHeight="1" x14ac:dyDescent="0.25">
      <c r="A62" s="117">
        <v>61</v>
      </c>
      <c r="B62" s="117"/>
      <c r="C62" s="118" t="s">
        <v>696</v>
      </c>
      <c r="D62" s="146">
        <f t="array" aca="1" ref="D62" ca="1">SUM(--(_xlfn.UNIQUE(_xlfn._xlws.FILTER($M$2:$M$1011 &amp; "", ($C$2:$C$1011 = C62) * ($M$2:$M$1011 &lt;&gt; ""))) &lt;&gt; ""))</f>
        <v>1</v>
      </c>
      <c r="E62" s="166">
        <f t="shared" ca="1" si="0"/>
        <v>1168</v>
      </c>
      <c r="F62" s="143">
        <v>1</v>
      </c>
      <c r="G62" s="143" t="s">
        <v>165</v>
      </c>
      <c r="H62" s="119">
        <f>_xlfn.XLOOKUP(G62,'🚛 FROTA'!B:B,'🚛 FROTA'!A:A,"")</f>
        <v>40</v>
      </c>
      <c r="I62" s="119"/>
      <c r="J62" s="119" t="str">
        <f>IF(G62="","",_xlfn.XLOOKUP(G62,'🚛 FROTA'!B:B,'🚛 FROTA'!E:E,""))</f>
        <v>Express Delivery</v>
      </c>
      <c r="K62" s="119" t="str">
        <f>IF(G62="","",_xlfn.XLOOKUP(G62,'🚛 FROTA'!B:B,'🚛 FROTA'!K:K,""))</f>
        <v>Carroceria Cabinado</v>
      </c>
      <c r="L62" s="143" t="s">
        <v>697</v>
      </c>
      <c r="M62" s="143" t="s">
        <v>698</v>
      </c>
      <c r="N62" s="145">
        <v>45729</v>
      </c>
      <c r="O62" s="143">
        <v>1</v>
      </c>
      <c r="P62" s="143">
        <v>1</v>
      </c>
      <c r="Q62" s="167">
        <v>1168</v>
      </c>
      <c r="R62" s="143" t="s">
        <v>554</v>
      </c>
      <c r="S62" s="122" t="s">
        <v>534</v>
      </c>
      <c r="T62" s="120" t="s">
        <v>522</v>
      </c>
      <c r="U62" s="121" t="s">
        <v>555</v>
      </c>
      <c r="V62" s="119" t="s">
        <v>556</v>
      </c>
      <c r="W62" s="119" t="s">
        <v>699</v>
      </c>
      <c r="X62" s="123" t="s">
        <v>700</v>
      </c>
      <c r="Y62" s="119"/>
      <c r="Z62" s="124">
        <v>42300</v>
      </c>
      <c r="AA62" s="125"/>
      <c r="AB62" s="126"/>
      <c r="AC62" s="127"/>
      <c r="AD62" s="127"/>
      <c r="AE62" s="127"/>
      <c r="AF62" s="127"/>
      <c r="AG62" s="125"/>
      <c r="AH62" s="128">
        <f t="shared" ca="1" si="3"/>
        <v>45699</v>
      </c>
      <c r="AI62" s="129"/>
      <c r="AJ62" s="129"/>
      <c r="AK62" s="129"/>
      <c r="AL62" s="129"/>
      <c r="AM62" s="129"/>
    </row>
    <row r="63" spans="1:39" ht="18" hidden="1" customHeight="1" x14ac:dyDescent="0.25">
      <c r="A63" s="117">
        <v>62</v>
      </c>
      <c r="B63" s="117"/>
      <c r="C63" s="118" t="s">
        <v>460</v>
      </c>
      <c r="D63" s="146">
        <f t="array" aca="1" ref="D63" ca="1">SUM(--(_xlfn.UNIQUE(_xlfn._xlws.FILTER($M$2:$M$1011 &amp; "", ($C$2:$C$1011 = C63) * ($M$2:$M$1011 &lt;&gt; ""))) &lt;&gt; ""))</f>
        <v>1</v>
      </c>
      <c r="E63" s="166">
        <f t="shared" ca="1" si="0"/>
        <v>5927.12</v>
      </c>
      <c r="F63" s="143">
        <v>1</v>
      </c>
      <c r="G63" s="143" t="s">
        <v>167</v>
      </c>
      <c r="H63" s="119">
        <f>_xlfn.XLOOKUP(G63,'🚛 FROTA'!B:B,'🚛 FROTA'!A:A,"")</f>
        <v>42</v>
      </c>
      <c r="I63" s="119"/>
      <c r="J63" s="119" t="str">
        <f>IF(G63="","",_xlfn.XLOOKUP(G63,'🚛 FROTA'!B:B,'🚛 FROTA'!E:E,""))</f>
        <v>Express Delivery</v>
      </c>
      <c r="K63" s="119" t="str">
        <f>IF(G63="","",_xlfn.XLOOKUP(G63,'🚛 FROTA'!B:B,'🚛 FROTA'!K:K,""))</f>
        <v>Carroceria</v>
      </c>
      <c r="L63" s="143" t="s">
        <v>552</v>
      </c>
      <c r="M63" s="143" t="s">
        <v>701</v>
      </c>
      <c r="N63" s="145">
        <v>45730</v>
      </c>
      <c r="O63" s="143">
        <v>1</v>
      </c>
      <c r="P63" s="143">
        <v>4</v>
      </c>
      <c r="Q63" s="167">
        <v>1483.73</v>
      </c>
      <c r="R63" s="143" t="s">
        <v>554</v>
      </c>
      <c r="S63" s="122" t="s">
        <v>534</v>
      </c>
      <c r="T63" s="120" t="s">
        <v>522</v>
      </c>
      <c r="U63" s="121" t="s">
        <v>555</v>
      </c>
      <c r="V63" s="119" t="s">
        <v>689</v>
      </c>
      <c r="W63" s="119" t="s">
        <v>690</v>
      </c>
      <c r="X63" s="123" t="s">
        <v>691</v>
      </c>
      <c r="Y63" s="119"/>
      <c r="Z63" s="124">
        <v>54017</v>
      </c>
      <c r="AA63" s="125"/>
      <c r="AB63" s="126"/>
      <c r="AC63" s="127"/>
      <c r="AD63" s="127"/>
      <c r="AE63" s="127"/>
      <c r="AF63" s="127"/>
      <c r="AG63" s="125"/>
      <c r="AH63" s="128">
        <f t="shared" ca="1" si="3"/>
        <v>45700</v>
      </c>
      <c r="AI63" s="129" t="s">
        <v>559</v>
      </c>
      <c r="AJ63" s="129"/>
      <c r="AK63" s="129"/>
      <c r="AL63" s="129"/>
      <c r="AM63" s="129"/>
    </row>
    <row r="64" spans="1:39" ht="18" hidden="1" customHeight="1" x14ac:dyDescent="0.25">
      <c r="A64" s="117">
        <v>63</v>
      </c>
      <c r="B64" s="117"/>
      <c r="C64" s="118" t="s">
        <v>460</v>
      </c>
      <c r="D64" s="146">
        <f t="array" aca="1" ref="D64" ca="1">SUM(--(_xlfn.UNIQUE(_xlfn._xlws.FILTER($M$2:$M$1011 &amp; "", ($C$2:$C$1011 = C64) * ($M$2:$M$1011 &lt;&gt; ""))) &lt;&gt; ""))</f>
        <v>1</v>
      </c>
      <c r="E64" s="166">
        <f t="shared" ca="1" si="0"/>
        <v>5927.12</v>
      </c>
      <c r="F64" s="143">
        <v>1</v>
      </c>
      <c r="G64" s="143" t="s">
        <v>167</v>
      </c>
      <c r="H64" s="119">
        <f>_xlfn.XLOOKUP(G64,'🚛 FROTA'!B:B,'🚛 FROTA'!A:A,"")</f>
        <v>42</v>
      </c>
      <c r="I64" s="119"/>
      <c r="J64" s="119" t="str">
        <f>IF(G64="","",_xlfn.XLOOKUP(G64,'🚛 FROTA'!B:B,'🚛 FROTA'!E:E,""))</f>
        <v>Express Delivery</v>
      </c>
      <c r="K64" s="119" t="str">
        <f>IF(G64="","",_xlfn.XLOOKUP(G64,'🚛 FROTA'!B:B,'🚛 FROTA'!K:K,""))</f>
        <v>Carroceria</v>
      </c>
      <c r="L64" s="143" t="s">
        <v>552</v>
      </c>
      <c r="M64" s="143" t="s">
        <v>701</v>
      </c>
      <c r="N64" s="145">
        <v>45759</v>
      </c>
      <c r="O64" s="143">
        <v>2</v>
      </c>
      <c r="P64" s="143">
        <v>4</v>
      </c>
      <c r="Q64" s="167">
        <v>1481.13</v>
      </c>
      <c r="R64" s="143" t="s">
        <v>554</v>
      </c>
      <c r="S64" s="122" t="s">
        <v>534</v>
      </c>
      <c r="T64" s="120" t="s">
        <v>522</v>
      </c>
      <c r="U64" s="121" t="s">
        <v>555</v>
      </c>
      <c r="V64" s="119" t="s">
        <v>689</v>
      </c>
      <c r="W64" s="119" t="s">
        <v>690</v>
      </c>
      <c r="X64" s="123" t="s">
        <v>691</v>
      </c>
      <c r="Y64" s="119"/>
      <c r="Z64" s="124">
        <v>54017</v>
      </c>
      <c r="AA64" s="125"/>
      <c r="AB64" s="126"/>
      <c r="AC64" s="127"/>
      <c r="AD64" s="127"/>
      <c r="AE64" s="127"/>
      <c r="AF64" s="127"/>
      <c r="AG64" s="125"/>
      <c r="AH64" s="128">
        <f t="shared" ca="1" si="3"/>
        <v>45700</v>
      </c>
      <c r="AI64" s="129" t="s">
        <v>559</v>
      </c>
      <c r="AJ64" s="129"/>
      <c r="AK64" s="129"/>
      <c r="AL64" s="129"/>
      <c r="AM64" s="129"/>
    </row>
    <row r="65" spans="1:39" ht="18" hidden="1" customHeight="1" x14ac:dyDescent="0.25">
      <c r="A65" s="117">
        <v>64</v>
      </c>
      <c r="B65" s="117"/>
      <c r="C65" s="118" t="s">
        <v>460</v>
      </c>
      <c r="D65" s="146">
        <f t="array" aca="1" ref="D65" ca="1">SUM(--(_xlfn.UNIQUE(_xlfn._xlws.FILTER($M$2:$M$1011 &amp; "", ($C$2:$C$1011 = C65) * ($M$2:$M$1011 &lt;&gt; ""))) &lt;&gt; ""))</f>
        <v>1</v>
      </c>
      <c r="E65" s="166">
        <f t="shared" ca="1" si="0"/>
        <v>5927.12</v>
      </c>
      <c r="F65" s="143">
        <v>1</v>
      </c>
      <c r="G65" s="143" t="s">
        <v>167</v>
      </c>
      <c r="H65" s="119">
        <f>_xlfn.XLOOKUP(G65,'🚛 FROTA'!B:B,'🚛 FROTA'!A:A,"")</f>
        <v>42</v>
      </c>
      <c r="I65" s="119"/>
      <c r="J65" s="119" t="str">
        <f>IF(G65="","",_xlfn.XLOOKUP(G65,'🚛 FROTA'!B:B,'🚛 FROTA'!E:E,""))</f>
        <v>Express Delivery</v>
      </c>
      <c r="K65" s="119" t="str">
        <f>IF(G65="","",_xlfn.XLOOKUP(G65,'🚛 FROTA'!B:B,'🚛 FROTA'!K:K,""))</f>
        <v>Carroceria</v>
      </c>
      <c r="L65" s="143" t="s">
        <v>552</v>
      </c>
      <c r="M65" s="143" t="s">
        <v>701</v>
      </c>
      <c r="N65" s="145">
        <v>45790</v>
      </c>
      <c r="O65" s="143">
        <v>3</v>
      </c>
      <c r="P65" s="143">
        <v>4</v>
      </c>
      <c r="Q65" s="167">
        <v>1481.13</v>
      </c>
      <c r="R65" s="143" t="s">
        <v>554</v>
      </c>
      <c r="S65" s="122" t="s">
        <v>534</v>
      </c>
      <c r="T65" s="120" t="s">
        <v>522</v>
      </c>
      <c r="U65" s="121" t="s">
        <v>555</v>
      </c>
      <c r="V65" s="119" t="s">
        <v>689</v>
      </c>
      <c r="W65" s="119" t="s">
        <v>690</v>
      </c>
      <c r="X65" s="123" t="s">
        <v>691</v>
      </c>
      <c r="Y65" s="119"/>
      <c r="Z65" s="124">
        <v>54017</v>
      </c>
      <c r="AA65" s="125"/>
      <c r="AB65" s="126"/>
      <c r="AC65" s="127"/>
      <c r="AD65" s="127"/>
      <c r="AE65" s="127"/>
      <c r="AF65" s="127"/>
      <c r="AG65" s="125"/>
      <c r="AH65" s="128">
        <f t="shared" ca="1" si="3"/>
        <v>45700</v>
      </c>
      <c r="AI65" s="129" t="s">
        <v>559</v>
      </c>
      <c r="AJ65" s="129"/>
      <c r="AK65" s="129"/>
      <c r="AL65" s="129"/>
      <c r="AM65" s="129"/>
    </row>
    <row r="66" spans="1:39" ht="18" hidden="1" customHeight="1" x14ac:dyDescent="0.25">
      <c r="A66" s="117">
        <v>65</v>
      </c>
      <c r="B66" s="117"/>
      <c r="C66" s="118" t="s">
        <v>460</v>
      </c>
      <c r="D66" s="146">
        <f t="array" aca="1" ref="D66" ca="1">SUM(--(_xlfn.UNIQUE(_xlfn._xlws.FILTER($M$2:$M$1011 &amp; "", ($C$2:$C$1011 = C66) * ($M$2:$M$1011 &lt;&gt; ""))) &lt;&gt; ""))</f>
        <v>1</v>
      </c>
      <c r="E66" s="166">
        <f t="shared" ref="E66:E129" ca="1" si="4">SUMIF(C:C, C66, Q:Q)</f>
        <v>5927.12</v>
      </c>
      <c r="F66" s="143">
        <v>1</v>
      </c>
      <c r="G66" s="143" t="s">
        <v>167</v>
      </c>
      <c r="H66" s="119">
        <f>_xlfn.XLOOKUP(G66,'🚛 FROTA'!B:B,'🚛 FROTA'!A:A,"")</f>
        <v>42</v>
      </c>
      <c r="I66" s="119"/>
      <c r="J66" s="119" t="str">
        <f>IF(G66="","",_xlfn.XLOOKUP(G66,'🚛 FROTA'!B:B,'🚛 FROTA'!E:E,""))</f>
        <v>Express Delivery</v>
      </c>
      <c r="K66" s="119" t="str">
        <f>IF(G66="","",_xlfn.XLOOKUP(G66,'🚛 FROTA'!B:B,'🚛 FROTA'!K:K,""))</f>
        <v>Carroceria</v>
      </c>
      <c r="L66" s="143" t="s">
        <v>552</v>
      </c>
      <c r="M66" s="143" t="s">
        <v>701</v>
      </c>
      <c r="N66" s="145">
        <v>45820</v>
      </c>
      <c r="O66" s="143">
        <v>4</v>
      </c>
      <c r="P66" s="143">
        <v>4</v>
      </c>
      <c r="Q66" s="167">
        <v>1481.13</v>
      </c>
      <c r="R66" s="143" t="s">
        <v>554</v>
      </c>
      <c r="S66" s="122" t="s">
        <v>534</v>
      </c>
      <c r="T66" s="120" t="s">
        <v>522</v>
      </c>
      <c r="U66" s="121" t="s">
        <v>555</v>
      </c>
      <c r="V66" s="119" t="s">
        <v>689</v>
      </c>
      <c r="W66" s="119" t="s">
        <v>690</v>
      </c>
      <c r="X66" s="123" t="s">
        <v>691</v>
      </c>
      <c r="Y66" s="119"/>
      <c r="Z66" s="124">
        <v>54017</v>
      </c>
      <c r="AA66" s="125"/>
      <c r="AB66" s="126"/>
      <c r="AC66" s="127"/>
      <c r="AD66" s="127"/>
      <c r="AE66" s="127"/>
      <c r="AF66" s="127"/>
      <c r="AG66" s="125"/>
      <c r="AH66" s="128">
        <f t="shared" ca="1" si="3"/>
        <v>45700</v>
      </c>
      <c r="AI66" s="129" t="s">
        <v>559</v>
      </c>
      <c r="AJ66" s="129"/>
      <c r="AK66" s="129"/>
      <c r="AL66" s="129"/>
      <c r="AM66" s="129"/>
    </row>
    <row r="67" spans="1:39" ht="18" hidden="1" customHeight="1" x14ac:dyDescent="0.25">
      <c r="A67" s="117">
        <v>66</v>
      </c>
      <c r="B67" s="117"/>
      <c r="C67" s="118" t="s">
        <v>702</v>
      </c>
      <c r="D67" s="146">
        <f t="array" aca="1" ref="D67" ca="1">SUM(--(_xlfn.UNIQUE(_xlfn._xlws.FILTER($M$2:$M$1011 &amp; "", ($C$2:$C$1011 = C67) * ($M$2:$M$1011 &lt;&gt; ""))) &lt;&gt; ""))</f>
        <v>1</v>
      </c>
      <c r="E67" s="166">
        <f t="shared" ca="1" si="4"/>
        <v>580</v>
      </c>
      <c r="F67" s="143">
        <v>1</v>
      </c>
      <c r="G67" s="143" t="s">
        <v>162</v>
      </c>
      <c r="H67" s="119">
        <f>_xlfn.XLOOKUP(G67,'🚛 FROTA'!B:B,'🚛 FROTA'!A:A,"")</f>
        <v>39</v>
      </c>
      <c r="I67" s="119"/>
      <c r="J67" s="119" t="str">
        <f>IF(G67="","",_xlfn.XLOOKUP(G67,'🚛 FROTA'!B:B,'🚛 FROTA'!E:E,""))</f>
        <v>Express Delivery</v>
      </c>
      <c r="K67" s="119" t="str">
        <f>IF(G67="","",_xlfn.XLOOKUP(G67,'🚛 FROTA'!B:B,'🚛 FROTA'!K:K,""))</f>
        <v>Carroceria Cabinado</v>
      </c>
      <c r="L67" s="143" t="s">
        <v>703</v>
      </c>
      <c r="M67" s="143" t="s">
        <v>704</v>
      </c>
      <c r="N67" s="145">
        <v>45739</v>
      </c>
      <c r="O67" s="143">
        <v>1</v>
      </c>
      <c r="P67" s="143">
        <v>4</v>
      </c>
      <c r="Q67" s="167">
        <v>145</v>
      </c>
      <c r="R67" s="143" t="s">
        <v>554</v>
      </c>
      <c r="S67" s="122" t="s">
        <v>560</v>
      </c>
      <c r="T67" s="120" t="s">
        <v>522</v>
      </c>
      <c r="U67" s="121" t="s">
        <v>555</v>
      </c>
      <c r="V67" s="119" t="s">
        <v>670</v>
      </c>
      <c r="W67" s="119" t="s">
        <v>671</v>
      </c>
      <c r="X67" s="123" t="s">
        <v>705</v>
      </c>
      <c r="Y67" s="119" t="s">
        <v>673</v>
      </c>
      <c r="Z67" s="124">
        <v>62639</v>
      </c>
      <c r="AA67" s="125"/>
      <c r="AB67" s="126"/>
      <c r="AC67" s="127"/>
      <c r="AD67" s="127"/>
      <c r="AE67" s="127"/>
      <c r="AF67" s="127"/>
      <c r="AG67" s="125"/>
      <c r="AH67" s="128">
        <f t="shared" ca="1" si="3"/>
        <v>45709</v>
      </c>
      <c r="AI67" s="129"/>
      <c r="AJ67" s="129"/>
      <c r="AK67" s="129"/>
      <c r="AL67" s="129"/>
      <c r="AM67" s="129"/>
    </row>
    <row r="68" spans="1:39" ht="18" hidden="1" customHeight="1" x14ac:dyDescent="0.25">
      <c r="A68" s="117">
        <v>67</v>
      </c>
      <c r="B68" s="117"/>
      <c r="C68" s="118" t="s">
        <v>702</v>
      </c>
      <c r="D68" s="146">
        <f t="array" aca="1" ref="D68" ca="1">SUM(--(_xlfn.UNIQUE(_xlfn._xlws.FILTER($M$2:$M$1011 &amp; "", ($C$2:$C$1011 = C68) * ($M$2:$M$1011 &lt;&gt; ""))) &lt;&gt; ""))</f>
        <v>1</v>
      </c>
      <c r="E68" s="166">
        <f t="shared" ca="1" si="4"/>
        <v>580</v>
      </c>
      <c r="F68" s="143">
        <v>1</v>
      </c>
      <c r="G68" s="143" t="s">
        <v>162</v>
      </c>
      <c r="H68" s="119">
        <f>_xlfn.XLOOKUP(G68,'🚛 FROTA'!B:B,'🚛 FROTA'!A:A,"")</f>
        <v>39</v>
      </c>
      <c r="I68" s="119"/>
      <c r="J68" s="119" t="str">
        <f>IF(G68="","",_xlfn.XLOOKUP(G68,'🚛 FROTA'!B:B,'🚛 FROTA'!E:E,""))</f>
        <v>Express Delivery</v>
      </c>
      <c r="K68" s="119" t="str">
        <f>IF(G68="","",_xlfn.XLOOKUP(G68,'🚛 FROTA'!B:B,'🚛 FROTA'!K:K,""))</f>
        <v>Carroceria Cabinado</v>
      </c>
      <c r="L68" s="143" t="s">
        <v>703</v>
      </c>
      <c r="M68" s="143" t="s">
        <v>704</v>
      </c>
      <c r="N68" s="145">
        <v>45769</v>
      </c>
      <c r="O68" s="143">
        <v>2</v>
      </c>
      <c r="P68" s="143">
        <v>4</v>
      </c>
      <c r="Q68" s="167">
        <v>145</v>
      </c>
      <c r="R68" s="143" t="s">
        <v>554</v>
      </c>
      <c r="S68" s="122" t="s">
        <v>560</v>
      </c>
      <c r="T68" s="120" t="s">
        <v>522</v>
      </c>
      <c r="U68" s="121" t="s">
        <v>555</v>
      </c>
      <c r="V68" s="119" t="s">
        <v>670</v>
      </c>
      <c r="W68" s="119" t="s">
        <v>671</v>
      </c>
      <c r="X68" s="123" t="s">
        <v>705</v>
      </c>
      <c r="Y68" s="119" t="s">
        <v>673</v>
      </c>
      <c r="Z68" s="124">
        <v>62639</v>
      </c>
      <c r="AA68" s="125"/>
      <c r="AB68" s="126"/>
      <c r="AC68" s="127"/>
      <c r="AD68" s="127"/>
      <c r="AE68" s="127"/>
      <c r="AF68" s="127"/>
      <c r="AG68" s="125"/>
      <c r="AH68" s="128">
        <f t="shared" ca="1" si="3"/>
        <v>45709</v>
      </c>
      <c r="AI68" s="129"/>
      <c r="AJ68" s="129"/>
      <c r="AK68" s="129"/>
      <c r="AL68" s="129"/>
      <c r="AM68" s="129"/>
    </row>
    <row r="69" spans="1:39" ht="18" hidden="1" customHeight="1" x14ac:dyDescent="0.25">
      <c r="A69" s="117">
        <v>68</v>
      </c>
      <c r="B69" s="117"/>
      <c r="C69" s="118" t="s">
        <v>702</v>
      </c>
      <c r="D69" s="146">
        <f t="array" aca="1" ref="D69" ca="1">SUM(--(_xlfn.UNIQUE(_xlfn._xlws.FILTER($M$2:$M$1011 &amp; "", ($C$2:$C$1011 = C69) * ($M$2:$M$1011 &lt;&gt; ""))) &lt;&gt; ""))</f>
        <v>1</v>
      </c>
      <c r="E69" s="166">
        <f t="shared" ca="1" si="4"/>
        <v>580</v>
      </c>
      <c r="F69" s="143">
        <v>1</v>
      </c>
      <c r="G69" s="143" t="s">
        <v>162</v>
      </c>
      <c r="H69" s="119">
        <f>_xlfn.XLOOKUP(G69,'🚛 FROTA'!B:B,'🚛 FROTA'!A:A,"")</f>
        <v>39</v>
      </c>
      <c r="I69" s="119"/>
      <c r="J69" s="119" t="str">
        <f>IF(G69="","",_xlfn.XLOOKUP(G69,'🚛 FROTA'!B:B,'🚛 FROTA'!E:E,""))</f>
        <v>Express Delivery</v>
      </c>
      <c r="K69" s="119" t="str">
        <f>IF(G69="","",_xlfn.XLOOKUP(G69,'🚛 FROTA'!B:B,'🚛 FROTA'!K:K,""))</f>
        <v>Carroceria Cabinado</v>
      </c>
      <c r="L69" s="143" t="s">
        <v>703</v>
      </c>
      <c r="M69" s="143" t="s">
        <v>704</v>
      </c>
      <c r="N69" s="145">
        <v>45799</v>
      </c>
      <c r="O69" s="143">
        <v>3</v>
      </c>
      <c r="P69" s="143">
        <v>4</v>
      </c>
      <c r="Q69" s="167">
        <v>145</v>
      </c>
      <c r="R69" s="143" t="s">
        <v>554</v>
      </c>
      <c r="S69" s="122" t="s">
        <v>560</v>
      </c>
      <c r="T69" s="120" t="s">
        <v>522</v>
      </c>
      <c r="U69" s="121" t="s">
        <v>555</v>
      </c>
      <c r="V69" s="119" t="s">
        <v>670</v>
      </c>
      <c r="W69" s="119" t="s">
        <v>671</v>
      </c>
      <c r="X69" s="123" t="s">
        <v>705</v>
      </c>
      <c r="Y69" s="119" t="s">
        <v>673</v>
      </c>
      <c r="Z69" s="124">
        <v>62639</v>
      </c>
      <c r="AA69" s="125"/>
      <c r="AB69" s="126"/>
      <c r="AC69" s="127"/>
      <c r="AD69" s="127"/>
      <c r="AE69" s="127"/>
      <c r="AF69" s="127"/>
      <c r="AG69" s="125"/>
      <c r="AH69" s="128">
        <f t="shared" ca="1" si="3"/>
        <v>45709</v>
      </c>
      <c r="AI69" s="129"/>
      <c r="AJ69" s="129"/>
      <c r="AK69" s="129"/>
      <c r="AL69" s="129"/>
      <c r="AM69" s="129"/>
    </row>
    <row r="70" spans="1:39" ht="18" hidden="1" customHeight="1" x14ac:dyDescent="0.25">
      <c r="A70" s="117">
        <v>69</v>
      </c>
      <c r="B70" s="117"/>
      <c r="C70" s="118" t="s">
        <v>702</v>
      </c>
      <c r="D70" s="146">
        <f t="array" aca="1" ref="D70" ca="1">SUM(--(_xlfn.UNIQUE(_xlfn._xlws.FILTER($M$2:$M$1011 &amp; "", ($C$2:$C$1011 = C70) * ($M$2:$M$1011 &lt;&gt; ""))) &lt;&gt; ""))</f>
        <v>1</v>
      </c>
      <c r="E70" s="166">
        <f t="shared" ca="1" si="4"/>
        <v>580</v>
      </c>
      <c r="F70" s="143">
        <v>1</v>
      </c>
      <c r="G70" s="143" t="s">
        <v>162</v>
      </c>
      <c r="H70" s="119">
        <f>_xlfn.XLOOKUP(G70,'🚛 FROTA'!B:B,'🚛 FROTA'!A:A,"")</f>
        <v>39</v>
      </c>
      <c r="I70" s="119"/>
      <c r="J70" s="119" t="str">
        <f>IF(G70="","",_xlfn.XLOOKUP(G70,'🚛 FROTA'!B:B,'🚛 FROTA'!E:E,""))</f>
        <v>Express Delivery</v>
      </c>
      <c r="K70" s="119" t="str">
        <f>IF(G70="","",_xlfn.XLOOKUP(G70,'🚛 FROTA'!B:B,'🚛 FROTA'!K:K,""))</f>
        <v>Carroceria Cabinado</v>
      </c>
      <c r="L70" s="143" t="s">
        <v>703</v>
      </c>
      <c r="M70" s="143" t="s">
        <v>704</v>
      </c>
      <c r="N70" s="145">
        <v>45829</v>
      </c>
      <c r="O70" s="143">
        <v>4</v>
      </c>
      <c r="P70" s="143">
        <v>4</v>
      </c>
      <c r="Q70" s="167">
        <v>145</v>
      </c>
      <c r="R70" s="143" t="s">
        <v>554</v>
      </c>
      <c r="S70" s="122" t="s">
        <v>560</v>
      </c>
      <c r="T70" s="120" t="s">
        <v>522</v>
      </c>
      <c r="U70" s="121" t="s">
        <v>555</v>
      </c>
      <c r="V70" s="119" t="s">
        <v>670</v>
      </c>
      <c r="W70" s="119" t="s">
        <v>671</v>
      </c>
      <c r="X70" s="123" t="s">
        <v>705</v>
      </c>
      <c r="Y70" s="119" t="s">
        <v>673</v>
      </c>
      <c r="Z70" s="124">
        <v>62639</v>
      </c>
      <c r="AA70" s="125"/>
      <c r="AB70" s="126"/>
      <c r="AC70" s="127"/>
      <c r="AD70" s="127"/>
      <c r="AE70" s="127"/>
      <c r="AF70" s="127"/>
      <c r="AG70" s="125"/>
      <c r="AH70" s="128">
        <f t="shared" ca="1" si="3"/>
        <v>45709</v>
      </c>
      <c r="AI70" s="129"/>
      <c r="AJ70" s="129"/>
      <c r="AK70" s="129"/>
      <c r="AL70" s="129"/>
      <c r="AM70" s="129"/>
    </row>
    <row r="71" spans="1:39" ht="18" hidden="1" customHeight="1" x14ac:dyDescent="0.25">
      <c r="A71" s="117">
        <v>70</v>
      </c>
      <c r="B71" s="117"/>
      <c r="C71" s="118" t="s">
        <v>706</v>
      </c>
      <c r="D71" s="146">
        <f t="array" aca="1" ref="D71" ca="1">SUM(--(_xlfn.UNIQUE(_xlfn._xlws.FILTER($M$2:$M$1011 &amp; "", ($C$2:$C$1011 = C71) * ($M$2:$M$1011 &lt;&gt; ""))) &lt;&gt; ""))</f>
        <v>2</v>
      </c>
      <c r="E71" s="166">
        <f t="shared" ca="1" si="4"/>
        <v>2677.99</v>
      </c>
      <c r="F71" s="143">
        <v>1</v>
      </c>
      <c r="G71" s="143" t="s">
        <v>162</v>
      </c>
      <c r="H71" s="119">
        <f>_xlfn.XLOOKUP(G71,'🚛 FROTA'!B:B,'🚛 FROTA'!A:A,"")</f>
        <v>39</v>
      </c>
      <c r="I71" s="119"/>
      <c r="J71" s="119" t="str">
        <f>IF(G71="","",_xlfn.XLOOKUP(G71,'🚛 FROTA'!B:B,'🚛 FROTA'!E:E,""))</f>
        <v>Express Delivery</v>
      </c>
      <c r="K71" s="119" t="str">
        <f>IF(G71="","",_xlfn.XLOOKUP(G71,'🚛 FROTA'!B:B,'🚛 FROTA'!K:K,""))</f>
        <v>Carroceria Cabinado</v>
      </c>
      <c r="L71" s="143" t="s">
        <v>703</v>
      </c>
      <c r="M71" s="143" t="s">
        <v>707</v>
      </c>
      <c r="N71" s="145">
        <v>45739</v>
      </c>
      <c r="O71" s="143">
        <v>1</v>
      </c>
      <c r="P71" s="143">
        <v>4</v>
      </c>
      <c r="Q71" s="167">
        <v>69.997500000000002</v>
      </c>
      <c r="R71" s="143" t="s">
        <v>554</v>
      </c>
      <c r="S71" s="122" t="s">
        <v>534</v>
      </c>
      <c r="T71" s="120" t="s">
        <v>522</v>
      </c>
      <c r="U71" s="121" t="s">
        <v>555</v>
      </c>
      <c r="V71" s="119" t="s">
        <v>573</v>
      </c>
      <c r="W71" s="119" t="s">
        <v>585</v>
      </c>
      <c r="X71" s="123" t="s">
        <v>708</v>
      </c>
      <c r="Y71" s="119" t="s">
        <v>576</v>
      </c>
      <c r="Z71" s="124">
        <v>62639</v>
      </c>
      <c r="AA71" s="122" t="s">
        <v>577</v>
      </c>
      <c r="AB71" s="122">
        <v>2</v>
      </c>
      <c r="AC71" s="131" t="s">
        <v>578</v>
      </c>
      <c r="AD71" s="131"/>
      <c r="AE71" s="131" t="s">
        <v>709</v>
      </c>
      <c r="AF71" s="131"/>
      <c r="AG71" s="125" t="s">
        <v>587</v>
      </c>
      <c r="AH71" s="128">
        <f t="shared" ca="1" si="3"/>
        <v>45709</v>
      </c>
      <c r="AI71" s="129"/>
      <c r="AJ71" s="129"/>
      <c r="AK71" s="129"/>
      <c r="AL71" s="129"/>
      <c r="AM71" s="129"/>
    </row>
    <row r="72" spans="1:39" ht="18" customHeight="1" x14ac:dyDescent="0.25">
      <c r="A72" s="117">
        <v>71</v>
      </c>
      <c r="B72" s="117"/>
      <c r="C72" s="118" t="s">
        <v>706</v>
      </c>
      <c r="D72" s="146">
        <f t="array" aca="1" ref="D72" ca="1">SUM(--(_xlfn.UNIQUE(_xlfn._xlws.FILTER($M$2:$M$1011 &amp; "", ($C$2:$C$1011 = C72) * ($M$2:$M$1011 &lt;&gt; ""))) &lt;&gt; ""))</f>
        <v>2</v>
      </c>
      <c r="E72" s="166">
        <f t="shared" ca="1" si="4"/>
        <v>2677.99</v>
      </c>
      <c r="F72" s="143">
        <v>1</v>
      </c>
      <c r="G72" s="143" t="s">
        <v>162</v>
      </c>
      <c r="H72" s="119">
        <f>_xlfn.XLOOKUP(G72,'🚛 FROTA'!B:B,'🚛 FROTA'!A:A,"")</f>
        <v>39</v>
      </c>
      <c r="I72" s="119"/>
      <c r="J72" s="119" t="str">
        <f>IF(G72="","",_xlfn.XLOOKUP(G72,'🚛 FROTA'!B:B,'🚛 FROTA'!E:E,""))</f>
        <v>Express Delivery</v>
      </c>
      <c r="K72" s="119" t="str">
        <f>IF(G72="","",_xlfn.XLOOKUP(G72,'🚛 FROTA'!B:B,'🚛 FROTA'!K:K,""))</f>
        <v>Carroceria Cabinado</v>
      </c>
      <c r="L72" s="143" t="s">
        <v>703</v>
      </c>
      <c r="M72" s="143" t="s">
        <v>704</v>
      </c>
      <c r="N72" s="145">
        <v>45739</v>
      </c>
      <c r="O72" s="143">
        <v>1</v>
      </c>
      <c r="P72" s="143">
        <v>4</v>
      </c>
      <c r="Q72" s="167">
        <v>599.5</v>
      </c>
      <c r="R72" s="143" t="s">
        <v>554</v>
      </c>
      <c r="S72" s="122" t="s">
        <v>560</v>
      </c>
      <c r="T72" s="120" t="s">
        <v>522</v>
      </c>
      <c r="U72" s="121" t="s">
        <v>555</v>
      </c>
      <c r="V72" s="119" t="s">
        <v>573</v>
      </c>
      <c r="W72" s="119" t="s">
        <v>710</v>
      </c>
      <c r="X72" s="123" t="s">
        <v>711</v>
      </c>
      <c r="Y72" s="119" t="s">
        <v>712</v>
      </c>
      <c r="Z72" s="124">
        <v>62639</v>
      </c>
      <c r="AA72" s="122" t="s">
        <v>577</v>
      </c>
      <c r="AB72" s="122">
        <v>2</v>
      </c>
      <c r="AC72" s="131" t="s">
        <v>578</v>
      </c>
      <c r="AD72" s="131" t="s">
        <v>709</v>
      </c>
      <c r="AE72" s="131" t="s">
        <v>713</v>
      </c>
      <c r="AF72" s="131" t="s">
        <v>581</v>
      </c>
      <c r="AG72" s="125" t="s">
        <v>582</v>
      </c>
      <c r="AH72" s="128">
        <f t="shared" ca="1" si="3"/>
        <v>45709</v>
      </c>
      <c r="AI72" s="129"/>
      <c r="AJ72" s="129"/>
      <c r="AK72" s="129"/>
      <c r="AL72" s="129"/>
      <c r="AM72" s="129"/>
    </row>
    <row r="73" spans="1:39" ht="18" hidden="1" customHeight="1" x14ac:dyDescent="0.25">
      <c r="A73" s="117">
        <v>72</v>
      </c>
      <c r="B73" s="117"/>
      <c r="C73" s="118" t="s">
        <v>706</v>
      </c>
      <c r="D73" s="146">
        <f t="array" aca="1" ref="D73" ca="1">SUM(--(_xlfn.UNIQUE(_xlfn._xlws.FILTER($M$2:$M$1011 &amp; "", ($C$2:$C$1011 = C73) * ($M$2:$M$1011 &lt;&gt; ""))) &lt;&gt; ""))</f>
        <v>2</v>
      </c>
      <c r="E73" s="166">
        <f t="shared" ca="1" si="4"/>
        <v>2677.99</v>
      </c>
      <c r="F73" s="143">
        <v>1</v>
      </c>
      <c r="G73" s="143" t="s">
        <v>162</v>
      </c>
      <c r="H73" s="119">
        <f>_xlfn.XLOOKUP(G73,'🚛 FROTA'!B:B,'🚛 FROTA'!A:A,"")</f>
        <v>39</v>
      </c>
      <c r="I73" s="119"/>
      <c r="J73" s="119" t="str">
        <f>IF(G73="","",_xlfn.XLOOKUP(G73,'🚛 FROTA'!B:B,'🚛 FROTA'!E:E,""))</f>
        <v>Express Delivery</v>
      </c>
      <c r="K73" s="119" t="str">
        <f>IF(G73="","",_xlfn.XLOOKUP(G73,'🚛 FROTA'!B:B,'🚛 FROTA'!K:K,""))</f>
        <v>Carroceria Cabinado</v>
      </c>
      <c r="L73" s="143" t="s">
        <v>703</v>
      </c>
      <c r="M73" s="143" t="s">
        <v>707</v>
      </c>
      <c r="N73" s="145">
        <v>45769</v>
      </c>
      <c r="O73" s="143">
        <v>2</v>
      </c>
      <c r="P73" s="143">
        <v>4</v>
      </c>
      <c r="Q73" s="167">
        <v>69.997500000000002</v>
      </c>
      <c r="R73" s="143" t="s">
        <v>554</v>
      </c>
      <c r="S73" s="122" t="s">
        <v>534</v>
      </c>
      <c r="T73" s="120" t="s">
        <v>522</v>
      </c>
      <c r="U73" s="121" t="s">
        <v>555</v>
      </c>
      <c r="V73" s="119" t="s">
        <v>573</v>
      </c>
      <c r="W73" s="119" t="s">
        <v>585</v>
      </c>
      <c r="X73" s="123" t="s">
        <v>708</v>
      </c>
      <c r="Y73" s="119" t="s">
        <v>576</v>
      </c>
      <c r="Z73" s="124">
        <v>62639</v>
      </c>
      <c r="AA73" s="122" t="s">
        <v>577</v>
      </c>
      <c r="AB73" s="122">
        <v>2</v>
      </c>
      <c r="AC73" s="131" t="s">
        <v>578</v>
      </c>
      <c r="AD73" s="131"/>
      <c r="AE73" s="131" t="s">
        <v>709</v>
      </c>
      <c r="AF73" s="131"/>
      <c r="AG73" s="125" t="s">
        <v>587</v>
      </c>
      <c r="AH73" s="128">
        <f t="shared" ca="1" si="3"/>
        <v>45709</v>
      </c>
      <c r="AI73" s="129"/>
      <c r="AJ73" s="129"/>
      <c r="AK73" s="129"/>
      <c r="AL73" s="129"/>
      <c r="AM73" s="129"/>
    </row>
    <row r="74" spans="1:39" ht="18" customHeight="1" x14ac:dyDescent="0.25">
      <c r="A74" s="117">
        <v>73</v>
      </c>
      <c r="B74" s="117"/>
      <c r="C74" s="118" t="s">
        <v>706</v>
      </c>
      <c r="D74" s="146">
        <f t="array" aca="1" ref="D74" ca="1">SUM(--(_xlfn.UNIQUE(_xlfn._xlws.FILTER($M$2:$M$1011 &amp; "", ($C$2:$C$1011 = C74) * ($M$2:$M$1011 &lt;&gt; ""))) &lt;&gt; ""))</f>
        <v>2</v>
      </c>
      <c r="E74" s="166">
        <f t="shared" ca="1" si="4"/>
        <v>2677.99</v>
      </c>
      <c r="F74" s="143">
        <v>1</v>
      </c>
      <c r="G74" s="143" t="s">
        <v>162</v>
      </c>
      <c r="H74" s="119">
        <f>_xlfn.XLOOKUP(G74,'🚛 FROTA'!B:B,'🚛 FROTA'!A:A,"")</f>
        <v>39</v>
      </c>
      <c r="I74" s="119"/>
      <c r="J74" s="119" t="str">
        <f>IF(G74="","",_xlfn.XLOOKUP(G74,'🚛 FROTA'!B:B,'🚛 FROTA'!E:E,""))</f>
        <v>Express Delivery</v>
      </c>
      <c r="K74" s="119" t="str">
        <f>IF(G74="","",_xlfn.XLOOKUP(G74,'🚛 FROTA'!B:B,'🚛 FROTA'!K:K,""))</f>
        <v>Carroceria Cabinado</v>
      </c>
      <c r="L74" s="143" t="s">
        <v>703</v>
      </c>
      <c r="M74" s="143" t="s">
        <v>704</v>
      </c>
      <c r="N74" s="145">
        <v>45769</v>
      </c>
      <c r="O74" s="143">
        <v>2</v>
      </c>
      <c r="P74" s="143">
        <v>4</v>
      </c>
      <c r="Q74" s="167">
        <v>599.5</v>
      </c>
      <c r="R74" s="143" t="s">
        <v>554</v>
      </c>
      <c r="S74" s="122" t="s">
        <v>560</v>
      </c>
      <c r="T74" s="120" t="s">
        <v>522</v>
      </c>
      <c r="U74" s="121" t="s">
        <v>555</v>
      </c>
      <c r="V74" s="119" t="s">
        <v>573</v>
      </c>
      <c r="W74" s="119" t="s">
        <v>710</v>
      </c>
      <c r="X74" s="123" t="s">
        <v>711</v>
      </c>
      <c r="Y74" s="119" t="s">
        <v>712</v>
      </c>
      <c r="Z74" s="124">
        <v>62639</v>
      </c>
      <c r="AA74" s="122" t="s">
        <v>577</v>
      </c>
      <c r="AB74" s="122">
        <v>2</v>
      </c>
      <c r="AC74" s="131" t="s">
        <v>578</v>
      </c>
      <c r="AD74" s="131" t="s">
        <v>709</v>
      </c>
      <c r="AE74" s="131" t="s">
        <v>713</v>
      </c>
      <c r="AF74" s="131" t="s">
        <v>581</v>
      </c>
      <c r="AG74" s="125" t="s">
        <v>582</v>
      </c>
      <c r="AH74" s="128">
        <f t="shared" ca="1" si="3"/>
        <v>45709</v>
      </c>
      <c r="AI74" s="129"/>
      <c r="AJ74" s="129"/>
      <c r="AK74" s="129"/>
      <c r="AL74" s="129"/>
      <c r="AM74" s="129"/>
    </row>
    <row r="75" spans="1:39" ht="18" hidden="1" customHeight="1" x14ac:dyDescent="0.25">
      <c r="A75" s="117">
        <v>74</v>
      </c>
      <c r="B75" s="117"/>
      <c r="C75" s="118" t="s">
        <v>706</v>
      </c>
      <c r="D75" s="146">
        <f t="array" aca="1" ref="D75" ca="1">SUM(--(_xlfn.UNIQUE(_xlfn._xlws.FILTER($M$2:$M$1011 &amp; "", ($C$2:$C$1011 = C75) * ($M$2:$M$1011 &lt;&gt; ""))) &lt;&gt; ""))</f>
        <v>2</v>
      </c>
      <c r="E75" s="166">
        <f t="shared" ca="1" si="4"/>
        <v>2677.99</v>
      </c>
      <c r="F75" s="143">
        <v>1</v>
      </c>
      <c r="G75" s="143" t="s">
        <v>162</v>
      </c>
      <c r="H75" s="119">
        <f>_xlfn.XLOOKUP(G75,'🚛 FROTA'!B:B,'🚛 FROTA'!A:A,"")</f>
        <v>39</v>
      </c>
      <c r="I75" s="119"/>
      <c r="J75" s="119" t="str">
        <f>IF(G75="","",_xlfn.XLOOKUP(G75,'🚛 FROTA'!B:B,'🚛 FROTA'!E:E,""))</f>
        <v>Express Delivery</v>
      </c>
      <c r="K75" s="119" t="str">
        <f>IF(G75="","",_xlfn.XLOOKUP(G75,'🚛 FROTA'!B:B,'🚛 FROTA'!K:K,""))</f>
        <v>Carroceria Cabinado</v>
      </c>
      <c r="L75" s="143" t="s">
        <v>703</v>
      </c>
      <c r="M75" s="143" t="s">
        <v>707</v>
      </c>
      <c r="N75" s="145">
        <v>45799</v>
      </c>
      <c r="O75" s="143">
        <v>3</v>
      </c>
      <c r="P75" s="143">
        <v>4</v>
      </c>
      <c r="Q75" s="167">
        <v>69.997500000000002</v>
      </c>
      <c r="R75" s="143" t="s">
        <v>554</v>
      </c>
      <c r="S75" s="122" t="s">
        <v>534</v>
      </c>
      <c r="T75" s="120" t="s">
        <v>522</v>
      </c>
      <c r="U75" s="121" t="s">
        <v>555</v>
      </c>
      <c r="V75" s="119" t="s">
        <v>573</v>
      </c>
      <c r="W75" s="119" t="s">
        <v>585</v>
      </c>
      <c r="X75" s="123" t="s">
        <v>708</v>
      </c>
      <c r="Y75" s="119" t="s">
        <v>576</v>
      </c>
      <c r="Z75" s="124">
        <v>62639</v>
      </c>
      <c r="AA75" s="122" t="s">
        <v>577</v>
      </c>
      <c r="AB75" s="122">
        <v>2</v>
      </c>
      <c r="AC75" s="131" t="s">
        <v>578</v>
      </c>
      <c r="AD75" s="131"/>
      <c r="AE75" s="131" t="s">
        <v>709</v>
      </c>
      <c r="AF75" s="131"/>
      <c r="AG75" s="125" t="s">
        <v>587</v>
      </c>
      <c r="AH75" s="128">
        <f t="shared" ca="1" si="3"/>
        <v>45709</v>
      </c>
      <c r="AI75" s="129"/>
      <c r="AJ75" s="129"/>
      <c r="AK75" s="129"/>
      <c r="AL75" s="129"/>
      <c r="AM75" s="129"/>
    </row>
    <row r="76" spans="1:39" ht="18" customHeight="1" x14ac:dyDescent="0.25">
      <c r="A76" s="117">
        <v>75</v>
      </c>
      <c r="B76" s="117"/>
      <c r="C76" s="118" t="s">
        <v>706</v>
      </c>
      <c r="D76" s="146">
        <f t="array" aca="1" ref="D76" ca="1">SUM(--(_xlfn.UNIQUE(_xlfn._xlws.FILTER($M$2:$M$1011 &amp; "", ($C$2:$C$1011 = C76) * ($M$2:$M$1011 &lt;&gt; ""))) &lt;&gt; ""))</f>
        <v>2</v>
      </c>
      <c r="E76" s="166">
        <f t="shared" ca="1" si="4"/>
        <v>2677.99</v>
      </c>
      <c r="F76" s="143">
        <v>1</v>
      </c>
      <c r="G76" s="143" t="s">
        <v>162</v>
      </c>
      <c r="H76" s="119">
        <f>_xlfn.XLOOKUP(G76,'🚛 FROTA'!B:B,'🚛 FROTA'!A:A,"")</f>
        <v>39</v>
      </c>
      <c r="I76" s="119"/>
      <c r="J76" s="119" t="str">
        <f>IF(G76="","",_xlfn.XLOOKUP(G76,'🚛 FROTA'!B:B,'🚛 FROTA'!E:E,""))</f>
        <v>Express Delivery</v>
      </c>
      <c r="K76" s="119" t="str">
        <f>IF(G76="","",_xlfn.XLOOKUP(G76,'🚛 FROTA'!B:B,'🚛 FROTA'!K:K,""))</f>
        <v>Carroceria Cabinado</v>
      </c>
      <c r="L76" s="143" t="s">
        <v>703</v>
      </c>
      <c r="M76" s="143" t="s">
        <v>704</v>
      </c>
      <c r="N76" s="145">
        <v>45799</v>
      </c>
      <c r="O76" s="143">
        <v>3</v>
      </c>
      <c r="P76" s="143">
        <v>4</v>
      </c>
      <c r="Q76" s="167">
        <v>599.5</v>
      </c>
      <c r="R76" s="143" t="s">
        <v>554</v>
      </c>
      <c r="S76" s="122" t="s">
        <v>560</v>
      </c>
      <c r="T76" s="120" t="s">
        <v>522</v>
      </c>
      <c r="U76" s="121" t="s">
        <v>555</v>
      </c>
      <c r="V76" s="119" t="s">
        <v>573</v>
      </c>
      <c r="W76" s="119" t="s">
        <v>710</v>
      </c>
      <c r="X76" s="123" t="s">
        <v>711</v>
      </c>
      <c r="Y76" s="119" t="s">
        <v>712</v>
      </c>
      <c r="Z76" s="124">
        <v>62639</v>
      </c>
      <c r="AA76" s="122" t="s">
        <v>577</v>
      </c>
      <c r="AB76" s="122">
        <v>2</v>
      </c>
      <c r="AC76" s="131" t="s">
        <v>578</v>
      </c>
      <c r="AD76" s="131" t="s">
        <v>709</v>
      </c>
      <c r="AE76" s="131" t="s">
        <v>713</v>
      </c>
      <c r="AF76" s="131" t="s">
        <v>581</v>
      </c>
      <c r="AG76" s="125" t="s">
        <v>582</v>
      </c>
      <c r="AH76" s="128">
        <f t="shared" ca="1" si="3"/>
        <v>45709</v>
      </c>
      <c r="AI76" s="129"/>
      <c r="AJ76" s="129"/>
      <c r="AK76" s="129"/>
      <c r="AL76" s="129"/>
      <c r="AM76" s="129"/>
    </row>
    <row r="77" spans="1:39" ht="18" hidden="1" customHeight="1" x14ac:dyDescent="0.25">
      <c r="A77" s="117">
        <v>76</v>
      </c>
      <c r="B77" s="117"/>
      <c r="C77" s="118" t="s">
        <v>706</v>
      </c>
      <c r="D77" s="146">
        <f t="array" aca="1" ref="D77" ca="1">SUM(--(_xlfn.UNIQUE(_xlfn._xlws.FILTER($M$2:$M$1011 &amp; "", ($C$2:$C$1011 = C77) * ($M$2:$M$1011 &lt;&gt; ""))) &lt;&gt; ""))</f>
        <v>2</v>
      </c>
      <c r="E77" s="166">
        <f t="shared" ca="1" si="4"/>
        <v>2677.99</v>
      </c>
      <c r="F77" s="143">
        <v>1</v>
      </c>
      <c r="G77" s="143" t="s">
        <v>162</v>
      </c>
      <c r="H77" s="119">
        <f>_xlfn.XLOOKUP(G77,'🚛 FROTA'!B:B,'🚛 FROTA'!A:A,"")</f>
        <v>39</v>
      </c>
      <c r="I77" s="119"/>
      <c r="J77" s="119" t="str">
        <f>IF(G77="","",_xlfn.XLOOKUP(G77,'🚛 FROTA'!B:B,'🚛 FROTA'!E:E,""))</f>
        <v>Express Delivery</v>
      </c>
      <c r="K77" s="119" t="str">
        <f>IF(G77="","",_xlfn.XLOOKUP(G77,'🚛 FROTA'!B:B,'🚛 FROTA'!K:K,""))</f>
        <v>Carroceria Cabinado</v>
      </c>
      <c r="L77" s="143" t="s">
        <v>703</v>
      </c>
      <c r="M77" s="143" t="s">
        <v>707</v>
      </c>
      <c r="N77" s="145">
        <v>45829</v>
      </c>
      <c r="O77" s="143">
        <v>4</v>
      </c>
      <c r="P77" s="143">
        <v>4</v>
      </c>
      <c r="Q77" s="167">
        <v>69.997500000000002</v>
      </c>
      <c r="R77" s="143" t="s">
        <v>554</v>
      </c>
      <c r="S77" s="122" t="s">
        <v>534</v>
      </c>
      <c r="T77" s="120" t="s">
        <v>522</v>
      </c>
      <c r="U77" s="121" t="s">
        <v>555</v>
      </c>
      <c r="V77" s="119" t="s">
        <v>573</v>
      </c>
      <c r="W77" s="119" t="s">
        <v>585</v>
      </c>
      <c r="X77" s="123" t="s">
        <v>708</v>
      </c>
      <c r="Y77" s="119" t="s">
        <v>576</v>
      </c>
      <c r="Z77" s="124">
        <v>62639</v>
      </c>
      <c r="AA77" s="122" t="s">
        <v>577</v>
      </c>
      <c r="AB77" s="122">
        <v>2</v>
      </c>
      <c r="AC77" s="131" t="s">
        <v>578</v>
      </c>
      <c r="AD77" s="131"/>
      <c r="AE77" s="131" t="s">
        <v>709</v>
      </c>
      <c r="AF77" s="131"/>
      <c r="AG77" s="125" t="s">
        <v>587</v>
      </c>
      <c r="AH77" s="128">
        <f t="shared" ca="1" si="3"/>
        <v>45709</v>
      </c>
      <c r="AI77" s="129"/>
      <c r="AJ77" s="129"/>
      <c r="AK77" s="129"/>
      <c r="AL77" s="129"/>
      <c r="AM77" s="129"/>
    </row>
    <row r="78" spans="1:39" ht="18" customHeight="1" x14ac:dyDescent="0.25">
      <c r="A78" s="117">
        <v>77</v>
      </c>
      <c r="B78" s="117"/>
      <c r="C78" s="118" t="s">
        <v>706</v>
      </c>
      <c r="D78" s="146">
        <f t="array" aca="1" ref="D78" ca="1">SUM(--(_xlfn.UNIQUE(_xlfn._xlws.FILTER($M$2:$M$1011 &amp; "", ($C$2:$C$1011 = C78) * ($M$2:$M$1011 &lt;&gt; ""))) &lt;&gt; ""))</f>
        <v>2</v>
      </c>
      <c r="E78" s="166">
        <f t="shared" ca="1" si="4"/>
        <v>2677.99</v>
      </c>
      <c r="F78" s="143">
        <v>1</v>
      </c>
      <c r="G78" s="143" t="s">
        <v>162</v>
      </c>
      <c r="H78" s="119">
        <f>_xlfn.XLOOKUP(G78,'🚛 FROTA'!B:B,'🚛 FROTA'!A:A,"")</f>
        <v>39</v>
      </c>
      <c r="I78" s="119"/>
      <c r="J78" s="119" t="str">
        <f>IF(G78="","",_xlfn.XLOOKUP(G78,'🚛 FROTA'!B:B,'🚛 FROTA'!E:E,""))</f>
        <v>Express Delivery</v>
      </c>
      <c r="K78" s="119" t="str">
        <f>IF(G78="","",_xlfn.XLOOKUP(G78,'🚛 FROTA'!B:B,'🚛 FROTA'!K:K,""))</f>
        <v>Carroceria Cabinado</v>
      </c>
      <c r="L78" s="143" t="s">
        <v>703</v>
      </c>
      <c r="M78" s="143" t="s">
        <v>704</v>
      </c>
      <c r="N78" s="145">
        <v>45829</v>
      </c>
      <c r="O78" s="143">
        <v>4</v>
      </c>
      <c r="P78" s="143">
        <v>4</v>
      </c>
      <c r="Q78" s="167">
        <v>599.5</v>
      </c>
      <c r="R78" s="143" t="s">
        <v>554</v>
      </c>
      <c r="S78" s="122" t="s">
        <v>560</v>
      </c>
      <c r="T78" s="120" t="s">
        <v>522</v>
      </c>
      <c r="U78" s="121" t="s">
        <v>555</v>
      </c>
      <c r="V78" s="119" t="s">
        <v>573</v>
      </c>
      <c r="W78" s="119" t="s">
        <v>710</v>
      </c>
      <c r="X78" s="123" t="s">
        <v>711</v>
      </c>
      <c r="Y78" s="119" t="s">
        <v>712</v>
      </c>
      <c r="Z78" s="124">
        <v>62639</v>
      </c>
      <c r="AA78" s="122" t="s">
        <v>577</v>
      </c>
      <c r="AB78" s="122">
        <v>2</v>
      </c>
      <c r="AC78" s="131" t="s">
        <v>578</v>
      </c>
      <c r="AD78" s="131" t="s">
        <v>709</v>
      </c>
      <c r="AE78" s="131" t="s">
        <v>713</v>
      </c>
      <c r="AF78" s="131" t="s">
        <v>581</v>
      </c>
      <c r="AG78" s="125" t="s">
        <v>582</v>
      </c>
      <c r="AH78" s="128">
        <f t="shared" ca="1" si="3"/>
        <v>45709</v>
      </c>
      <c r="AI78" s="129"/>
      <c r="AJ78" s="129"/>
      <c r="AK78" s="129"/>
      <c r="AL78" s="129"/>
      <c r="AM78" s="129"/>
    </row>
    <row r="79" spans="1:39" ht="18" customHeight="1" x14ac:dyDescent="0.25">
      <c r="A79" s="117">
        <v>78</v>
      </c>
      <c r="B79" s="117"/>
      <c r="C79" s="118" t="s">
        <v>714</v>
      </c>
      <c r="D79" s="146">
        <f t="array" aca="1" ref="D79" ca="1">SUM(--(_xlfn.UNIQUE(_xlfn._xlws.FILTER($M$2:$M$1011 &amp; "", ($C$2:$C$1011 = C79) * ($M$2:$M$1011 &lt;&gt; ""))) &lt;&gt; ""))</f>
        <v>1</v>
      </c>
      <c r="E79" s="166">
        <f t="shared" ca="1" si="4"/>
        <v>8109.8</v>
      </c>
      <c r="F79" s="143">
        <v>1</v>
      </c>
      <c r="G79" s="143" t="s">
        <v>128</v>
      </c>
      <c r="H79" s="119">
        <f>_xlfn.XLOOKUP(G79,'🚛 FROTA'!B:B,'🚛 FROTA'!A:A,"")</f>
        <v>20</v>
      </c>
      <c r="I79" s="119"/>
      <c r="J79" s="119" t="str">
        <f>IF(G79="","",_xlfn.XLOOKUP(G79,'🚛 FROTA'!B:B,'🚛 FROTA'!E:E,""))</f>
        <v>3CX</v>
      </c>
      <c r="K79" s="119"/>
      <c r="L79" s="143" t="s">
        <v>715</v>
      </c>
      <c r="M79" s="143" t="s">
        <v>716</v>
      </c>
      <c r="N79" s="145">
        <v>45743</v>
      </c>
      <c r="O79" s="143">
        <v>1</v>
      </c>
      <c r="P79" s="143">
        <v>4</v>
      </c>
      <c r="Q79" s="167">
        <v>2027.45</v>
      </c>
      <c r="R79" s="143" t="s">
        <v>554</v>
      </c>
      <c r="S79" s="122" t="s">
        <v>560</v>
      </c>
      <c r="T79" s="120" t="s">
        <v>522</v>
      </c>
      <c r="U79" s="121" t="s">
        <v>555</v>
      </c>
      <c r="V79" s="119" t="s">
        <v>573</v>
      </c>
      <c r="W79" s="119" t="s">
        <v>574</v>
      </c>
      <c r="X79" s="123" t="s">
        <v>717</v>
      </c>
      <c r="Y79" s="119" t="s">
        <v>576</v>
      </c>
      <c r="Z79" s="130"/>
      <c r="AA79" s="133" t="s">
        <v>659</v>
      </c>
      <c r="AB79" s="122">
        <v>2</v>
      </c>
      <c r="AC79" s="131" t="s">
        <v>718</v>
      </c>
      <c r="AD79" s="131" t="s">
        <v>719</v>
      </c>
      <c r="AE79" s="131" t="s">
        <v>720</v>
      </c>
      <c r="AF79" s="131" t="s">
        <v>581</v>
      </c>
      <c r="AG79" s="125" t="s">
        <v>582</v>
      </c>
      <c r="AH79" s="128">
        <f t="shared" ca="1" si="3"/>
        <v>45713</v>
      </c>
      <c r="AI79" s="129"/>
      <c r="AJ79" s="129"/>
      <c r="AK79" s="129"/>
      <c r="AL79" s="129"/>
      <c r="AM79" s="129"/>
    </row>
    <row r="80" spans="1:39" ht="18" customHeight="1" x14ac:dyDescent="0.25">
      <c r="A80" s="117">
        <v>79</v>
      </c>
      <c r="B80" s="117"/>
      <c r="C80" s="118" t="s">
        <v>714</v>
      </c>
      <c r="D80" s="146">
        <f t="array" aca="1" ref="D80" ca="1">SUM(--(_xlfn.UNIQUE(_xlfn._xlws.FILTER($M$2:$M$1011 &amp; "", ($C$2:$C$1011 = C80) * ($M$2:$M$1011 &lt;&gt; ""))) &lt;&gt; ""))</f>
        <v>1</v>
      </c>
      <c r="E80" s="166">
        <f t="shared" ca="1" si="4"/>
        <v>8109.8</v>
      </c>
      <c r="F80" s="143">
        <v>1</v>
      </c>
      <c r="G80" s="143" t="s">
        <v>128</v>
      </c>
      <c r="H80" s="119">
        <f>_xlfn.XLOOKUP(G80,'🚛 FROTA'!B:B,'🚛 FROTA'!A:A,"")</f>
        <v>20</v>
      </c>
      <c r="I80" s="119"/>
      <c r="J80" s="119" t="str">
        <f>IF(G80="","",_xlfn.XLOOKUP(G80,'🚛 FROTA'!B:B,'🚛 FROTA'!E:E,""))</f>
        <v>3CX</v>
      </c>
      <c r="K80" s="119"/>
      <c r="L80" s="143" t="s">
        <v>715</v>
      </c>
      <c r="M80" s="143" t="s">
        <v>716</v>
      </c>
      <c r="N80" s="145">
        <v>45773</v>
      </c>
      <c r="O80" s="143">
        <v>2</v>
      </c>
      <c r="P80" s="143">
        <v>4</v>
      </c>
      <c r="Q80" s="167">
        <v>2027.45</v>
      </c>
      <c r="R80" s="143" t="s">
        <v>554</v>
      </c>
      <c r="S80" s="122" t="s">
        <v>560</v>
      </c>
      <c r="T80" s="120" t="s">
        <v>522</v>
      </c>
      <c r="U80" s="121" t="s">
        <v>555</v>
      </c>
      <c r="V80" s="119" t="s">
        <v>573</v>
      </c>
      <c r="W80" s="119" t="s">
        <v>574</v>
      </c>
      <c r="X80" s="123" t="s">
        <v>717</v>
      </c>
      <c r="Y80" s="119" t="s">
        <v>576</v>
      </c>
      <c r="Z80" s="130"/>
      <c r="AA80" s="133" t="s">
        <v>659</v>
      </c>
      <c r="AB80" s="122">
        <v>2</v>
      </c>
      <c r="AC80" s="131" t="s">
        <v>718</v>
      </c>
      <c r="AD80" s="131" t="s">
        <v>719</v>
      </c>
      <c r="AE80" s="131" t="s">
        <v>720</v>
      </c>
      <c r="AF80" s="131" t="s">
        <v>581</v>
      </c>
      <c r="AG80" s="125" t="s">
        <v>582</v>
      </c>
      <c r="AH80" s="128">
        <f t="shared" ca="1" si="3"/>
        <v>45713</v>
      </c>
      <c r="AI80" s="129"/>
      <c r="AJ80" s="129"/>
      <c r="AK80" s="129"/>
      <c r="AL80" s="129"/>
      <c r="AM80" s="129"/>
    </row>
    <row r="81" spans="1:39" ht="18" customHeight="1" x14ac:dyDescent="0.25">
      <c r="A81" s="117">
        <v>80</v>
      </c>
      <c r="B81" s="117"/>
      <c r="C81" s="118" t="s">
        <v>714</v>
      </c>
      <c r="D81" s="146">
        <f t="array" aca="1" ref="D81" ca="1">SUM(--(_xlfn.UNIQUE(_xlfn._xlws.FILTER($M$2:$M$1011 &amp; "", ($C$2:$C$1011 = C81) * ($M$2:$M$1011 &lt;&gt; ""))) &lt;&gt; ""))</f>
        <v>1</v>
      </c>
      <c r="E81" s="166">
        <f t="shared" ca="1" si="4"/>
        <v>8109.8</v>
      </c>
      <c r="F81" s="143">
        <v>1</v>
      </c>
      <c r="G81" s="143" t="s">
        <v>128</v>
      </c>
      <c r="H81" s="119">
        <f>_xlfn.XLOOKUP(G81,'🚛 FROTA'!B:B,'🚛 FROTA'!A:A,"")</f>
        <v>20</v>
      </c>
      <c r="I81" s="119"/>
      <c r="J81" s="119" t="str">
        <f>IF(G81="","",_xlfn.XLOOKUP(G81,'🚛 FROTA'!B:B,'🚛 FROTA'!E:E,""))</f>
        <v>3CX</v>
      </c>
      <c r="K81" s="119"/>
      <c r="L81" s="143" t="s">
        <v>715</v>
      </c>
      <c r="M81" s="143" t="s">
        <v>716</v>
      </c>
      <c r="N81" s="145">
        <v>45803</v>
      </c>
      <c r="O81" s="143">
        <v>3</v>
      </c>
      <c r="P81" s="143">
        <v>4</v>
      </c>
      <c r="Q81" s="167">
        <v>2027.45</v>
      </c>
      <c r="R81" s="143" t="s">
        <v>554</v>
      </c>
      <c r="S81" s="122" t="s">
        <v>560</v>
      </c>
      <c r="T81" s="120" t="s">
        <v>522</v>
      </c>
      <c r="U81" s="121" t="s">
        <v>555</v>
      </c>
      <c r="V81" s="119" t="s">
        <v>573</v>
      </c>
      <c r="W81" s="119" t="s">
        <v>574</v>
      </c>
      <c r="X81" s="123" t="s">
        <v>717</v>
      </c>
      <c r="Y81" s="119" t="s">
        <v>576</v>
      </c>
      <c r="Z81" s="130"/>
      <c r="AA81" s="133" t="s">
        <v>659</v>
      </c>
      <c r="AB81" s="122">
        <v>2</v>
      </c>
      <c r="AC81" s="131" t="s">
        <v>718</v>
      </c>
      <c r="AD81" s="131" t="s">
        <v>719</v>
      </c>
      <c r="AE81" s="131" t="s">
        <v>720</v>
      </c>
      <c r="AF81" s="131" t="s">
        <v>581</v>
      </c>
      <c r="AG81" s="125" t="s">
        <v>582</v>
      </c>
      <c r="AH81" s="128">
        <f t="shared" ca="1" si="3"/>
        <v>45713</v>
      </c>
      <c r="AI81" s="129"/>
      <c r="AJ81" s="129"/>
      <c r="AK81" s="129"/>
      <c r="AL81" s="129"/>
      <c r="AM81" s="129"/>
    </row>
    <row r="82" spans="1:39" ht="18" customHeight="1" x14ac:dyDescent="0.25">
      <c r="A82" s="117">
        <v>81</v>
      </c>
      <c r="B82" s="117"/>
      <c r="C82" s="118" t="s">
        <v>714</v>
      </c>
      <c r="D82" s="146">
        <f t="array" aca="1" ref="D82" ca="1">SUM(--(_xlfn.UNIQUE(_xlfn._xlws.FILTER($M$2:$M$1011 &amp; "", ($C$2:$C$1011 = C82) * ($M$2:$M$1011 &lt;&gt; ""))) &lt;&gt; ""))</f>
        <v>1</v>
      </c>
      <c r="E82" s="166">
        <f t="shared" ca="1" si="4"/>
        <v>8109.8</v>
      </c>
      <c r="F82" s="143">
        <v>1</v>
      </c>
      <c r="G82" s="143" t="s">
        <v>128</v>
      </c>
      <c r="H82" s="119">
        <f>_xlfn.XLOOKUP(G82,'🚛 FROTA'!B:B,'🚛 FROTA'!A:A,"")</f>
        <v>20</v>
      </c>
      <c r="I82" s="119"/>
      <c r="J82" s="119" t="str">
        <f>IF(G82="","",_xlfn.XLOOKUP(G82,'🚛 FROTA'!B:B,'🚛 FROTA'!E:E,""))</f>
        <v>3CX</v>
      </c>
      <c r="K82" s="119"/>
      <c r="L82" s="143" t="s">
        <v>715</v>
      </c>
      <c r="M82" s="143" t="s">
        <v>716</v>
      </c>
      <c r="N82" s="145">
        <v>45833</v>
      </c>
      <c r="O82" s="143">
        <v>4</v>
      </c>
      <c r="P82" s="143">
        <v>4</v>
      </c>
      <c r="Q82" s="167">
        <v>2027.45</v>
      </c>
      <c r="R82" s="143" t="s">
        <v>554</v>
      </c>
      <c r="S82" s="122" t="s">
        <v>560</v>
      </c>
      <c r="T82" s="120" t="s">
        <v>522</v>
      </c>
      <c r="U82" s="121" t="s">
        <v>555</v>
      </c>
      <c r="V82" s="119" t="s">
        <v>573</v>
      </c>
      <c r="W82" s="119" t="s">
        <v>574</v>
      </c>
      <c r="X82" s="123" t="s">
        <v>717</v>
      </c>
      <c r="Y82" s="119" t="s">
        <v>576</v>
      </c>
      <c r="Z82" s="130"/>
      <c r="AA82" s="133" t="s">
        <v>659</v>
      </c>
      <c r="AB82" s="122">
        <v>2</v>
      </c>
      <c r="AC82" s="131" t="s">
        <v>718</v>
      </c>
      <c r="AD82" s="131" t="s">
        <v>719</v>
      </c>
      <c r="AE82" s="131" t="s">
        <v>720</v>
      </c>
      <c r="AF82" s="131" t="s">
        <v>581</v>
      </c>
      <c r="AG82" s="125" t="s">
        <v>582</v>
      </c>
      <c r="AH82" s="128">
        <f t="shared" ca="1" si="3"/>
        <v>45713</v>
      </c>
      <c r="AI82" s="129"/>
      <c r="AJ82" s="129"/>
      <c r="AK82" s="129"/>
      <c r="AL82" s="129"/>
      <c r="AM82" s="129"/>
    </row>
    <row r="83" spans="1:39" ht="18" hidden="1" customHeight="1" x14ac:dyDescent="0.25">
      <c r="A83" s="117">
        <v>82</v>
      </c>
      <c r="B83" s="117"/>
      <c r="C83" s="118" t="s">
        <v>721</v>
      </c>
      <c r="D83" s="146">
        <f t="array" aca="1" ref="D83" ca="1">SUM(--(_xlfn.UNIQUE(_xlfn._xlws.FILTER($M$2:$M$1011 &amp; "", ($C$2:$C$1011 = C83) * ($M$2:$M$1011 &lt;&gt; ""))) &lt;&gt; ""))</f>
        <v>1</v>
      </c>
      <c r="E83" s="166">
        <f t="shared" ca="1" si="4"/>
        <v>477.68</v>
      </c>
      <c r="F83" s="143">
        <v>1</v>
      </c>
      <c r="G83" s="143" t="s">
        <v>165</v>
      </c>
      <c r="H83" s="119">
        <f>_xlfn.XLOOKUP(G83,'🚛 FROTA'!B:B,'🚛 FROTA'!A:A,"")</f>
        <v>40</v>
      </c>
      <c r="I83" s="119"/>
      <c r="J83" s="119" t="str">
        <f>IF(G83="","",_xlfn.XLOOKUP(G83,'🚛 FROTA'!B:B,'🚛 FROTA'!E:E,""))</f>
        <v>Express Delivery</v>
      </c>
      <c r="K83" s="119" t="str">
        <f>IF(G83="","",_xlfn.XLOOKUP(G83,'🚛 FROTA'!B:B,'🚛 FROTA'!K:K,""))</f>
        <v>Carroceria Cabinado</v>
      </c>
      <c r="L83" s="143" t="s">
        <v>722</v>
      </c>
      <c r="M83" s="143" t="s">
        <v>723</v>
      </c>
      <c r="N83" s="145">
        <v>45766</v>
      </c>
      <c r="O83" s="143">
        <v>1</v>
      </c>
      <c r="P83" s="143">
        <v>2</v>
      </c>
      <c r="Q83" s="167">
        <v>238.84</v>
      </c>
      <c r="R83" s="143" t="s">
        <v>724</v>
      </c>
      <c r="S83" s="122" t="s">
        <v>534</v>
      </c>
      <c r="T83" s="120" t="s">
        <v>522</v>
      </c>
      <c r="U83" s="121" t="s">
        <v>555</v>
      </c>
      <c r="V83" s="119" t="s">
        <v>568</v>
      </c>
      <c r="W83" s="119" t="s">
        <v>725</v>
      </c>
      <c r="X83" s="123" t="s">
        <v>726</v>
      </c>
      <c r="Y83" s="119" t="s">
        <v>727</v>
      </c>
      <c r="Z83" s="130"/>
      <c r="AA83" s="125"/>
      <c r="AB83" s="126"/>
      <c r="AC83" s="127"/>
      <c r="AD83" s="127"/>
      <c r="AE83" s="127"/>
      <c r="AF83" s="127"/>
      <c r="AG83" s="125"/>
      <c r="AH83" s="128">
        <f>IF(OR(R83="A Vista", R83="Crédito", R83="Adiantamento"), N83, IF(R83="Faturado", _xlfn.MINIFS(N:N, C:C, C83)-30, ""))</f>
        <v>45766</v>
      </c>
      <c r="AI83" s="129"/>
      <c r="AJ83" s="129"/>
      <c r="AK83" s="129"/>
      <c r="AL83" s="129"/>
      <c r="AM83" s="129"/>
    </row>
    <row r="84" spans="1:39" ht="18" hidden="1" customHeight="1" x14ac:dyDescent="0.25">
      <c r="A84" s="117">
        <v>83</v>
      </c>
      <c r="B84" s="117"/>
      <c r="C84" s="118" t="s">
        <v>721</v>
      </c>
      <c r="D84" s="146">
        <f t="array" aca="1" ref="D84" ca="1">SUM(--(_xlfn.UNIQUE(_xlfn._xlws.FILTER($M$2:$M$1011 &amp; "", ($C$2:$C$1011 = C84) * ($M$2:$M$1011 &lt;&gt; ""))) &lt;&gt; ""))</f>
        <v>1</v>
      </c>
      <c r="E84" s="166">
        <f t="shared" ca="1" si="4"/>
        <v>477.68</v>
      </c>
      <c r="F84" s="143">
        <v>1</v>
      </c>
      <c r="G84" s="143" t="s">
        <v>165</v>
      </c>
      <c r="H84" s="119">
        <f>_xlfn.XLOOKUP(G84,'🚛 FROTA'!B:B,'🚛 FROTA'!A:A,"")</f>
        <v>40</v>
      </c>
      <c r="I84" s="119"/>
      <c r="J84" s="119" t="str">
        <f>IF(G84="","",_xlfn.XLOOKUP(G84,'🚛 FROTA'!B:B,'🚛 FROTA'!E:E,""))</f>
        <v>Express Delivery</v>
      </c>
      <c r="K84" s="119" t="str">
        <f>IF(G84="","",_xlfn.XLOOKUP(G84,'🚛 FROTA'!B:B,'🚛 FROTA'!K:K,""))</f>
        <v>Carroceria Cabinado</v>
      </c>
      <c r="L84" s="143" t="s">
        <v>722</v>
      </c>
      <c r="M84" s="143" t="s">
        <v>723</v>
      </c>
      <c r="N84" s="145">
        <v>45796</v>
      </c>
      <c r="O84" s="143">
        <v>2</v>
      </c>
      <c r="P84" s="143">
        <v>2</v>
      </c>
      <c r="Q84" s="167">
        <v>238.84</v>
      </c>
      <c r="R84" s="143" t="s">
        <v>724</v>
      </c>
      <c r="S84" s="122" t="s">
        <v>534</v>
      </c>
      <c r="T84" s="120" t="s">
        <v>522</v>
      </c>
      <c r="U84" s="121" t="s">
        <v>555</v>
      </c>
      <c r="V84" s="119" t="s">
        <v>568</v>
      </c>
      <c r="W84" s="119" t="s">
        <v>725</v>
      </c>
      <c r="X84" s="123" t="s">
        <v>726</v>
      </c>
      <c r="Y84" s="119" t="s">
        <v>727</v>
      </c>
      <c r="Z84" s="130"/>
      <c r="AA84" s="125"/>
      <c r="AB84" s="126"/>
      <c r="AC84" s="127"/>
      <c r="AD84" s="127"/>
      <c r="AE84" s="127"/>
      <c r="AF84" s="127"/>
      <c r="AG84" s="125"/>
      <c r="AH84" s="128">
        <f>IF(OR(R84="A Vista", R84="Crédito", R84="Adiantamento"), N84, IF(R84="Faturado", _xlfn.MINIFS(N:N, C:C, C84)-30, ""))</f>
        <v>45796</v>
      </c>
      <c r="AI84" s="129"/>
      <c r="AJ84" s="129"/>
      <c r="AK84" s="129"/>
      <c r="AL84" s="129"/>
      <c r="AM84" s="129"/>
    </row>
    <row r="85" spans="1:39" ht="18" hidden="1" customHeight="1" x14ac:dyDescent="0.25">
      <c r="A85" s="117">
        <v>84</v>
      </c>
      <c r="B85" s="117"/>
      <c r="C85" s="118" t="s">
        <v>728</v>
      </c>
      <c r="D85" s="146">
        <f t="array" aca="1" ref="D85" ca="1">SUM(--(_xlfn.UNIQUE(_xlfn._xlws.FILTER($M$2:$M$1011 &amp; "", ($C$2:$C$1011 = C85) * ($M$2:$M$1011 &lt;&gt; ""))) &lt;&gt; ""))</f>
        <v>1</v>
      </c>
      <c r="E85" s="166">
        <f t="shared" ca="1" si="4"/>
        <v>138</v>
      </c>
      <c r="F85" s="143">
        <v>1</v>
      </c>
      <c r="G85" s="143" t="s">
        <v>155</v>
      </c>
      <c r="H85" s="119">
        <f>_xlfn.XLOOKUP(G85,'🚛 FROTA'!B:B,'🚛 FROTA'!A:A,"")</f>
        <v>34</v>
      </c>
      <c r="I85" s="119"/>
      <c r="J85" s="119" t="str">
        <f>IF(G85="","",_xlfn.XLOOKUP(G85,'🚛 FROTA'!B:B,'🚛 FROTA'!E:E,""))</f>
        <v>9.170 Delivery</v>
      </c>
      <c r="K85" s="119" t="str">
        <f>IF(G85="","",_xlfn.XLOOKUP(G85,'🚛 FROTA'!B:B,'🚛 FROTA'!K:K,""))</f>
        <v>Basculante</v>
      </c>
      <c r="L85" s="143" t="s">
        <v>729</v>
      </c>
      <c r="M85" s="143" t="s">
        <v>730</v>
      </c>
      <c r="N85" s="145">
        <v>45769</v>
      </c>
      <c r="O85" s="143">
        <v>1</v>
      </c>
      <c r="P85" s="143">
        <v>1</v>
      </c>
      <c r="Q85" s="167">
        <v>138</v>
      </c>
      <c r="R85" s="143" t="s">
        <v>554</v>
      </c>
      <c r="S85" s="122" t="s">
        <v>534</v>
      </c>
      <c r="T85" s="120" t="s">
        <v>522</v>
      </c>
      <c r="U85" s="121" t="s">
        <v>555</v>
      </c>
      <c r="V85" s="119" t="s">
        <v>670</v>
      </c>
      <c r="W85" s="119" t="s">
        <v>731</v>
      </c>
      <c r="X85" s="123" t="s">
        <v>732</v>
      </c>
      <c r="Y85" s="119"/>
      <c r="Z85" s="130"/>
      <c r="AA85" s="125"/>
      <c r="AB85" s="126"/>
      <c r="AC85" s="127"/>
      <c r="AD85" s="127"/>
      <c r="AE85" s="127"/>
      <c r="AF85" s="127"/>
      <c r="AG85" s="125"/>
      <c r="AH85" s="128">
        <f t="shared" ref="AH85:AH92" ca="1" si="5">IF(OR(R85="A VISTA", R85="C. CRÉDITO", R85="ADIANTAMENTO"), N85, IF(R85="Faturado", _xlfn.MINIFS(N:N, C:C, C85)-30, ""))</f>
        <v>45739</v>
      </c>
      <c r="AI85" s="129"/>
      <c r="AJ85" s="129"/>
      <c r="AK85" s="129"/>
      <c r="AL85" s="129"/>
      <c r="AM85" s="129"/>
    </row>
    <row r="86" spans="1:39" ht="18" hidden="1" customHeight="1" x14ac:dyDescent="0.25">
      <c r="A86" s="117">
        <v>85</v>
      </c>
      <c r="B86" s="117"/>
      <c r="C86" s="118" t="s">
        <v>733</v>
      </c>
      <c r="D86" s="146">
        <f t="array" aca="1" ref="D86" ca="1">SUM(--(_xlfn.UNIQUE(_xlfn._xlws.FILTER($M$2:$M$1011 &amp; "", ($C$2:$C$1011 = C86) * ($M$2:$M$1011 &lt;&gt; ""))) &lt;&gt; ""))</f>
        <v>2</v>
      </c>
      <c r="E86" s="166">
        <f t="shared" ca="1" si="4"/>
        <v>455</v>
      </c>
      <c r="F86" s="143">
        <v>1</v>
      </c>
      <c r="G86" s="143" t="s">
        <v>167</v>
      </c>
      <c r="H86" s="119">
        <f>_xlfn.XLOOKUP(G86,'🚛 FROTA'!B:B,'🚛 FROTA'!A:A,"")</f>
        <v>42</v>
      </c>
      <c r="I86" s="119"/>
      <c r="J86" s="119" t="str">
        <f>IF(G86="","",_xlfn.XLOOKUP(G86,'🚛 FROTA'!B:B,'🚛 FROTA'!E:E,""))</f>
        <v>Express Delivery</v>
      </c>
      <c r="K86" s="119" t="str">
        <f>IF(G86="","",_xlfn.XLOOKUP(G86,'🚛 FROTA'!B:B,'🚛 FROTA'!K:K,""))</f>
        <v>Carroceria</v>
      </c>
      <c r="L86" s="143" t="s">
        <v>734</v>
      </c>
      <c r="M86" s="143" t="s">
        <v>735</v>
      </c>
      <c r="N86" s="145">
        <v>45776</v>
      </c>
      <c r="O86" s="143">
        <v>1</v>
      </c>
      <c r="P86" s="143">
        <v>1</v>
      </c>
      <c r="Q86" s="167">
        <v>175</v>
      </c>
      <c r="R86" s="143" t="s">
        <v>554</v>
      </c>
      <c r="S86" s="122" t="s">
        <v>534</v>
      </c>
      <c r="T86" s="120" t="s">
        <v>522</v>
      </c>
      <c r="U86" s="121" t="s">
        <v>555</v>
      </c>
      <c r="V86" s="119" t="s">
        <v>568</v>
      </c>
      <c r="W86" s="119" t="s">
        <v>736</v>
      </c>
      <c r="X86" s="123" t="s">
        <v>737</v>
      </c>
      <c r="Y86" s="119"/>
      <c r="Z86" s="130"/>
      <c r="AA86" s="125"/>
      <c r="AB86" s="126"/>
      <c r="AC86" s="127"/>
      <c r="AD86" s="127"/>
      <c r="AE86" s="127"/>
      <c r="AF86" s="127"/>
      <c r="AG86" s="125"/>
      <c r="AH86" s="128">
        <f t="shared" ca="1" si="5"/>
        <v>45746</v>
      </c>
      <c r="AI86" s="129"/>
      <c r="AJ86" s="129"/>
      <c r="AK86" s="129"/>
      <c r="AL86" s="129"/>
      <c r="AM86" s="129"/>
    </row>
    <row r="87" spans="1:39" ht="18" hidden="1" customHeight="1" x14ac:dyDescent="0.25">
      <c r="A87" s="117">
        <v>86</v>
      </c>
      <c r="B87" s="117"/>
      <c r="C87" s="118" t="s">
        <v>733</v>
      </c>
      <c r="D87" s="146">
        <f t="array" aca="1" ref="D87" ca="1">SUM(--(_xlfn.UNIQUE(_xlfn._xlws.FILTER($M$2:$M$1011 &amp; "", ($C$2:$C$1011 = C87) * ($M$2:$M$1011 &lt;&gt; ""))) &lt;&gt; ""))</f>
        <v>2</v>
      </c>
      <c r="E87" s="166">
        <f t="shared" ca="1" si="4"/>
        <v>455</v>
      </c>
      <c r="F87" s="143">
        <v>1</v>
      </c>
      <c r="G87" s="143" t="s">
        <v>167</v>
      </c>
      <c r="H87" s="119">
        <f>_xlfn.XLOOKUP(G87,'🚛 FROTA'!B:B,'🚛 FROTA'!A:A,"")</f>
        <v>42</v>
      </c>
      <c r="I87" s="119"/>
      <c r="J87" s="119" t="str">
        <f>IF(G87="","",_xlfn.XLOOKUP(G87,'🚛 FROTA'!B:B,'🚛 FROTA'!E:E,""))</f>
        <v>Express Delivery</v>
      </c>
      <c r="K87" s="119" t="str">
        <f>IF(G87="","",_xlfn.XLOOKUP(G87,'🚛 FROTA'!B:B,'🚛 FROTA'!K:K,""))</f>
        <v>Carroceria</v>
      </c>
      <c r="L87" s="143" t="s">
        <v>738</v>
      </c>
      <c r="M87" s="143" t="s">
        <v>739</v>
      </c>
      <c r="N87" s="145">
        <v>45777</v>
      </c>
      <c r="O87" s="143">
        <v>1</v>
      </c>
      <c r="P87" s="143">
        <v>1</v>
      </c>
      <c r="Q87" s="167">
        <v>280</v>
      </c>
      <c r="R87" s="143" t="s">
        <v>554</v>
      </c>
      <c r="S87" s="122" t="s">
        <v>534</v>
      </c>
      <c r="T87" s="120" t="s">
        <v>522</v>
      </c>
      <c r="U87" s="121" t="s">
        <v>555</v>
      </c>
      <c r="V87" s="119" t="s">
        <v>568</v>
      </c>
      <c r="W87" s="119" t="s">
        <v>740</v>
      </c>
      <c r="X87" s="123" t="s">
        <v>741</v>
      </c>
      <c r="Y87" s="119"/>
      <c r="Z87" s="124">
        <v>29323</v>
      </c>
      <c r="AA87" s="125"/>
      <c r="AB87" s="126"/>
      <c r="AC87" s="127"/>
      <c r="AD87" s="127"/>
      <c r="AE87" s="127"/>
      <c r="AF87" s="127"/>
      <c r="AG87" s="125"/>
      <c r="AH87" s="128">
        <f t="shared" ca="1" si="5"/>
        <v>45746</v>
      </c>
      <c r="AI87" s="129"/>
      <c r="AJ87" s="129"/>
      <c r="AK87" s="129"/>
      <c r="AL87" s="129"/>
      <c r="AM87" s="129"/>
    </row>
    <row r="88" spans="1:39" ht="18" hidden="1" customHeight="1" x14ac:dyDescent="0.25">
      <c r="A88" s="117">
        <v>87</v>
      </c>
      <c r="B88" s="117"/>
      <c r="C88" s="118" t="s">
        <v>742</v>
      </c>
      <c r="D88" s="146">
        <f t="array" aca="1" ref="D88" ca="1">SUM(--(_xlfn.UNIQUE(_xlfn._xlws.FILTER($M$2:$M$1011 &amp; "", ($C$2:$C$1011 = C88) * ($M$2:$M$1011 &lt;&gt; ""))) &lt;&gt; ""))</f>
        <v>2</v>
      </c>
      <c r="E88" s="166">
        <f t="shared" ca="1" si="4"/>
        <v>384</v>
      </c>
      <c r="F88" s="143">
        <v>1</v>
      </c>
      <c r="G88" s="143" t="s">
        <v>173</v>
      </c>
      <c r="H88" s="119">
        <f>_xlfn.XLOOKUP(G88,'🚛 FROTA'!B:B,'🚛 FROTA'!A:A,"")</f>
        <v>46</v>
      </c>
      <c r="I88" s="119"/>
      <c r="J88" s="119" t="str">
        <f>IF(G88="","",_xlfn.XLOOKUP(G88,'🚛 FROTA'!B:B,'🚛 FROTA'!E:E,""))</f>
        <v>Express Delivery</v>
      </c>
      <c r="K88" s="119" t="str">
        <f>IF(G88="","",_xlfn.XLOOKUP(G88,'🚛 FROTA'!B:B,'🚛 FROTA'!K:K,""))</f>
        <v>Carroceria</v>
      </c>
      <c r="L88" s="143" t="s">
        <v>734</v>
      </c>
      <c r="M88" s="143" t="s">
        <v>735</v>
      </c>
      <c r="N88" s="145">
        <v>45776</v>
      </c>
      <c r="O88" s="143">
        <v>1</v>
      </c>
      <c r="P88" s="143">
        <v>1</v>
      </c>
      <c r="Q88" s="167">
        <v>104</v>
      </c>
      <c r="R88" s="143" t="s">
        <v>554</v>
      </c>
      <c r="S88" s="122" t="s">
        <v>534</v>
      </c>
      <c r="T88" s="120" t="s">
        <v>522</v>
      </c>
      <c r="U88" s="121" t="s">
        <v>555</v>
      </c>
      <c r="V88" s="119" t="s">
        <v>568</v>
      </c>
      <c r="W88" s="119" t="s">
        <v>736</v>
      </c>
      <c r="X88" s="123" t="s">
        <v>737</v>
      </c>
      <c r="Y88" s="119"/>
      <c r="Z88" s="130"/>
      <c r="AA88" s="125"/>
      <c r="AB88" s="126"/>
      <c r="AC88" s="127"/>
      <c r="AD88" s="127"/>
      <c r="AE88" s="127"/>
      <c r="AF88" s="127"/>
      <c r="AG88" s="125"/>
      <c r="AH88" s="128">
        <f t="shared" ca="1" si="5"/>
        <v>45746</v>
      </c>
      <c r="AI88" s="129"/>
      <c r="AJ88" s="129"/>
      <c r="AK88" s="129"/>
      <c r="AL88" s="129"/>
      <c r="AM88" s="129"/>
    </row>
    <row r="89" spans="1:39" ht="18" hidden="1" customHeight="1" x14ac:dyDescent="0.25">
      <c r="A89" s="117">
        <v>88</v>
      </c>
      <c r="B89" s="117"/>
      <c r="C89" s="118" t="s">
        <v>742</v>
      </c>
      <c r="D89" s="146">
        <f t="array" aca="1" ref="D89" ca="1">SUM(--(_xlfn.UNIQUE(_xlfn._xlws.FILTER($M$2:$M$1011 &amp; "", ($C$2:$C$1011 = C89) * ($M$2:$M$1011 &lt;&gt; ""))) &lt;&gt; ""))</f>
        <v>2</v>
      </c>
      <c r="E89" s="166">
        <f t="shared" ca="1" si="4"/>
        <v>384</v>
      </c>
      <c r="F89" s="143">
        <v>1</v>
      </c>
      <c r="G89" s="143" t="s">
        <v>173</v>
      </c>
      <c r="H89" s="119">
        <f>_xlfn.XLOOKUP(G89,'🚛 FROTA'!B:B,'🚛 FROTA'!A:A,"")</f>
        <v>46</v>
      </c>
      <c r="I89" s="119"/>
      <c r="J89" s="119" t="str">
        <f>IF(G89="","",_xlfn.XLOOKUP(G89,'🚛 FROTA'!B:B,'🚛 FROTA'!E:E,""))</f>
        <v>Express Delivery</v>
      </c>
      <c r="K89" s="119" t="str">
        <f>IF(G89="","",_xlfn.XLOOKUP(G89,'🚛 FROTA'!B:B,'🚛 FROTA'!K:K,""))</f>
        <v>Carroceria</v>
      </c>
      <c r="L89" s="143" t="s">
        <v>738</v>
      </c>
      <c r="M89" s="143" t="s">
        <v>739</v>
      </c>
      <c r="N89" s="145">
        <v>45777</v>
      </c>
      <c r="O89" s="143">
        <v>1</v>
      </c>
      <c r="P89" s="143">
        <v>1</v>
      </c>
      <c r="Q89" s="167">
        <v>280</v>
      </c>
      <c r="R89" s="143" t="s">
        <v>554</v>
      </c>
      <c r="S89" s="122" t="s">
        <v>534</v>
      </c>
      <c r="T89" s="120" t="s">
        <v>522</v>
      </c>
      <c r="U89" s="121" t="s">
        <v>555</v>
      </c>
      <c r="V89" s="119" t="s">
        <v>568</v>
      </c>
      <c r="W89" s="119" t="s">
        <v>740</v>
      </c>
      <c r="X89" s="123" t="s">
        <v>741</v>
      </c>
      <c r="Y89" s="119"/>
      <c r="Z89" s="124">
        <v>29323</v>
      </c>
      <c r="AA89" s="125"/>
      <c r="AB89" s="126"/>
      <c r="AC89" s="127"/>
      <c r="AD89" s="127"/>
      <c r="AE89" s="127"/>
      <c r="AF89" s="127"/>
      <c r="AG89" s="125"/>
      <c r="AH89" s="128">
        <f t="shared" ca="1" si="5"/>
        <v>45746</v>
      </c>
      <c r="AI89" s="129"/>
      <c r="AJ89" s="129"/>
      <c r="AK89" s="129"/>
      <c r="AL89" s="129"/>
      <c r="AM89" s="129"/>
    </row>
    <row r="90" spans="1:39" ht="18" hidden="1" customHeight="1" x14ac:dyDescent="0.25">
      <c r="A90" s="117">
        <v>89</v>
      </c>
      <c r="B90" s="117"/>
      <c r="C90" s="118" t="s">
        <v>743</v>
      </c>
      <c r="D90" s="146">
        <f t="array" aca="1" ref="D90" ca="1">SUM(--(_xlfn.UNIQUE(_xlfn._xlws.FILTER($M$2:$M$1011 &amp; "", ($C$2:$C$1011 = C90) * ($M$2:$M$1011 &lt;&gt; ""))) &lt;&gt; ""))</f>
        <v>2</v>
      </c>
      <c r="E90" s="166">
        <f t="shared" ca="1" si="4"/>
        <v>455</v>
      </c>
      <c r="F90" s="143">
        <v>1</v>
      </c>
      <c r="G90" s="143" t="s">
        <v>169</v>
      </c>
      <c r="H90" s="119">
        <f>_xlfn.XLOOKUP(G90,'🚛 FROTA'!B:B,'🚛 FROTA'!A:A,"")</f>
        <v>43</v>
      </c>
      <c r="I90" s="119"/>
      <c r="J90" s="119" t="str">
        <f>IF(G90="","",_xlfn.XLOOKUP(G90,'🚛 FROTA'!B:B,'🚛 FROTA'!E:E,""))</f>
        <v>Express Delivery</v>
      </c>
      <c r="K90" s="119" t="str">
        <f>IF(G90="","",_xlfn.XLOOKUP(G90,'🚛 FROTA'!B:B,'🚛 FROTA'!K:K,""))</f>
        <v>Carroceria</v>
      </c>
      <c r="L90" s="143" t="s">
        <v>734</v>
      </c>
      <c r="M90" s="143" t="s">
        <v>735</v>
      </c>
      <c r="N90" s="145">
        <v>45776</v>
      </c>
      <c r="O90" s="143">
        <v>1</v>
      </c>
      <c r="P90" s="143">
        <v>1</v>
      </c>
      <c r="Q90" s="167">
        <v>175</v>
      </c>
      <c r="R90" s="143" t="s">
        <v>554</v>
      </c>
      <c r="S90" s="122" t="s">
        <v>534</v>
      </c>
      <c r="T90" s="120" t="s">
        <v>522</v>
      </c>
      <c r="U90" s="121" t="s">
        <v>555</v>
      </c>
      <c r="V90" s="119" t="s">
        <v>568</v>
      </c>
      <c r="W90" s="119" t="s">
        <v>736</v>
      </c>
      <c r="X90" s="123" t="s">
        <v>737</v>
      </c>
      <c r="Y90" s="119"/>
      <c r="Z90" s="130"/>
      <c r="AA90" s="125"/>
      <c r="AB90" s="126"/>
      <c r="AC90" s="127"/>
      <c r="AD90" s="127"/>
      <c r="AE90" s="127"/>
      <c r="AF90" s="127"/>
      <c r="AG90" s="125"/>
      <c r="AH90" s="128">
        <f t="shared" ca="1" si="5"/>
        <v>45746</v>
      </c>
      <c r="AI90" s="129"/>
      <c r="AJ90" s="129"/>
      <c r="AK90" s="129"/>
      <c r="AL90" s="129"/>
      <c r="AM90" s="129"/>
    </row>
    <row r="91" spans="1:39" ht="18" hidden="1" customHeight="1" x14ac:dyDescent="0.25">
      <c r="A91" s="117">
        <v>90</v>
      </c>
      <c r="B91" s="117"/>
      <c r="C91" s="118" t="s">
        <v>743</v>
      </c>
      <c r="D91" s="146">
        <f t="array" aca="1" ref="D91" ca="1">SUM(--(_xlfn.UNIQUE(_xlfn._xlws.FILTER($M$2:$M$1011 &amp; "", ($C$2:$C$1011 = C91) * ($M$2:$M$1011 &lt;&gt; ""))) &lt;&gt; ""))</f>
        <v>2</v>
      </c>
      <c r="E91" s="166">
        <f t="shared" ca="1" si="4"/>
        <v>455</v>
      </c>
      <c r="F91" s="143">
        <v>1</v>
      </c>
      <c r="G91" s="143" t="s">
        <v>169</v>
      </c>
      <c r="H91" s="119">
        <f>_xlfn.XLOOKUP(G91,'🚛 FROTA'!B:B,'🚛 FROTA'!A:A,"")</f>
        <v>43</v>
      </c>
      <c r="I91" s="119"/>
      <c r="J91" s="119" t="str">
        <f>IF(G91="","",_xlfn.XLOOKUP(G91,'🚛 FROTA'!B:B,'🚛 FROTA'!E:E,""))</f>
        <v>Express Delivery</v>
      </c>
      <c r="K91" s="119" t="str">
        <f>IF(G91="","",_xlfn.XLOOKUP(G91,'🚛 FROTA'!B:B,'🚛 FROTA'!K:K,""))</f>
        <v>Carroceria</v>
      </c>
      <c r="L91" s="143" t="s">
        <v>738</v>
      </c>
      <c r="M91" s="143" t="s">
        <v>739</v>
      </c>
      <c r="N91" s="145">
        <v>45777</v>
      </c>
      <c r="O91" s="143">
        <v>1</v>
      </c>
      <c r="P91" s="143">
        <v>1</v>
      </c>
      <c r="Q91" s="167">
        <v>280</v>
      </c>
      <c r="R91" s="143" t="s">
        <v>554</v>
      </c>
      <c r="S91" s="122" t="s">
        <v>534</v>
      </c>
      <c r="T91" s="120" t="s">
        <v>522</v>
      </c>
      <c r="U91" s="121" t="s">
        <v>555</v>
      </c>
      <c r="V91" s="119" t="s">
        <v>568</v>
      </c>
      <c r="W91" s="119" t="s">
        <v>740</v>
      </c>
      <c r="X91" s="123" t="s">
        <v>741</v>
      </c>
      <c r="Y91" s="119"/>
      <c r="Z91" s="124">
        <v>29323</v>
      </c>
      <c r="AA91" s="125"/>
      <c r="AB91" s="126"/>
      <c r="AC91" s="127"/>
      <c r="AD91" s="127"/>
      <c r="AE91" s="127"/>
      <c r="AF91" s="127"/>
      <c r="AG91" s="125"/>
      <c r="AH91" s="128">
        <f t="shared" ca="1" si="5"/>
        <v>45746</v>
      </c>
      <c r="AI91" s="129"/>
      <c r="AJ91" s="129"/>
      <c r="AK91" s="129"/>
      <c r="AL91" s="129"/>
      <c r="AM91" s="129"/>
    </row>
    <row r="92" spans="1:39" ht="18" hidden="1" customHeight="1" x14ac:dyDescent="0.25">
      <c r="A92" s="117">
        <v>91</v>
      </c>
      <c r="B92" s="117"/>
      <c r="C92" s="118" t="s">
        <v>744</v>
      </c>
      <c r="D92" s="146">
        <f t="array" aca="1" ref="D92" ca="1">SUM(--(_xlfn.UNIQUE(_xlfn._xlws.FILTER($M$2:$M$1011 &amp; "", ($C$2:$C$1011 = C92) * ($M$2:$M$1011 &lt;&gt; ""))) &lt;&gt; ""))</f>
        <v>2</v>
      </c>
      <c r="E92" s="166">
        <f t="shared" ca="1" si="4"/>
        <v>352</v>
      </c>
      <c r="F92" s="143">
        <v>1</v>
      </c>
      <c r="G92" s="143" t="s">
        <v>155</v>
      </c>
      <c r="H92" s="119">
        <f>_xlfn.XLOOKUP(G92,'🚛 FROTA'!B:B,'🚛 FROTA'!A:A,"")</f>
        <v>34</v>
      </c>
      <c r="I92" s="119"/>
      <c r="J92" s="119" t="str">
        <f>IF(G92="","",_xlfn.XLOOKUP(G92,'🚛 FROTA'!B:B,'🚛 FROTA'!E:E,""))</f>
        <v>9.170 Delivery</v>
      </c>
      <c r="K92" s="119" t="str">
        <f>IF(G92="","",_xlfn.XLOOKUP(G92,'🚛 FROTA'!B:B,'🚛 FROTA'!K:K,""))</f>
        <v>Basculante</v>
      </c>
      <c r="L92" s="143" t="s">
        <v>734</v>
      </c>
      <c r="M92" s="143" t="s">
        <v>735</v>
      </c>
      <c r="N92" s="145">
        <v>45776</v>
      </c>
      <c r="O92" s="143">
        <v>1</v>
      </c>
      <c r="P92" s="143">
        <v>1</v>
      </c>
      <c r="Q92" s="167">
        <v>176</v>
      </c>
      <c r="R92" s="143" t="s">
        <v>554</v>
      </c>
      <c r="S92" s="122" t="s">
        <v>534</v>
      </c>
      <c r="T92" s="120" t="s">
        <v>522</v>
      </c>
      <c r="U92" s="121" t="s">
        <v>555</v>
      </c>
      <c r="V92" s="119" t="s">
        <v>568</v>
      </c>
      <c r="W92" s="119" t="s">
        <v>736</v>
      </c>
      <c r="X92" s="123" t="s">
        <v>737</v>
      </c>
      <c r="Y92" s="119"/>
      <c r="Z92" s="130"/>
      <c r="AA92" s="125"/>
      <c r="AB92" s="126"/>
      <c r="AC92" s="127"/>
      <c r="AD92" s="127"/>
      <c r="AE92" s="127"/>
      <c r="AF92" s="127"/>
      <c r="AG92" s="125"/>
      <c r="AH92" s="128">
        <f t="shared" ca="1" si="5"/>
        <v>45746</v>
      </c>
      <c r="AI92" s="129"/>
      <c r="AJ92" s="129"/>
      <c r="AK92" s="129"/>
      <c r="AL92" s="129"/>
      <c r="AM92" s="129"/>
    </row>
    <row r="93" spans="1:39" ht="18" hidden="1" customHeight="1" x14ac:dyDescent="0.25">
      <c r="A93" s="117">
        <v>92</v>
      </c>
      <c r="B93" s="117"/>
      <c r="C93" s="118" t="s">
        <v>744</v>
      </c>
      <c r="D93" s="146">
        <f t="array" aca="1" ref="D93" ca="1">SUM(--(_xlfn.UNIQUE(_xlfn._xlws.FILTER($M$2:$M$1011 &amp; "", ($C$2:$C$1011 = C93) * ($M$2:$M$1011 &lt;&gt; ""))) &lt;&gt; ""))</f>
        <v>2</v>
      </c>
      <c r="E93" s="166">
        <f t="shared" ca="1" si="4"/>
        <v>352</v>
      </c>
      <c r="F93" s="143">
        <v>1</v>
      </c>
      <c r="G93" s="143" t="s">
        <v>155</v>
      </c>
      <c r="H93" s="119">
        <f>_xlfn.XLOOKUP(G93,'🚛 FROTA'!B:B,'🚛 FROTA'!A:A,"")</f>
        <v>34</v>
      </c>
      <c r="I93" s="119"/>
      <c r="J93" s="119" t="str">
        <f>IF(G93="","",_xlfn.XLOOKUP(G93,'🚛 FROTA'!B:B,'🚛 FROTA'!E:E,""))</f>
        <v>9.170 Delivery</v>
      </c>
      <c r="K93" s="119" t="str">
        <f>IF(G93="","",_xlfn.XLOOKUP(G93,'🚛 FROTA'!B:B,'🚛 FROTA'!K:K,""))</f>
        <v>Basculante</v>
      </c>
      <c r="L93" s="143" t="s">
        <v>745</v>
      </c>
      <c r="M93" s="143" t="s">
        <v>746</v>
      </c>
      <c r="N93" s="145">
        <v>45786</v>
      </c>
      <c r="O93" s="143">
        <v>1</v>
      </c>
      <c r="P93" s="143">
        <v>1</v>
      </c>
      <c r="Q93" s="167">
        <v>176</v>
      </c>
      <c r="R93" s="143" t="s">
        <v>651</v>
      </c>
      <c r="S93" s="122" t="s">
        <v>560</v>
      </c>
      <c r="T93" s="120" t="s">
        <v>522</v>
      </c>
      <c r="U93" s="121" t="s">
        <v>555</v>
      </c>
      <c r="V93" s="119" t="s">
        <v>568</v>
      </c>
      <c r="W93" s="119" t="s">
        <v>747</v>
      </c>
      <c r="X93" s="123" t="s">
        <v>748</v>
      </c>
      <c r="Y93" s="119" t="s">
        <v>749</v>
      </c>
      <c r="Z93" s="130"/>
      <c r="AA93" s="125"/>
      <c r="AB93" s="126"/>
      <c r="AC93" s="127"/>
      <c r="AD93" s="127"/>
      <c r="AE93" s="127"/>
      <c r="AF93" s="127"/>
      <c r="AG93" s="125"/>
      <c r="AH93" s="128">
        <f>IF(OR(R93="A Vista", R93="Crédito", R93="Adiantamento"), N93, IF(R93="Faturado", _xlfn.MINIFS(N:N, C:C, C93)-30, ""))</f>
        <v>45786</v>
      </c>
      <c r="AI93" s="129"/>
      <c r="AJ93" s="129"/>
      <c r="AK93" s="129"/>
      <c r="AL93" s="129"/>
      <c r="AM93" s="129"/>
    </row>
    <row r="94" spans="1:39" ht="18" customHeight="1" x14ac:dyDescent="0.25">
      <c r="A94" s="117">
        <v>93</v>
      </c>
      <c r="B94" s="117"/>
      <c r="C94" s="118" t="s">
        <v>750</v>
      </c>
      <c r="D94" s="146">
        <f t="array" aca="1" ref="D94" ca="1">SUM(--(_xlfn.UNIQUE(_xlfn._xlws.FILTER($M$2:$M$1011 &amp; "", ($C$2:$C$1011 = C94) * ($M$2:$M$1011 &lt;&gt; ""))) &lt;&gt; ""))</f>
        <v>3</v>
      </c>
      <c r="E94" s="166">
        <f t="shared" ca="1" si="4"/>
        <v>6495.12</v>
      </c>
      <c r="F94" s="143">
        <v>1</v>
      </c>
      <c r="G94" s="143" t="s">
        <v>155</v>
      </c>
      <c r="H94" s="119">
        <f>_xlfn.XLOOKUP(G94,'🚛 FROTA'!B:B,'🚛 FROTA'!A:A,"")</f>
        <v>34</v>
      </c>
      <c r="I94" s="119"/>
      <c r="J94" s="119" t="str">
        <f>IF(G94="","",_xlfn.XLOOKUP(G94,'🚛 FROTA'!B:B,'🚛 FROTA'!E:E,""))</f>
        <v>9.170 Delivery</v>
      </c>
      <c r="K94" s="119" t="str">
        <f>IF(G94="","",_xlfn.XLOOKUP(G94,'🚛 FROTA'!B:B,'🚛 FROTA'!K:K,""))</f>
        <v>Basculante</v>
      </c>
      <c r="L94" s="143" t="s">
        <v>571</v>
      </c>
      <c r="M94" s="143" t="s">
        <v>751</v>
      </c>
      <c r="N94" s="145">
        <v>45777</v>
      </c>
      <c r="O94" s="143">
        <v>1</v>
      </c>
      <c r="P94" s="143">
        <v>4</v>
      </c>
      <c r="Q94" s="167">
        <v>1195</v>
      </c>
      <c r="R94" s="143" t="s">
        <v>554</v>
      </c>
      <c r="S94" s="122" t="s">
        <v>560</v>
      </c>
      <c r="T94" s="120" t="s">
        <v>522</v>
      </c>
      <c r="U94" s="121" t="s">
        <v>555</v>
      </c>
      <c r="V94" s="119" t="s">
        <v>573</v>
      </c>
      <c r="W94" s="119" t="s">
        <v>574</v>
      </c>
      <c r="X94" s="123" t="s">
        <v>752</v>
      </c>
      <c r="Y94" s="119" t="s">
        <v>753</v>
      </c>
      <c r="Z94" s="124">
        <v>68422</v>
      </c>
      <c r="AA94" s="122" t="s">
        <v>659</v>
      </c>
      <c r="AB94" s="122">
        <v>2</v>
      </c>
      <c r="AC94" s="131" t="s">
        <v>754</v>
      </c>
      <c r="AD94" s="131" t="s">
        <v>755</v>
      </c>
      <c r="AE94" s="131" t="s">
        <v>756</v>
      </c>
      <c r="AF94" s="131" t="s">
        <v>581</v>
      </c>
      <c r="AG94" s="125" t="s">
        <v>582</v>
      </c>
      <c r="AH94" s="128">
        <f t="shared" ref="AH94:AH118" ca="1" si="6">IF(OR(R94="A VISTA", R94="C. CRÉDITO", R94="ADIANTAMENTO"), N94, IF(R94="Faturado", _xlfn.MINIFS(N:N, C:C, C94)-30, ""))</f>
        <v>45747</v>
      </c>
      <c r="AI94" s="129" t="s">
        <v>583</v>
      </c>
      <c r="AJ94" s="129"/>
      <c r="AK94" s="129"/>
      <c r="AL94" s="129"/>
      <c r="AM94" s="129"/>
    </row>
    <row r="95" spans="1:39" ht="18" hidden="1" customHeight="1" x14ac:dyDescent="0.25">
      <c r="A95" s="117">
        <v>94</v>
      </c>
      <c r="B95" s="117"/>
      <c r="C95" s="118" t="s">
        <v>750</v>
      </c>
      <c r="D95" s="146">
        <f t="array" aca="1" ref="D95" ca="1">SUM(--(_xlfn.UNIQUE(_xlfn._xlws.FILTER($M$2:$M$1011 &amp; "", ($C$2:$C$1011 = C95) * ($M$2:$M$1011 &lt;&gt; ""))) &lt;&gt; ""))</f>
        <v>3</v>
      </c>
      <c r="E95" s="166">
        <f t="shared" ca="1" si="4"/>
        <v>6495.12</v>
      </c>
      <c r="F95" s="143">
        <v>1</v>
      </c>
      <c r="G95" s="143" t="s">
        <v>155</v>
      </c>
      <c r="H95" s="119">
        <f>_xlfn.XLOOKUP(G95,'🚛 FROTA'!B:B,'🚛 FROTA'!A:A,"")</f>
        <v>34</v>
      </c>
      <c r="I95" s="119"/>
      <c r="J95" s="119" t="str">
        <f>IF(G95="","",_xlfn.XLOOKUP(G95,'🚛 FROTA'!B:B,'🚛 FROTA'!E:E,""))</f>
        <v>9.170 Delivery</v>
      </c>
      <c r="K95" s="119" t="str">
        <f>IF(G95="","",_xlfn.XLOOKUP(G95,'🚛 FROTA'!B:B,'🚛 FROTA'!K:K,""))</f>
        <v>Basculante</v>
      </c>
      <c r="L95" s="143" t="s">
        <v>571</v>
      </c>
      <c r="M95" s="143" t="s">
        <v>757</v>
      </c>
      <c r="N95" s="145">
        <v>45779</v>
      </c>
      <c r="O95" s="143">
        <v>1</v>
      </c>
      <c r="P95" s="143">
        <v>1</v>
      </c>
      <c r="Q95" s="167">
        <v>305.12</v>
      </c>
      <c r="R95" s="143" t="s">
        <v>554</v>
      </c>
      <c r="S95" s="122" t="s">
        <v>534</v>
      </c>
      <c r="T95" s="120" t="s">
        <v>522</v>
      </c>
      <c r="U95" s="121" t="s">
        <v>555</v>
      </c>
      <c r="V95" s="119" t="s">
        <v>573</v>
      </c>
      <c r="W95" s="119" t="s">
        <v>585</v>
      </c>
      <c r="X95" s="123" t="s">
        <v>758</v>
      </c>
      <c r="Y95" s="119"/>
      <c r="Z95" s="124">
        <v>68422</v>
      </c>
      <c r="AA95" s="134" t="s">
        <v>759</v>
      </c>
      <c r="AB95" s="122">
        <v>4</v>
      </c>
      <c r="AC95" s="131" t="s">
        <v>754</v>
      </c>
      <c r="AD95" s="131" t="s">
        <v>755</v>
      </c>
      <c r="AE95" s="131"/>
      <c r="AF95" s="131"/>
      <c r="AG95" s="125" t="s">
        <v>587</v>
      </c>
      <c r="AH95" s="128">
        <f t="shared" ca="1" si="6"/>
        <v>45747</v>
      </c>
      <c r="AI95" s="129" t="s">
        <v>583</v>
      </c>
      <c r="AJ95" s="129"/>
      <c r="AK95" s="129"/>
      <c r="AL95" s="129"/>
      <c r="AM95" s="129"/>
    </row>
    <row r="96" spans="1:39" ht="18" hidden="1" customHeight="1" x14ac:dyDescent="0.25">
      <c r="A96" s="117">
        <v>95</v>
      </c>
      <c r="B96" s="117"/>
      <c r="C96" s="118" t="s">
        <v>750</v>
      </c>
      <c r="D96" s="146">
        <f t="array" aca="1" ref="D96" ca="1">SUM(--(_xlfn.UNIQUE(_xlfn._xlws.FILTER($M$2:$M$1011 &amp; "", ($C$2:$C$1011 = C96) * ($M$2:$M$1011 &lt;&gt; ""))) &lt;&gt; ""))</f>
        <v>3</v>
      </c>
      <c r="E96" s="166">
        <f t="shared" ca="1" si="4"/>
        <v>6495.12</v>
      </c>
      <c r="F96" s="143">
        <v>1</v>
      </c>
      <c r="G96" s="143" t="s">
        <v>155</v>
      </c>
      <c r="H96" s="119">
        <f>_xlfn.XLOOKUP(G96,'🚛 FROTA'!B:B,'🚛 FROTA'!A:A,"")</f>
        <v>34</v>
      </c>
      <c r="I96" s="119"/>
      <c r="J96" s="119" t="str">
        <f>IF(G96="","",_xlfn.XLOOKUP(G96,'🚛 FROTA'!B:B,'🚛 FROTA'!E:E,""))</f>
        <v>9.170 Delivery</v>
      </c>
      <c r="K96" s="119" t="str">
        <f>IF(G96="","",_xlfn.XLOOKUP(G96,'🚛 FROTA'!B:B,'🚛 FROTA'!K:K,""))</f>
        <v>Basculante</v>
      </c>
      <c r="L96" s="143" t="s">
        <v>760</v>
      </c>
      <c r="M96" s="143" t="s">
        <v>761</v>
      </c>
      <c r="N96" s="145">
        <v>45782</v>
      </c>
      <c r="O96" s="143">
        <v>1</v>
      </c>
      <c r="P96" s="143">
        <v>2</v>
      </c>
      <c r="Q96" s="167">
        <v>705</v>
      </c>
      <c r="R96" s="143" t="s">
        <v>554</v>
      </c>
      <c r="S96" s="122" t="s">
        <v>534</v>
      </c>
      <c r="T96" s="120" t="s">
        <v>522</v>
      </c>
      <c r="U96" s="121" t="s">
        <v>555</v>
      </c>
      <c r="V96" s="119" t="s">
        <v>573</v>
      </c>
      <c r="W96" s="119" t="s">
        <v>762</v>
      </c>
      <c r="X96" s="123" t="s">
        <v>763</v>
      </c>
      <c r="Y96" s="119" t="s">
        <v>764</v>
      </c>
      <c r="Z96" s="124">
        <v>69700</v>
      </c>
      <c r="AA96" s="133" t="s">
        <v>659</v>
      </c>
      <c r="AB96" s="122">
        <v>3</v>
      </c>
      <c r="AC96" s="131" t="s">
        <v>754</v>
      </c>
      <c r="AD96" s="131" t="s">
        <v>755</v>
      </c>
      <c r="AE96" s="131" t="s">
        <v>756</v>
      </c>
      <c r="AF96" s="131"/>
      <c r="AG96" s="125" t="s">
        <v>765</v>
      </c>
      <c r="AH96" s="128">
        <f t="shared" ca="1" si="6"/>
        <v>45747</v>
      </c>
      <c r="AI96" s="129"/>
      <c r="AJ96" s="129"/>
      <c r="AK96" s="129"/>
      <c r="AL96" s="129"/>
      <c r="AM96" s="129"/>
    </row>
    <row r="97" spans="1:39" ht="18" customHeight="1" x14ac:dyDescent="0.25">
      <c r="A97" s="117">
        <v>96</v>
      </c>
      <c r="B97" s="117"/>
      <c r="C97" s="118" t="s">
        <v>750</v>
      </c>
      <c r="D97" s="146">
        <f t="array" aca="1" ref="D97" ca="1">SUM(--(_xlfn.UNIQUE(_xlfn._xlws.FILTER($M$2:$M$1011 &amp; "", ($C$2:$C$1011 = C97) * ($M$2:$M$1011 &lt;&gt; ""))) &lt;&gt; ""))</f>
        <v>3</v>
      </c>
      <c r="E97" s="166">
        <f t="shared" ca="1" si="4"/>
        <v>6495.12</v>
      </c>
      <c r="F97" s="143">
        <v>1</v>
      </c>
      <c r="G97" s="143" t="s">
        <v>155</v>
      </c>
      <c r="H97" s="119">
        <f>_xlfn.XLOOKUP(G97,'🚛 FROTA'!B:B,'🚛 FROTA'!A:A,"")</f>
        <v>34</v>
      </c>
      <c r="I97" s="119"/>
      <c r="J97" s="119" t="str">
        <f>IF(G97="","",_xlfn.XLOOKUP(G97,'🚛 FROTA'!B:B,'🚛 FROTA'!E:E,""))</f>
        <v>9.170 Delivery</v>
      </c>
      <c r="K97" s="119" t="str">
        <f>IF(G97="","",_xlfn.XLOOKUP(G97,'🚛 FROTA'!B:B,'🚛 FROTA'!K:K,""))</f>
        <v>Basculante</v>
      </c>
      <c r="L97" s="143" t="s">
        <v>571</v>
      </c>
      <c r="M97" s="143" t="s">
        <v>751</v>
      </c>
      <c r="N97" s="145">
        <v>45807</v>
      </c>
      <c r="O97" s="143">
        <v>2</v>
      </c>
      <c r="P97" s="143">
        <v>4</v>
      </c>
      <c r="Q97" s="167">
        <v>1195</v>
      </c>
      <c r="R97" s="143" t="s">
        <v>554</v>
      </c>
      <c r="S97" s="122" t="s">
        <v>560</v>
      </c>
      <c r="T97" s="120" t="s">
        <v>522</v>
      </c>
      <c r="U97" s="121" t="s">
        <v>555</v>
      </c>
      <c r="V97" s="119" t="s">
        <v>573</v>
      </c>
      <c r="W97" s="119" t="s">
        <v>574</v>
      </c>
      <c r="X97" s="123" t="s">
        <v>752</v>
      </c>
      <c r="Y97" s="119" t="s">
        <v>753</v>
      </c>
      <c r="Z97" s="124">
        <v>68422</v>
      </c>
      <c r="AA97" s="122" t="s">
        <v>659</v>
      </c>
      <c r="AB97" s="122">
        <v>2</v>
      </c>
      <c r="AC97" s="131" t="s">
        <v>754</v>
      </c>
      <c r="AD97" s="131" t="s">
        <v>755</v>
      </c>
      <c r="AE97" s="131" t="s">
        <v>756</v>
      </c>
      <c r="AF97" s="131" t="s">
        <v>581</v>
      </c>
      <c r="AG97" s="125" t="s">
        <v>582</v>
      </c>
      <c r="AH97" s="128">
        <f t="shared" ca="1" si="6"/>
        <v>45747</v>
      </c>
      <c r="AI97" s="129" t="s">
        <v>583</v>
      </c>
      <c r="AJ97" s="129"/>
      <c r="AK97" s="129"/>
      <c r="AL97" s="129"/>
      <c r="AM97" s="129"/>
    </row>
    <row r="98" spans="1:39" ht="18" hidden="1" customHeight="1" x14ac:dyDescent="0.25">
      <c r="A98" s="117">
        <v>97</v>
      </c>
      <c r="B98" s="117"/>
      <c r="C98" s="118" t="s">
        <v>750</v>
      </c>
      <c r="D98" s="146">
        <f t="array" aca="1" ref="D98" ca="1">SUM(--(_xlfn.UNIQUE(_xlfn._xlws.FILTER($M$2:$M$1011 &amp; "", ($C$2:$C$1011 = C98) * ($M$2:$M$1011 &lt;&gt; ""))) &lt;&gt; ""))</f>
        <v>3</v>
      </c>
      <c r="E98" s="166">
        <f t="shared" ca="1" si="4"/>
        <v>6495.12</v>
      </c>
      <c r="F98" s="143">
        <v>1</v>
      </c>
      <c r="G98" s="143" t="s">
        <v>155</v>
      </c>
      <c r="H98" s="119">
        <f>_xlfn.XLOOKUP(G98,'🚛 FROTA'!B:B,'🚛 FROTA'!A:A,"")</f>
        <v>34</v>
      </c>
      <c r="I98" s="119"/>
      <c r="J98" s="119" t="str">
        <f>IF(G98="","",_xlfn.XLOOKUP(G98,'🚛 FROTA'!B:B,'🚛 FROTA'!E:E,""))</f>
        <v>9.170 Delivery</v>
      </c>
      <c r="K98" s="119" t="str">
        <f>IF(G98="","",_xlfn.XLOOKUP(G98,'🚛 FROTA'!B:B,'🚛 FROTA'!K:K,""))</f>
        <v>Basculante</v>
      </c>
      <c r="L98" s="143" t="s">
        <v>760</v>
      </c>
      <c r="M98" s="143" t="s">
        <v>761</v>
      </c>
      <c r="N98" s="145">
        <v>45810</v>
      </c>
      <c r="O98" s="143">
        <v>2</v>
      </c>
      <c r="P98" s="143">
        <v>2</v>
      </c>
      <c r="Q98" s="167">
        <v>705</v>
      </c>
      <c r="R98" s="143" t="s">
        <v>554</v>
      </c>
      <c r="S98" s="122" t="s">
        <v>534</v>
      </c>
      <c r="T98" s="120" t="s">
        <v>522</v>
      </c>
      <c r="U98" s="121" t="s">
        <v>555</v>
      </c>
      <c r="V98" s="119" t="s">
        <v>573</v>
      </c>
      <c r="W98" s="119" t="s">
        <v>762</v>
      </c>
      <c r="X98" s="123" t="s">
        <v>763</v>
      </c>
      <c r="Y98" s="119" t="s">
        <v>764</v>
      </c>
      <c r="Z98" s="124">
        <v>69700</v>
      </c>
      <c r="AA98" s="133" t="s">
        <v>659</v>
      </c>
      <c r="AB98" s="122">
        <v>3</v>
      </c>
      <c r="AC98" s="131" t="s">
        <v>754</v>
      </c>
      <c r="AD98" s="131" t="s">
        <v>755</v>
      </c>
      <c r="AE98" s="131" t="s">
        <v>756</v>
      </c>
      <c r="AF98" s="131"/>
      <c r="AG98" s="125" t="s">
        <v>765</v>
      </c>
      <c r="AH98" s="128">
        <f t="shared" ca="1" si="6"/>
        <v>45747</v>
      </c>
      <c r="AI98" s="129"/>
      <c r="AJ98" s="129"/>
      <c r="AK98" s="129"/>
      <c r="AL98" s="129"/>
      <c r="AM98" s="129"/>
    </row>
    <row r="99" spans="1:39" ht="18" customHeight="1" x14ac:dyDescent="0.25">
      <c r="A99" s="117">
        <v>98</v>
      </c>
      <c r="B99" s="117"/>
      <c r="C99" s="118" t="s">
        <v>750</v>
      </c>
      <c r="D99" s="146">
        <f t="array" aca="1" ref="D99" ca="1">SUM(--(_xlfn.UNIQUE(_xlfn._xlws.FILTER($M$2:$M$1011 &amp; "", ($C$2:$C$1011 = C99) * ($M$2:$M$1011 &lt;&gt; ""))) &lt;&gt; ""))</f>
        <v>3</v>
      </c>
      <c r="E99" s="166">
        <f t="shared" ca="1" si="4"/>
        <v>6495.12</v>
      </c>
      <c r="F99" s="143">
        <v>1</v>
      </c>
      <c r="G99" s="143" t="s">
        <v>155</v>
      </c>
      <c r="H99" s="119">
        <f>_xlfn.XLOOKUP(G99,'🚛 FROTA'!B:B,'🚛 FROTA'!A:A,"")</f>
        <v>34</v>
      </c>
      <c r="I99" s="119"/>
      <c r="J99" s="119" t="str">
        <f>IF(G99="","",_xlfn.XLOOKUP(G99,'🚛 FROTA'!B:B,'🚛 FROTA'!E:E,""))</f>
        <v>9.170 Delivery</v>
      </c>
      <c r="K99" s="119" t="str">
        <f>IF(G99="","",_xlfn.XLOOKUP(G99,'🚛 FROTA'!B:B,'🚛 FROTA'!K:K,""))</f>
        <v>Basculante</v>
      </c>
      <c r="L99" s="143" t="s">
        <v>571</v>
      </c>
      <c r="M99" s="143" t="s">
        <v>751</v>
      </c>
      <c r="N99" s="145">
        <v>45838</v>
      </c>
      <c r="O99" s="143">
        <v>3</v>
      </c>
      <c r="P99" s="143">
        <v>4</v>
      </c>
      <c r="Q99" s="167">
        <v>1195</v>
      </c>
      <c r="R99" s="143" t="s">
        <v>554</v>
      </c>
      <c r="S99" s="122" t="s">
        <v>560</v>
      </c>
      <c r="T99" s="120" t="s">
        <v>522</v>
      </c>
      <c r="U99" s="121" t="s">
        <v>555</v>
      </c>
      <c r="V99" s="119" t="s">
        <v>573</v>
      </c>
      <c r="W99" s="119" t="s">
        <v>574</v>
      </c>
      <c r="X99" s="123" t="s">
        <v>752</v>
      </c>
      <c r="Y99" s="119" t="s">
        <v>753</v>
      </c>
      <c r="Z99" s="124">
        <v>68422</v>
      </c>
      <c r="AA99" s="122" t="s">
        <v>577</v>
      </c>
      <c r="AB99" s="122">
        <v>2</v>
      </c>
      <c r="AC99" s="131" t="s">
        <v>754</v>
      </c>
      <c r="AD99" s="131" t="s">
        <v>755</v>
      </c>
      <c r="AE99" s="131" t="s">
        <v>766</v>
      </c>
      <c r="AF99" s="131" t="s">
        <v>581</v>
      </c>
      <c r="AG99" s="125" t="s">
        <v>582</v>
      </c>
      <c r="AH99" s="128">
        <f t="shared" ca="1" si="6"/>
        <v>45747</v>
      </c>
      <c r="AI99" s="129" t="s">
        <v>583</v>
      </c>
      <c r="AJ99" s="129"/>
      <c r="AK99" s="129"/>
      <c r="AL99" s="129"/>
      <c r="AM99" s="129"/>
    </row>
    <row r="100" spans="1:39" ht="18" customHeight="1" x14ac:dyDescent="0.25">
      <c r="A100" s="117">
        <v>99</v>
      </c>
      <c r="B100" s="117"/>
      <c r="C100" s="118" t="s">
        <v>750</v>
      </c>
      <c r="D100" s="146">
        <f t="array" aca="1" ref="D100" ca="1">SUM(--(_xlfn.UNIQUE(_xlfn._xlws.FILTER($M$2:$M$1011 &amp; "", ($C$2:$C$1011 = C100) * ($M$2:$M$1011 &lt;&gt; ""))) &lt;&gt; ""))</f>
        <v>3</v>
      </c>
      <c r="E100" s="166">
        <f t="shared" ca="1" si="4"/>
        <v>6495.12</v>
      </c>
      <c r="F100" s="143">
        <v>1</v>
      </c>
      <c r="G100" s="143" t="s">
        <v>155</v>
      </c>
      <c r="H100" s="119">
        <f>_xlfn.XLOOKUP(G100,'🚛 FROTA'!B:B,'🚛 FROTA'!A:A,"")</f>
        <v>34</v>
      </c>
      <c r="I100" s="119"/>
      <c r="J100" s="119" t="str">
        <f>IF(G100="","",_xlfn.XLOOKUP(G100,'🚛 FROTA'!B:B,'🚛 FROTA'!E:E,""))</f>
        <v>9.170 Delivery</v>
      </c>
      <c r="K100" s="119" t="str">
        <f>IF(G100="","",_xlfn.XLOOKUP(G100,'🚛 FROTA'!B:B,'🚛 FROTA'!K:K,""))</f>
        <v>Basculante</v>
      </c>
      <c r="L100" s="143" t="s">
        <v>571</v>
      </c>
      <c r="M100" s="143" t="s">
        <v>751</v>
      </c>
      <c r="N100" s="145">
        <v>45867</v>
      </c>
      <c r="O100" s="143">
        <v>4</v>
      </c>
      <c r="P100" s="143">
        <v>4</v>
      </c>
      <c r="Q100" s="167">
        <v>1195</v>
      </c>
      <c r="R100" s="143" t="s">
        <v>554</v>
      </c>
      <c r="S100" s="122" t="s">
        <v>560</v>
      </c>
      <c r="T100" s="120" t="s">
        <v>522</v>
      </c>
      <c r="U100" s="121" t="s">
        <v>555</v>
      </c>
      <c r="V100" s="119" t="s">
        <v>573</v>
      </c>
      <c r="W100" s="119" t="s">
        <v>574</v>
      </c>
      <c r="X100" s="123" t="s">
        <v>752</v>
      </c>
      <c r="Y100" s="119" t="s">
        <v>753</v>
      </c>
      <c r="Z100" s="124">
        <v>68422</v>
      </c>
      <c r="AA100" s="122" t="s">
        <v>577</v>
      </c>
      <c r="AB100" s="122">
        <v>2</v>
      </c>
      <c r="AC100" s="131" t="s">
        <v>754</v>
      </c>
      <c r="AD100" s="131" t="s">
        <v>755</v>
      </c>
      <c r="AE100" s="131" t="s">
        <v>766</v>
      </c>
      <c r="AF100" s="131" t="s">
        <v>581</v>
      </c>
      <c r="AG100" s="125" t="s">
        <v>582</v>
      </c>
      <c r="AH100" s="128">
        <f t="shared" ca="1" si="6"/>
        <v>45747</v>
      </c>
      <c r="AI100" s="129" t="s">
        <v>583</v>
      </c>
      <c r="AJ100" s="129"/>
      <c r="AK100" s="129"/>
      <c r="AL100" s="129"/>
      <c r="AM100" s="129"/>
    </row>
    <row r="101" spans="1:39" ht="18" hidden="1" customHeight="1" x14ac:dyDescent="0.25">
      <c r="A101" s="117">
        <v>100</v>
      </c>
      <c r="B101" s="117"/>
      <c r="C101" s="118" t="s">
        <v>767</v>
      </c>
      <c r="D101" s="146">
        <f t="array" aca="1" ref="D101" ca="1">SUM(--(_xlfn.UNIQUE(_xlfn._xlws.FILTER($M$2:$M$1011 &amp; "", ($C$2:$C$1011 = C101) * ($M$2:$M$1011 &lt;&gt; ""))) &lt;&gt; ""))</f>
        <v>3</v>
      </c>
      <c r="E101" s="166">
        <f t="shared" ca="1" si="4"/>
        <v>7094.7199999999993</v>
      </c>
      <c r="F101" s="143">
        <v>1</v>
      </c>
      <c r="G101" s="143" t="s">
        <v>128</v>
      </c>
      <c r="H101" s="119">
        <f>_xlfn.XLOOKUP(G101,'🚛 FROTA'!B:B,'🚛 FROTA'!A:A,"")</f>
        <v>20</v>
      </c>
      <c r="I101" s="119"/>
      <c r="J101" s="119" t="str">
        <f>IF(G101="","",_xlfn.XLOOKUP(G101,'🚛 FROTA'!B:B,'🚛 FROTA'!E:E,""))</f>
        <v>3CX</v>
      </c>
      <c r="K101" s="119"/>
      <c r="L101" s="143" t="s">
        <v>768</v>
      </c>
      <c r="M101" s="143" t="s">
        <v>769</v>
      </c>
      <c r="N101" s="145">
        <v>45783</v>
      </c>
      <c r="O101" s="143">
        <v>2</v>
      </c>
      <c r="P101" s="143">
        <v>3</v>
      </c>
      <c r="Q101" s="167">
        <v>2294.35</v>
      </c>
      <c r="R101" s="143" t="s">
        <v>554</v>
      </c>
      <c r="S101" s="122" t="s">
        <v>560</v>
      </c>
      <c r="T101" s="120" t="s">
        <v>522</v>
      </c>
      <c r="U101" s="121" t="s">
        <v>597</v>
      </c>
      <c r="V101" s="119" t="s">
        <v>598</v>
      </c>
      <c r="W101" s="119" t="s">
        <v>770</v>
      </c>
      <c r="X101" s="123" t="s">
        <v>771</v>
      </c>
      <c r="Y101" s="119"/>
      <c r="Z101" s="130"/>
      <c r="AA101" s="125"/>
      <c r="AB101" s="126"/>
      <c r="AC101" s="127"/>
      <c r="AD101" s="127"/>
      <c r="AE101" s="127"/>
      <c r="AF101" s="127"/>
      <c r="AG101" s="125"/>
      <c r="AH101" s="128">
        <f t="shared" ca="1" si="6"/>
        <v>45753</v>
      </c>
      <c r="AI101" s="129" t="s">
        <v>772</v>
      </c>
      <c r="AJ101" s="129"/>
      <c r="AK101" s="132">
        <f>IF(Z101="",0,Z101+10000)</f>
        <v>0</v>
      </c>
      <c r="AL101" s="129"/>
      <c r="AM101" s="129"/>
    </row>
    <row r="102" spans="1:39" ht="18" hidden="1" customHeight="1" x14ac:dyDescent="0.25">
      <c r="A102" s="117">
        <v>101</v>
      </c>
      <c r="B102" s="117"/>
      <c r="C102" s="118" t="s">
        <v>767</v>
      </c>
      <c r="D102" s="146">
        <f t="array" aca="1" ref="D102" ca="1">SUM(--(_xlfn.UNIQUE(_xlfn._xlws.FILTER($M$2:$M$1011 &amp; "", ($C$2:$C$1011 = C102) * ($M$2:$M$1011 &lt;&gt; ""))) &lt;&gt; ""))</f>
        <v>3</v>
      </c>
      <c r="E102" s="166">
        <f t="shared" ca="1" si="4"/>
        <v>7094.7199999999993</v>
      </c>
      <c r="F102" s="143">
        <v>1</v>
      </c>
      <c r="G102" s="143" t="s">
        <v>128</v>
      </c>
      <c r="H102" s="119">
        <f>_xlfn.XLOOKUP(G102,'🚛 FROTA'!B:B,'🚛 FROTA'!A:A,"")</f>
        <v>20</v>
      </c>
      <c r="I102" s="119"/>
      <c r="J102" s="119" t="str">
        <f>IF(G102="","",_xlfn.XLOOKUP(G102,'🚛 FROTA'!B:B,'🚛 FROTA'!E:E,""))</f>
        <v>3CX</v>
      </c>
      <c r="K102" s="119"/>
      <c r="L102" s="143" t="s">
        <v>773</v>
      </c>
      <c r="M102" s="143" t="s">
        <v>774</v>
      </c>
      <c r="N102" s="145">
        <v>45788</v>
      </c>
      <c r="O102" s="143">
        <v>2</v>
      </c>
      <c r="P102" s="143">
        <v>2</v>
      </c>
      <c r="Q102" s="167">
        <v>505.5</v>
      </c>
      <c r="R102" s="143" t="s">
        <v>554</v>
      </c>
      <c r="S102" s="122" t="s">
        <v>560</v>
      </c>
      <c r="T102" s="120" t="s">
        <v>522</v>
      </c>
      <c r="U102" s="121" t="s">
        <v>597</v>
      </c>
      <c r="V102" s="119" t="s">
        <v>598</v>
      </c>
      <c r="W102" s="119" t="s">
        <v>775</v>
      </c>
      <c r="X102" s="123" t="s">
        <v>776</v>
      </c>
      <c r="Y102" s="119"/>
      <c r="Z102" s="124">
        <v>68422</v>
      </c>
      <c r="AA102" s="125"/>
      <c r="AB102" s="126"/>
      <c r="AC102" s="127"/>
      <c r="AD102" s="127"/>
      <c r="AE102" s="127"/>
      <c r="AF102" s="127"/>
      <c r="AG102" s="125"/>
      <c r="AH102" s="128">
        <f t="shared" ca="1" si="6"/>
        <v>45753</v>
      </c>
      <c r="AI102" s="129" t="s">
        <v>777</v>
      </c>
      <c r="AJ102" s="129"/>
      <c r="AK102" s="132">
        <f>IF(Z102="",0,Z102+10000)</f>
        <v>78422</v>
      </c>
      <c r="AL102" s="129"/>
      <c r="AM102" s="129"/>
    </row>
    <row r="103" spans="1:39" ht="18" hidden="1" customHeight="1" x14ac:dyDescent="0.25">
      <c r="A103" s="117">
        <v>102</v>
      </c>
      <c r="B103" s="117"/>
      <c r="C103" s="118" t="s">
        <v>767</v>
      </c>
      <c r="D103" s="146">
        <f t="array" aca="1" ref="D103" ca="1">SUM(--(_xlfn.UNIQUE(_xlfn._xlws.FILTER($M$2:$M$1011 &amp; "", ($C$2:$C$1011 = C103) * ($M$2:$M$1011 &lt;&gt; ""))) &lt;&gt; ""))</f>
        <v>3</v>
      </c>
      <c r="E103" s="166">
        <f t="shared" ca="1" si="4"/>
        <v>7094.7199999999993</v>
      </c>
      <c r="F103" s="143">
        <v>1</v>
      </c>
      <c r="G103" s="143" t="s">
        <v>128</v>
      </c>
      <c r="H103" s="119">
        <f>_xlfn.XLOOKUP(G103,'🚛 FROTA'!B:B,'🚛 FROTA'!A:A,"")</f>
        <v>20</v>
      </c>
      <c r="I103" s="119"/>
      <c r="J103" s="119" t="str">
        <f>IF(G103="","",_xlfn.XLOOKUP(G103,'🚛 FROTA'!B:B,'🚛 FROTA'!E:E,""))</f>
        <v>3CX</v>
      </c>
      <c r="K103" s="119"/>
      <c r="L103" s="143" t="s">
        <v>773</v>
      </c>
      <c r="M103" s="143" t="s">
        <v>778</v>
      </c>
      <c r="N103" s="145">
        <v>45802</v>
      </c>
      <c r="O103" s="143">
        <v>2</v>
      </c>
      <c r="P103" s="143">
        <v>3</v>
      </c>
      <c r="Q103" s="167">
        <v>1000</v>
      </c>
      <c r="R103" s="143" t="s">
        <v>554</v>
      </c>
      <c r="S103" s="122" t="s">
        <v>534</v>
      </c>
      <c r="T103" s="120" t="s">
        <v>522</v>
      </c>
      <c r="U103" s="121" t="s">
        <v>597</v>
      </c>
      <c r="V103" s="119" t="s">
        <v>598</v>
      </c>
      <c r="W103" s="119" t="s">
        <v>770</v>
      </c>
      <c r="X103" s="123" t="s">
        <v>771</v>
      </c>
      <c r="Y103" s="119"/>
      <c r="Z103" s="130"/>
      <c r="AA103" s="125"/>
      <c r="AB103" s="126"/>
      <c r="AC103" s="127"/>
      <c r="AD103" s="127"/>
      <c r="AE103" s="127"/>
      <c r="AF103" s="127"/>
      <c r="AG103" s="125"/>
      <c r="AH103" s="128">
        <f t="shared" ca="1" si="6"/>
        <v>45753</v>
      </c>
      <c r="AI103" s="129" t="s">
        <v>777</v>
      </c>
      <c r="AJ103" s="129"/>
      <c r="AK103" s="132">
        <f>IF(Z103="",0,Z103+10000)</f>
        <v>0</v>
      </c>
      <c r="AL103" s="129"/>
      <c r="AM103" s="129"/>
    </row>
    <row r="104" spans="1:39" ht="18" hidden="1" customHeight="1" x14ac:dyDescent="0.25">
      <c r="A104" s="117">
        <v>103</v>
      </c>
      <c r="B104" s="117"/>
      <c r="C104" s="118" t="s">
        <v>767</v>
      </c>
      <c r="D104" s="146">
        <f t="array" aca="1" ref="D104" ca="1">SUM(--(_xlfn.UNIQUE(_xlfn._xlws.FILTER($M$2:$M$1011 &amp; "", ($C$2:$C$1011 = C104) * ($M$2:$M$1011 &lt;&gt; ""))) &lt;&gt; ""))</f>
        <v>3</v>
      </c>
      <c r="E104" s="166">
        <f t="shared" ca="1" si="4"/>
        <v>7094.7199999999993</v>
      </c>
      <c r="F104" s="143">
        <v>1</v>
      </c>
      <c r="G104" s="143" t="s">
        <v>128</v>
      </c>
      <c r="H104" s="119">
        <f>_xlfn.XLOOKUP(G104,'🚛 FROTA'!B:B,'🚛 FROTA'!A:A,"")</f>
        <v>20</v>
      </c>
      <c r="I104" s="119"/>
      <c r="J104" s="119" t="str">
        <f>IF(G104="","",_xlfn.XLOOKUP(G104,'🚛 FROTA'!B:B,'🚛 FROTA'!E:E,""))</f>
        <v>3CX</v>
      </c>
      <c r="K104" s="119"/>
      <c r="L104" s="143" t="s">
        <v>768</v>
      </c>
      <c r="M104" s="143">
        <v>26095</v>
      </c>
      <c r="N104" s="145">
        <v>45813</v>
      </c>
      <c r="O104" s="143">
        <v>3</v>
      </c>
      <c r="P104" s="143">
        <v>3</v>
      </c>
      <c r="Q104" s="167">
        <v>2294.87</v>
      </c>
      <c r="R104" s="143" t="s">
        <v>554</v>
      </c>
      <c r="S104" s="122" t="s">
        <v>560</v>
      </c>
      <c r="T104" s="120" t="s">
        <v>522</v>
      </c>
      <c r="U104" s="121" t="s">
        <v>597</v>
      </c>
      <c r="V104" s="119" t="s">
        <v>598</v>
      </c>
      <c r="W104" s="119" t="s">
        <v>770</v>
      </c>
      <c r="X104" s="123" t="s">
        <v>771</v>
      </c>
      <c r="Y104" s="119"/>
      <c r="Z104" s="124">
        <v>62639</v>
      </c>
      <c r="AA104" s="125"/>
      <c r="AB104" s="126"/>
      <c r="AC104" s="127"/>
      <c r="AD104" s="127"/>
      <c r="AE104" s="127"/>
      <c r="AF104" s="127"/>
      <c r="AG104" s="125"/>
      <c r="AH104" s="128">
        <f t="shared" ca="1" si="6"/>
        <v>45753</v>
      </c>
      <c r="AI104" s="129" t="s">
        <v>772</v>
      </c>
      <c r="AJ104" s="129"/>
      <c r="AK104" s="132">
        <f>IF(Z104="",0,Z104+10000)</f>
        <v>72639</v>
      </c>
      <c r="AL104" s="129"/>
      <c r="AM104" s="129"/>
    </row>
    <row r="105" spans="1:39" ht="18" hidden="1" customHeight="1" x14ac:dyDescent="0.25">
      <c r="A105" s="117">
        <v>104</v>
      </c>
      <c r="B105" s="117"/>
      <c r="C105" s="118" t="s">
        <v>767</v>
      </c>
      <c r="D105" s="146">
        <f t="array" aca="1" ref="D105" ca="1">SUM(--(_xlfn.UNIQUE(_xlfn._xlws.FILTER($M$2:$M$1011 &amp; "", ($C$2:$C$1011 = C105) * ($M$2:$M$1011 &lt;&gt; ""))) &lt;&gt; ""))</f>
        <v>3</v>
      </c>
      <c r="E105" s="166">
        <f t="shared" ca="1" si="4"/>
        <v>7094.7199999999993</v>
      </c>
      <c r="F105" s="143">
        <v>1</v>
      </c>
      <c r="G105" s="143" t="s">
        <v>128</v>
      </c>
      <c r="H105" s="119">
        <f>_xlfn.XLOOKUP(G105,'🚛 FROTA'!B:B,'🚛 FROTA'!A:A,"")</f>
        <v>20</v>
      </c>
      <c r="I105" s="119"/>
      <c r="J105" s="119" t="str">
        <f>IF(G105="","",_xlfn.XLOOKUP(G105,'🚛 FROTA'!B:B,'🚛 FROTA'!E:E,""))</f>
        <v>3CX</v>
      </c>
      <c r="K105" s="119"/>
      <c r="L105" s="143" t="s">
        <v>773</v>
      </c>
      <c r="M105" s="143" t="s">
        <v>778</v>
      </c>
      <c r="N105" s="145">
        <v>45833</v>
      </c>
      <c r="O105" s="143">
        <v>3</v>
      </c>
      <c r="P105" s="143">
        <v>3</v>
      </c>
      <c r="Q105" s="167">
        <v>1000</v>
      </c>
      <c r="R105" s="143" t="s">
        <v>554</v>
      </c>
      <c r="S105" s="122" t="s">
        <v>534</v>
      </c>
      <c r="T105" s="120" t="s">
        <v>522</v>
      </c>
      <c r="U105" s="121" t="s">
        <v>597</v>
      </c>
      <c r="V105" s="119" t="s">
        <v>598</v>
      </c>
      <c r="W105" s="119" t="s">
        <v>770</v>
      </c>
      <c r="X105" s="123" t="s">
        <v>771</v>
      </c>
      <c r="Y105" s="119"/>
      <c r="Z105" s="130"/>
      <c r="AA105" s="125"/>
      <c r="AB105" s="126"/>
      <c r="AC105" s="127"/>
      <c r="AD105" s="127"/>
      <c r="AE105" s="127"/>
      <c r="AF105" s="127"/>
      <c r="AG105" s="125"/>
      <c r="AH105" s="128">
        <f t="shared" ca="1" si="6"/>
        <v>45753</v>
      </c>
      <c r="AI105" s="129" t="s">
        <v>777</v>
      </c>
      <c r="AJ105" s="129"/>
      <c r="AK105" s="132">
        <f>IF(Z105="",0,Z105+10000)</f>
        <v>0</v>
      </c>
      <c r="AL105" s="129"/>
      <c r="AM105" s="129"/>
    </row>
    <row r="106" spans="1:39" ht="18" hidden="1" customHeight="1" x14ac:dyDescent="0.25">
      <c r="A106" s="117">
        <v>105</v>
      </c>
      <c r="B106" s="117"/>
      <c r="C106" s="118" t="s">
        <v>779</v>
      </c>
      <c r="D106" s="146">
        <f t="array" aca="1" ref="D106" ca="1">SUM(--(_xlfn.UNIQUE(_xlfn._xlws.FILTER($M$2:$M$1011 &amp; "", ($C$2:$C$1011 = C106) * ($M$2:$M$1011 &lt;&gt; ""))) &lt;&gt; ""))</f>
        <v>1</v>
      </c>
      <c r="E106" s="166">
        <f t="shared" ca="1" si="4"/>
        <v>919.33</v>
      </c>
      <c r="F106" s="143">
        <v>1</v>
      </c>
      <c r="G106" s="143" t="s">
        <v>173</v>
      </c>
      <c r="H106" s="119">
        <f>_xlfn.XLOOKUP(G106,'🚛 FROTA'!B:B,'🚛 FROTA'!A:A,"")</f>
        <v>46</v>
      </c>
      <c r="I106" s="119"/>
      <c r="J106" s="119" t="str">
        <f>IF(G106="","",_xlfn.XLOOKUP(G106,'🚛 FROTA'!B:B,'🚛 FROTA'!E:E,""))</f>
        <v>Express Delivery</v>
      </c>
      <c r="K106" s="119" t="str">
        <f>IF(G106="","",_xlfn.XLOOKUP(G106,'🚛 FROTA'!B:B,'🚛 FROTA'!K:K,""))</f>
        <v>Carroceria</v>
      </c>
      <c r="L106" s="143" t="s">
        <v>552</v>
      </c>
      <c r="M106" s="143" t="s">
        <v>780</v>
      </c>
      <c r="N106" s="145">
        <v>45784</v>
      </c>
      <c r="O106" s="143">
        <v>2</v>
      </c>
      <c r="P106" s="143">
        <v>3</v>
      </c>
      <c r="Q106" s="167">
        <v>919.33</v>
      </c>
      <c r="R106" s="143" t="s">
        <v>554</v>
      </c>
      <c r="S106" s="122" t="s">
        <v>534</v>
      </c>
      <c r="T106" s="120" t="s">
        <v>522</v>
      </c>
      <c r="U106" s="121" t="s">
        <v>555</v>
      </c>
      <c r="V106" s="119" t="s">
        <v>556</v>
      </c>
      <c r="W106" s="119" t="s">
        <v>781</v>
      </c>
      <c r="X106" s="123" t="s">
        <v>782</v>
      </c>
      <c r="Y106" s="119"/>
      <c r="Z106" s="124">
        <v>32448</v>
      </c>
      <c r="AA106" s="125"/>
      <c r="AB106" s="126"/>
      <c r="AC106" s="127"/>
      <c r="AD106" s="127"/>
      <c r="AE106" s="127"/>
      <c r="AF106" s="127"/>
      <c r="AG106" s="125"/>
      <c r="AH106" s="128">
        <f t="shared" ca="1" si="6"/>
        <v>45754</v>
      </c>
      <c r="AI106" s="129" t="s">
        <v>559</v>
      </c>
      <c r="AJ106" s="129"/>
      <c r="AK106" s="129"/>
      <c r="AL106" s="129"/>
      <c r="AM106" s="129"/>
    </row>
    <row r="107" spans="1:39" ht="18" hidden="1" customHeight="1" x14ac:dyDescent="0.25">
      <c r="A107" s="117">
        <v>106</v>
      </c>
      <c r="B107" s="117"/>
      <c r="C107" s="118" t="s">
        <v>783</v>
      </c>
      <c r="D107" s="146">
        <f t="array" aca="1" ref="D107" ca="1">SUM(--(_xlfn.UNIQUE(_xlfn._xlws.FILTER($M$2:$M$1011 &amp; "", ($C$2:$C$1011 = C107) * ($M$2:$M$1011 &lt;&gt; ""))) &lt;&gt; ""))</f>
        <v>1</v>
      </c>
      <c r="E107" s="166">
        <f t="shared" ca="1" si="4"/>
        <v>450</v>
      </c>
      <c r="F107" s="143">
        <v>1</v>
      </c>
      <c r="G107" s="143" t="s">
        <v>155</v>
      </c>
      <c r="H107" s="119">
        <f>_xlfn.XLOOKUP(G107,'🚛 FROTA'!B:B,'🚛 FROTA'!A:A,"")</f>
        <v>34</v>
      </c>
      <c r="I107" s="119"/>
      <c r="J107" s="119" t="str">
        <f>IF(G107="","",_xlfn.XLOOKUP(G107,'🚛 FROTA'!B:B,'🚛 FROTA'!E:E,""))</f>
        <v>9.170 Delivery</v>
      </c>
      <c r="K107" s="119" t="str">
        <f>IF(G107="","",_xlfn.XLOOKUP(G107,'🚛 FROTA'!B:B,'🚛 FROTA'!K:K,""))</f>
        <v>Basculante</v>
      </c>
      <c r="L107" s="143" t="s">
        <v>552</v>
      </c>
      <c r="M107" s="143" t="s">
        <v>784</v>
      </c>
      <c r="N107" s="145">
        <v>45784</v>
      </c>
      <c r="O107" s="143">
        <v>1</v>
      </c>
      <c r="P107" s="143">
        <v>4</v>
      </c>
      <c r="Q107" s="167">
        <v>112.5</v>
      </c>
      <c r="R107" s="143" t="s">
        <v>554</v>
      </c>
      <c r="S107" s="122" t="s">
        <v>534</v>
      </c>
      <c r="T107" s="120" t="s">
        <v>522</v>
      </c>
      <c r="U107" s="121" t="s">
        <v>555</v>
      </c>
      <c r="V107" s="119" t="s">
        <v>785</v>
      </c>
      <c r="W107" s="119" t="s">
        <v>786</v>
      </c>
      <c r="X107" s="123" t="s">
        <v>787</v>
      </c>
      <c r="Y107" s="119"/>
      <c r="Z107" s="124">
        <v>68466</v>
      </c>
      <c r="AA107" s="125"/>
      <c r="AB107" s="126"/>
      <c r="AC107" s="127"/>
      <c r="AD107" s="127"/>
      <c r="AE107" s="127"/>
      <c r="AF107" s="127"/>
      <c r="AG107" s="125"/>
      <c r="AH107" s="128">
        <f t="shared" ca="1" si="6"/>
        <v>45754</v>
      </c>
      <c r="AI107" s="129" t="s">
        <v>559</v>
      </c>
      <c r="AJ107" s="129"/>
      <c r="AK107" s="129"/>
      <c r="AL107" s="129"/>
      <c r="AM107" s="129"/>
    </row>
    <row r="108" spans="1:39" ht="18" hidden="1" customHeight="1" x14ac:dyDescent="0.25">
      <c r="A108" s="117">
        <v>107</v>
      </c>
      <c r="B108" s="117"/>
      <c r="C108" s="118" t="s">
        <v>783</v>
      </c>
      <c r="D108" s="146">
        <f t="array" aca="1" ref="D108" ca="1">SUM(--(_xlfn.UNIQUE(_xlfn._xlws.FILTER($M$2:$M$1011 &amp; "", ($C$2:$C$1011 = C108) * ($M$2:$M$1011 &lt;&gt; ""))) &lt;&gt; ""))</f>
        <v>1</v>
      </c>
      <c r="E108" s="166">
        <f t="shared" ca="1" si="4"/>
        <v>450</v>
      </c>
      <c r="F108" s="143">
        <v>1</v>
      </c>
      <c r="G108" s="143" t="s">
        <v>155</v>
      </c>
      <c r="H108" s="119">
        <f>_xlfn.XLOOKUP(G108,'🚛 FROTA'!B:B,'🚛 FROTA'!A:A,"")</f>
        <v>34</v>
      </c>
      <c r="I108" s="119"/>
      <c r="J108" s="119" t="str">
        <f>IF(G108="","",_xlfn.XLOOKUP(G108,'🚛 FROTA'!B:B,'🚛 FROTA'!E:E,""))</f>
        <v>9.170 Delivery</v>
      </c>
      <c r="K108" s="119" t="str">
        <f>IF(G108="","",_xlfn.XLOOKUP(G108,'🚛 FROTA'!B:B,'🚛 FROTA'!K:K,""))</f>
        <v>Basculante</v>
      </c>
      <c r="L108" s="143" t="s">
        <v>552</v>
      </c>
      <c r="M108" s="143" t="s">
        <v>784</v>
      </c>
      <c r="N108" s="145">
        <v>45814</v>
      </c>
      <c r="O108" s="143">
        <v>2</v>
      </c>
      <c r="P108" s="143">
        <v>4</v>
      </c>
      <c r="Q108" s="167">
        <v>112.5</v>
      </c>
      <c r="R108" s="143" t="s">
        <v>554</v>
      </c>
      <c r="S108" s="122" t="s">
        <v>534</v>
      </c>
      <c r="T108" s="120" t="s">
        <v>522</v>
      </c>
      <c r="U108" s="121" t="s">
        <v>555</v>
      </c>
      <c r="V108" s="119" t="s">
        <v>785</v>
      </c>
      <c r="W108" s="119" t="s">
        <v>786</v>
      </c>
      <c r="X108" s="123" t="s">
        <v>787</v>
      </c>
      <c r="Y108" s="119"/>
      <c r="Z108" s="124">
        <v>68466</v>
      </c>
      <c r="AA108" s="125"/>
      <c r="AB108" s="126"/>
      <c r="AC108" s="127"/>
      <c r="AD108" s="127"/>
      <c r="AE108" s="127"/>
      <c r="AF108" s="127"/>
      <c r="AG108" s="125"/>
      <c r="AH108" s="128">
        <f t="shared" ca="1" si="6"/>
        <v>45754</v>
      </c>
      <c r="AI108" s="129" t="s">
        <v>559</v>
      </c>
      <c r="AJ108" s="129"/>
      <c r="AK108" s="129"/>
      <c r="AL108" s="129"/>
      <c r="AM108" s="129"/>
    </row>
    <row r="109" spans="1:39" ht="18" hidden="1" customHeight="1" x14ac:dyDescent="0.25">
      <c r="A109" s="117">
        <v>108</v>
      </c>
      <c r="B109" s="117"/>
      <c r="C109" s="118" t="s">
        <v>783</v>
      </c>
      <c r="D109" s="146">
        <f t="array" aca="1" ref="D109" ca="1">SUM(--(_xlfn.UNIQUE(_xlfn._xlws.FILTER($M$2:$M$1011 &amp; "", ($C$2:$C$1011 = C109) * ($M$2:$M$1011 &lt;&gt; ""))) &lt;&gt; ""))</f>
        <v>1</v>
      </c>
      <c r="E109" s="166">
        <f t="shared" ca="1" si="4"/>
        <v>450</v>
      </c>
      <c r="F109" s="143">
        <v>1</v>
      </c>
      <c r="G109" s="143" t="s">
        <v>155</v>
      </c>
      <c r="H109" s="119">
        <f>_xlfn.XLOOKUP(G109,'🚛 FROTA'!B:B,'🚛 FROTA'!A:A,"")</f>
        <v>34</v>
      </c>
      <c r="I109" s="119"/>
      <c r="J109" s="119" t="str">
        <f>IF(G109="","",_xlfn.XLOOKUP(G109,'🚛 FROTA'!B:B,'🚛 FROTA'!E:E,""))</f>
        <v>9.170 Delivery</v>
      </c>
      <c r="K109" s="119" t="str">
        <f>IF(G109="","",_xlfn.XLOOKUP(G109,'🚛 FROTA'!B:B,'🚛 FROTA'!K:K,""))</f>
        <v>Basculante</v>
      </c>
      <c r="L109" s="143" t="s">
        <v>552</v>
      </c>
      <c r="M109" s="143" t="s">
        <v>784</v>
      </c>
      <c r="N109" s="145">
        <v>45844</v>
      </c>
      <c r="O109" s="143">
        <v>3</v>
      </c>
      <c r="P109" s="143">
        <v>4</v>
      </c>
      <c r="Q109" s="167">
        <v>112.5</v>
      </c>
      <c r="R109" s="143" t="s">
        <v>554</v>
      </c>
      <c r="S109" s="122" t="s">
        <v>534</v>
      </c>
      <c r="T109" s="120" t="s">
        <v>522</v>
      </c>
      <c r="U109" s="121" t="s">
        <v>555</v>
      </c>
      <c r="V109" s="119" t="s">
        <v>785</v>
      </c>
      <c r="W109" s="119" t="s">
        <v>786</v>
      </c>
      <c r="X109" s="123" t="s">
        <v>787</v>
      </c>
      <c r="Y109" s="119"/>
      <c r="Z109" s="124">
        <v>68466</v>
      </c>
      <c r="AA109" s="125"/>
      <c r="AB109" s="126"/>
      <c r="AC109" s="127"/>
      <c r="AD109" s="127"/>
      <c r="AE109" s="127"/>
      <c r="AF109" s="127"/>
      <c r="AG109" s="125"/>
      <c r="AH109" s="128">
        <f t="shared" ca="1" si="6"/>
        <v>45754</v>
      </c>
      <c r="AI109" s="129" t="s">
        <v>559</v>
      </c>
      <c r="AJ109" s="129"/>
      <c r="AK109" s="129"/>
      <c r="AL109" s="129"/>
      <c r="AM109" s="129"/>
    </row>
    <row r="110" spans="1:39" ht="18" hidden="1" customHeight="1" x14ac:dyDescent="0.25">
      <c r="A110" s="117">
        <v>109</v>
      </c>
      <c r="B110" s="117"/>
      <c r="C110" s="118" t="s">
        <v>783</v>
      </c>
      <c r="D110" s="146">
        <f t="array" aca="1" ref="D110" ca="1">SUM(--(_xlfn.UNIQUE(_xlfn._xlws.FILTER($M$2:$M$1011 &amp; "", ($C$2:$C$1011 = C110) * ($M$2:$M$1011 &lt;&gt; ""))) &lt;&gt; ""))</f>
        <v>1</v>
      </c>
      <c r="E110" s="166">
        <f t="shared" ca="1" si="4"/>
        <v>450</v>
      </c>
      <c r="F110" s="143">
        <v>1</v>
      </c>
      <c r="G110" s="143" t="s">
        <v>155</v>
      </c>
      <c r="H110" s="119">
        <f>_xlfn.XLOOKUP(G110,'🚛 FROTA'!B:B,'🚛 FROTA'!A:A,"")</f>
        <v>34</v>
      </c>
      <c r="I110" s="119"/>
      <c r="J110" s="119" t="str">
        <f>IF(G110="","",_xlfn.XLOOKUP(G110,'🚛 FROTA'!B:B,'🚛 FROTA'!E:E,""))</f>
        <v>9.170 Delivery</v>
      </c>
      <c r="K110" s="119" t="str">
        <f>IF(G110="","",_xlfn.XLOOKUP(G110,'🚛 FROTA'!B:B,'🚛 FROTA'!K:K,""))</f>
        <v>Basculante</v>
      </c>
      <c r="L110" s="143" t="s">
        <v>552</v>
      </c>
      <c r="M110" s="143" t="s">
        <v>784</v>
      </c>
      <c r="N110" s="145">
        <v>45874</v>
      </c>
      <c r="O110" s="143">
        <v>4</v>
      </c>
      <c r="P110" s="143">
        <v>4</v>
      </c>
      <c r="Q110" s="167">
        <v>112.5</v>
      </c>
      <c r="R110" s="143" t="s">
        <v>554</v>
      </c>
      <c r="S110" s="122" t="s">
        <v>534</v>
      </c>
      <c r="T110" s="120" t="s">
        <v>522</v>
      </c>
      <c r="U110" s="121" t="s">
        <v>555</v>
      </c>
      <c r="V110" s="119" t="s">
        <v>785</v>
      </c>
      <c r="W110" s="119" t="s">
        <v>786</v>
      </c>
      <c r="X110" s="123" t="s">
        <v>787</v>
      </c>
      <c r="Y110" s="119"/>
      <c r="Z110" s="124">
        <v>68466</v>
      </c>
      <c r="AA110" s="125"/>
      <c r="AB110" s="126"/>
      <c r="AC110" s="127"/>
      <c r="AD110" s="127"/>
      <c r="AE110" s="127"/>
      <c r="AF110" s="127"/>
      <c r="AG110" s="125"/>
      <c r="AH110" s="128">
        <f t="shared" ca="1" si="6"/>
        <v>45754</v>
      </c>
      <c r="AI110" s="129" t="s">
        <v>559</v>
      </c>
      <c r="AJ110" s="129"/>
      <c r="AK110" s="129"/>
      <c r="AL110" s="129"/>
      <c r="AM110" s="129"/>
    </row>
    <row r="111" spans="1:39" ht="18" hidden="1" customHeight="1" x14ac:dyDescent="0.25">
      <c r="A111" s="117">
        <v>110</v>
      </c>
      <c r="B111" s="117"/>
      <c r="C111" s="118" t="s">
        <v>788</v>
      </c>
      <c r="D111" s="146">
        <f t="array" aca="1" ref="D111" ca="1">SUM(--(_xlfn.UNIQUE(_xlfn._xlws.FILTER($M$2:$M$1011 &amp; "", ($C$2:$C$1011 = C111) * ($M$2:$M$1011 &lt;&gt; ""))) &lt;&gt; ""))</f>
        <v>1</v>
      </c>
      <c r="E111" s="166">
        <f t="shared" ca="1" si="4"/>
        <v>2369</v>
      </c>
      <c r="F111" s="143">
        <v>1</v>
      </c>
      <c r="G111" s="143" t="s">
        <v>155</v>
      </c>
      <c r="H111" s="119">
        <f>_xlfn.XLOOKUP(G111,'🚛 FROTA'!B:B,'🚛 FROTA'!A:A,"")</f>
        <v>34</v>
      </c>
      <c r="I111" s="119"/>
      <c r="J111" s="119" t="str">
        <f>IF(G111="","",_xlfn.XLOOKUP(G111,'🚛 FROTA'!B:B,'🚛 FROTA'!E:E,""))</f>
        <v>9.170 Delivery</v>
      </c>
      <c r="K111" s="119" t="str">
        <f>IF(G111="","",_xlfn.XLOOKUP(G111,'🚛 FROTA'!B:B,'🚛 FROTA'!K:K,""))</f>
        <v>Basculante</v>
      </c>
      <c r="L111" s="143" t="s">
        <v>552</v>
      </c>
      <c r="M111" s="143" t="s">
        <v>784</v>
      </c>
      <c r="N111" s="145">
        <v>45784</v>
      </c>
      <c r="O111" s="143">
        <v>1</v>
      </c>
      <c r="P111" s="143">
        <v>4</v>
      </c>
      <c r="Q111" s="167">
        <v>592.25</v>
      </c>
      <c r="R111" s="143" t="s">
        <v>554</v>
      </c>
      <c r="S111" s="122" t="s">
        <v>534</v>
      </c>
      <c r="T111" s="120" t="s">
        <v>522</v>
      </c>
      <c r="U111" s="121" t="s">
        <v>555</v>
      </c>
      <c r="V111" s="119" t="s">
        <v>634</v>
      </c>
      <c r="W111" s="119" t="s">
        <v>789</v>
      </c>
      <c r="X111" s="123" t="s">
        <v>790</v>
      </c>
      <c r="Y111" s="119"/>
      <c r="Z111" s="124">
        <v>68466</v>
      </c>
      <c r="AA111" s="125"/>
      <c r="AB111" s="126"/>
      <c r="AC111" s="127"/>
      <c r="AD111" s="127"/>
      <c r="AE111" s="127"/>
      <c r="AF111" s="127"/>
      <c r="AG111" s="125"/>
      <c r="AH111" s="128">
        <f t="shared" ca="1" si="6"/>
        <v>45754</v>
      </c>
      <c r="AI111" s="129" t="s">
        <v>559</v>
      </c>
      <c r="AJ111" s="129"/>
      <c r="AK111" s="129"/>
      <c r="AL111" s="129"/>
      <c r="AM111" s="129"/>
    </row>
    <row r="112" spans="1:39" ht="18" hidden="1" customHeight="1" x14ac:dyDescent="0.25">
      <c r="A112" s="117">
        <v>111</v>
      </c>
      <c r="B112" s="117"/>
      <c r="C112" s="118" t="s">
        <v>788</v>
      </c>
      <c r="D112" s="146">
        <f t="array" aca="1" ref="D112" ca="1">SUM(--(_xlfn.UNIQUE(_xlfn._xlws.FILTER($M$2:$M$1011 &amp; "", ($C$2:$C$1011 = C112) * ($M$2:$M$1011 &lt;&gt; ""))) &lt;&gt; ""))</f>
        <v>1</v>
      </c>
      <c r="E112" s="166">
        <f t="shared" ca="1" si="4"/>
        <v>2369</v>
      </c>
      <c r="F112" s="143">
        <v>1</v>
      </c>
      <c r="G112" s="143" t="s">
        <v>155</v>
      </c>
      <c r="H112" s="119">
        <f>_xlfn.XLOOKUP(G112,'🚛 FROTA'!B:B,'🚛 FROTA'!A:A,"")</f>
        <v>34</v>
      </c>
      <c r="I112" s="119"/>
      <c r="J112" s="119" t="str">
        <f>IF(G112="","",_xlfn.XLOOKUP(G112,'🚛 FROTA'!B:B,'🚛 FROTA'!E:E,""))</f>
        <v>9.170 Delivery</v>
      </c>
      <c r="K112" s="119" t="str">
        <f>IF(G112="","",_xlfn.XLOOKUP(G112,'🚛 FROTA'!B:B,'🚛 FROTA'!K:K,""))</f>
        <v>Basculante</v>
      </c>
      <c r="L112" s="143" t="s">
        <v>552</v>
      </c>
      <c r="M112" s="143" t="s">
        <v>784</v>
      </c>
      <c r="N112" s="145">
        <v>45814</v>
      </c>
      <c r="O112" s="143">
        <v>2</v>
      </c>
      <c r="P112" s="143">
        <v>4</v>
      </c>
      <c r="Q112" s="167">
        <v>592.25</v>
      </c>
      <c r="R112" s="143" t="s">
        <v>554</v>
      </c>
      <c r="S112" s="122" t="s">
        <v>534</v>
      </c>
      <c r="T112" s="120" t="s">
        <v>522</v>
      </c>
      <c r="U112" s="121" t="s">
        <v>555</v>
      </c>
      <c r="V112" s="119" t="s">
        <v>634</v>
      </c>
      <c r="W112" s="119" t="s">
        <v>789</v>
      </c>
      <c r="X112" s="123" t="s">
        <v>790</v>
      </c>
      <c r="Y112" s="119"/>
      <c r="Z112" s="124">
        <v>68466</v>
      </c>
      <c r="AA112" s="125"/>
      <c r="AB112" s="126"/>
      <c r="AC112" s="127"/>
      <c r="AD112" s="127"/>
      <c r="AE112" s="127"/>
      <c r="AF112" s="127"/>
      <c r="AG112" s="125"/>
      <c r="AH112" s="128">
        <f t="shared" ca="1" si="6"/>
        <v>45754</v>
      </c>
      <c r="AI112" s="129" t="s">
        <v>559</v>
      </c>
      <c r="AJ112" s="129"/>
      <c r="AK112" s="129"/>
      <c r="AL112" s="129"/>
      <c r="AM112" s="129"/>
    </row>
    <row r="113" spans="1:39" ht="18" hidden="1" customHeight="1" x14ac:dyDescent="0.25">
      <c r="A113" s="117">
        <v>112</v>
      </c>
      <c r="B113" s="117"/>
      <c r="C113" s="118" t="s">
        <v>788</v>
      </c>
      <c r="D113" s="146">
        <f t="array" aca="1" ref="D113" ca="1">SUM(--(_xlfn.UNIQUE(_xlfn._xlws.FILTER($M$2:$M$1011 &amp; "", ($C$2:$C$1011 = C113) * ($M$2:$M$1011 &lt;&gt; ""))) &lt;&gt; ""))</f>
        <v>1</v>
      </c>
      <c r="E113" s="166">
        <f t="shared" ca="1" si="4"/>
        <v>2369</v>
      </c>
      <c r="F113" s="143">
        <v>1</v>
      </c>
      <c r="G113" s="143" t="s">
        <v>155</v>
      </c>
      <c r="H113" s="119">
        <f>_xlfn.XLOOKUP(G113,'🚛 FROTA'!B:B,'🚛 FROTA'!A:A,"")</f>
        <v>34</v>
      </c>
      <c r="I113" s="119"/>
      <c r="J113" s="119" t="str">
        <f>IF(G113="","",_xlfn.XLOOKUP(G113,'🚛 FROTA'!B:B,'🚛 FROTA'!E:E,""))</f>
        <v>9.170 Delivery</v>
      </c>
      <c r="K113" s="119" t="str">
        <f>IF(G113="","",_xlfn.XLOOKUP(G113,'🚛 FROTA'!B:B,'🚛 FROTA'!K:K,""))</f>
        <v>Basculante</v>
      </c>
      <c r="L113" s="143" t="s">
        <v>552</v>
      </c>
      <c r="M113" s="143" t="s">
        <v>784</v>
      </c>
      <c r="N113" s="145">
        <v>45844</v>
      </c>
      <c r="O113" s="143">
        <v>3</v>
      </c>
      <c r="P113" s="143">
        <v>4</v>
      </c>
      <c r="Q113" s="167">
        <v>592.25</v>
      </c>
      <c r="R113" s="143" t="s">
        <v>554</v>
      </c>
      <c r="S113" s="122" t="s">
        <v>534</v>
      </c>
      <c r="T113" s="120" t="s">
        <v>522</v>
      </c>
      <c r="U113" s="121" t="s">
        <v>555</v>
      </c>
      <c r="V113" s="119" t="s">
        <v>634</v>
      </c>
      <c r="W113" s="119" t="s">
        <v>789</v>
      </c>
      <c r="X113" s="123" t="s">
        <v>790</v>
      </c>
      <c r="Y113" s="119"/>
      <c r="Z113" s="124">
        <v>68466</v>
      </c>
      <c r="AA113" s="125"/>
      <c r="AB113" s="126"/>
      <c r="AC113" s="127"/>
      <c r="AD113" s="127"/>
      <c r="AE113" s="127"/>
      <c r="AF113" s="127"/>
      <c r="AG113" s="125"/>
      <c r="AH113" s="128">
        <f t="shared" ca="1" si="6"/>
        <v>45754</v>
      </c>
      <c r="AI113" s="129" t="s">
        <v>559</v>
      </c>
      <c r="AJ113" s="129"/>
      <c r="AK113" s="129"/>
      <c r="AL113" s="129"/>
      <c r="AM113" s="129"/>
    </row>
    <row r="114" spans="1:39" ht="18" hidden="1" customHeight="1" x14ac:dyDescent="0.25">
      <c r="A114" s="117">
        <v>113</v>
      </c>
      <c r="B114" s="117"/>
      <c r="C114" s="118" t="s">
        <v>788</v>
      </c>
      <c r="D114" s="146">
        <f t="array" aca="1" ref="D114" ca="1">SUM(--(_xlfn.UNIQUE(_xlfn._xlws.FILTER($M$2:$M$1011 &amp; "", ($C$2:$C$1011 = C114) * ($M$2:$M$1011 &lt;&gt; ""))) &lt;&gt; ""))</f>
        <v>1</v>
      </c>
      <c r="E114" s="166">
        <f t="shared" ca="1" si="4"/>
        <v>2369</v>
      </c>
      <c r="F114" s="143">
        <v>1</v>
      </c>
      <c r="G114" s="143" t="s">
        <v>155</v>
      </c>
      <c r="H114" s="119">
        <f>_xlfn.XLOOKUP(G114,'🚛 FROTA'!B:B,'🚛 FROTA'!A:A,"")</f>
        <v>34</v>
      </c>
      <c r="I114" s="119"/>
      <c r="J114" s="119" t="str">
        <f>IF(G114="","",_xlfn.XLOOKUP(G114,'🚛 FROTA'!B:B,'🚛 FROTA'!E:E,""))</f>
        <v>9.170 Delivery</v>
      </c>
      <c r="K114" s="119" t="str">
        <f>IF(G114="","",_xlfn.XLOOKUP(G114,'🚛 FROTA'!B:B,'🚛 FROTA'!K:K,""))</f>
        <v>Basculante</v>
      </c>
      <c r="L114" s="143" t="s">
        <v>552</v>
      </c>
      <c r="M114" s="143" t="s">
        <v>784</v>
      </c>
      <c r="N114" s="145">
        <v>45874</v>
      </c>
      <c r="O114" s="143">
        <v>4</v>
      </c>
      <c r="P114" s="143">
        <v>4</v>
      </c>
      <c r="Q114" s="167">
        <v>592.25</v>
      </c>
      <c r="R114" s="143" t="s">
        <v>554</v>
      </c>
      <c r="S114" s="122" t="s">
        <v>534</v>
      </c>
      <c r="T114" s="120" t="s">
        <v>522</v>
      </c>
      <c r="U114" s="121" t="s">
        <v>555</v>
      </c>
      <c r="V114" s="119" t="s">
        <v>634</v>
      </c>
      <c r="W114" s="119" t="s">
        <v>789</v>
      </c>
      <c r="X114" s="123" t="s">
        <v>790</v>
      </c>
      <c r="Y114" s="119"/>
      <c r="Z114" s="124">
        <v>68466</v>
      </c>
      <c r="AA114" s="125"/>
      <c r="AB114" s="126"/>
      <c r="AC114" s="127"/>
      <c r="AD114" s="127"/>
      <c r="AE114" s="127"/>
      <c r="AF114" s="127"/>
      <c r="AG114" s="125"/>
      <c r="AH114" s="128">
        <f t="shared" ca="1" si="6"/>
        <v>45754</v>
      </c>
      <c r="AI114" s="129" t="s">
        <v>559</v>
      </c>
      <c r="AJ114" s="129"/>
      <c r="AK114" s="129"/>
      <c r="AL114" s="129"/>
      <c r="AM114" s="129"/>
    </row>
    <row r="115" spans="1:39" ht="18" hidden="1" customHeight="1" x14ac:dyDescent="0.25">
      <c r="A115" s="117">
        <v>114</v>
      </c>
      <c r="B115" s="117"/>
      <c r="C115" s="118" t="s">
        <v>791</v>
      </c>
      <c r="D115" s="146">
        <f t="array" aca="1" ref="D115" ca="1">SUM(--(_xlfn.UNIQUE(_xlfn._xlws.FILTER($M$2:$M$1011 &amp; "", ($C$2:$C$1011 = C115) * ($M$2:$M$1011 &lt;&gt; ""))) &lt;&gt; ""))</f>
        <v>1</v>
      </c>
      <c r="E115" s="166">
        <f t="shared" ca="1" si="4"/>
        <v>1653.5</v>
      </c>
      <c r="F115" s="143">
        <v>1</v>
      </c>
      <c r="G115" s="143" t="s">
        <v>155</v>
      </c>
      <c r="H115" s="119">
        <f>_xlfn.XLOOKUP(G115,'🚛 FROTA'!B:B,'🚛 FROTA'!A:A,"")</f>
        <v>34</v>
      </c>
      <c r="I115" s="119"/>
      <c r="J115" s="119" t="str">
        <f>IF(G115="","",_xlfn.XLOOKUP(G115,'🚛 FROTA'!B:B,'🚛 FROTA'!E:E,""))</f>
        <v>9.170 Delivery</v>
      </c>
      <c r="K115" s="119" t="str">
        <f>IF(G115="","",_xlfn.XLOOKUP(G115,'🚛 FROTA'!B:B,'🚛 FROTA'!K:K,""))</f>
        <v>Basculante</v>
      </c>
      <c r="L115" s="143" t="s">
        <v>552</v>
      </c>
      <c r="M115" s="143" t="s">
        <v>784</v>
      </c>
      <c r="N115" s="145">
        <v>45784</v>
      </c>
      <c r="O115" s="143">
        <v>1</v>
      </c>
      <c r="P115" s="143">
        <v>4</v>
      </c>
      <c r="Q115" s="167">
        <v>413.37</v>
      </c>
      <c r="R115" s="143" t="s">
        <v>554</v>
      </c>
      <c r="S115" s="122" t="s">
        <v>534</v>
      </c>
      <c r="T115" s="120" t="s">
        <v>522</v>
      </c>
      <c r="U115" s="121" t="s">
        <v>597</v>
      </c>
      <c r="V115" s="119" t="s">
        <v>598</v>
      </c>
      <c r="W115" s="119" t="s">
        <v>792</v>
      </c>
      <c r="X115" s="123" t="s">
        <v>793</v>
      </c>
      <c r="Y115" s="119"/>
      <c r="Z115" s="124">
        <v>68466</v>
      </c>
      <c r="AA115" s="125"/>
      <c r="AB115" s="126"/>
      <c r="AC115" s="127"/>
      <c r="AD115" s="127"/>
      <c r="AE115" s="127"/>
      <c r="AF115" s="127"/>
      <c r="AG115" s="125"/>
      <c r="AH115" s="128">
        <f t="shared" ca="1" si="6"/>
        <v>45754</v>
      </c>
      <c r="AI115" s="129" t="s">
        <v>559</v>
      </c>
      <c r="AJ115" s="129"/>
      <c r="AK115" s="132">
        <f>IF(Z115="",0,Z115+10000)</f>
        <v>78466</v>
      </c>
      <c r="AL115" s="129"/>
      <c r="AM115" s="129"/>
    </row>
    <row r="116" spans="1:39" ht="18" hidden="1" customHeight="1" x14ac:dyDescent="0.25">
      <c r="A116" s="117">
        <v>115</v>
      </c>
      <c r="B116" s="117"/>
      <c r="C116" s="118" t="s">
        <v>791</v>
      </c>
      <c r="D116" s="146">
        <f t="array" aca="1" ref="D116" ca="1">SUM(--(_xlfn.UNIQUE(_xlfn._xlws.FILTER($M$2:$M$1011 &amp; "", ($C$2:$C$1011 = C116) * ($M$2:$M$1011 &lt;&gt; ""))) &lt;&gt; ""))</f>
        <v>1</v>
      </c>
      <c r="E116" s="166">
        <f t="shared" ca="1" si="4"/>
        <v>1653.5</v>
      </c>
      <c r="F116" s="143">
        <v>1</v>
      </c>
      <c r="G116" s="143" t="s">
        <v>155</v>
      </c>
      <c r="H116" s="119">
        <f>_xlfn.XLOOKUP(G116,'🚛 FROTA'!B:B,'🚛 FROTA'!A:A,"")</f>
        <v>34</v>
      </c>
      <c r="I116" s="119"/>
      <c r="J116" s="119" t="str">
        <f>IF(G116="","",_xlfn.XLOOKUP(G116,'🚛 FROTA'!B:B,'🚛 FROTA'!E:E,""))</f>
        <v>9.170 Delivery</v>
      </c>
      <c r="K116" s="119" t="str">
        <f>IF(G116="","",_xlfn.XLOOKUP(G116,'🚛 FROTA'!B:B,'🚛 FROTA'!K:K,""))</f>
        <v>Basculante</v>
      </c>
      <c r="L116" s="143" t="s">
        <v>552</v>
      </c>
      <c r="M116" s="143" t="s">
        <v>784</v>
      </c>
      <c r="N116" s="145">
        <v>45814</v>
      </c>
      <c r="O116" s="143">
        <v>2</v>
      </c>
      <c r="P116" s="143">
        <v>4</v>
      </c>
      <c r="Q116" s="167">
        <v>413.37</v>
      </c>
      <c r="R116" s="143" t="s">
        <v>554</v>
      </c>
      <c r="S116" s="122" t="s">
        <v>534</v>
      </c>
      <c r="T116" s="120" t="s">
        <v>522</v>
      </c>
      <c r="U116" s="121" t="s">
        <v>597</v>
      </c>
      <c r="V116" s="119" t="s">
        <v>598</v>
      </c>
      <c r="W116" s="119" t="s">
        <v>792</v>
      </c>
      <c r="X116" s="123" t="s">
        <v>793</v>
      </c>
      <c r="Y116" s="119"/>
      <c r="Z116" s="124">
        <v>68466</v>
      </c>
      <c r="AA116" s="125"/>
      <c r="AB116" s="126"/>
      <c r="AC116" s="127"/>
      <c r="AD116" s="127"/>
      <c r="AE116" s="127"/>
      <c r="AF116" s="127"/>
      <c r="AG116" s="125"/>
      <c r="AH116" s="128">
        <f t="shared" ca="1" si="6"/>
        <v>45754</v>
      </c>
      <c r="AI116" s="129" t="s">
        <v>559</v>
      </c>
      <c r="AJ116" s="129"/>
      <c r="AK116" s="132">
        <f>IF(Z116="",0,Z116+10000)</f>
        <v>78466</v>
      </c>
      <c r="AL116" s="129"/>
      <c r="AM116" s="129"/>
    </row>
    <row r="117" spans="1:39" ht="18" hidden="1" customHeight="1" x14ac:dyDescent="0.25">
      <c r="A117" s="117">
        <v>116</v>
      </c>
      <c r="B117" s="117"/>
      <c r="C117" s="118" t="s">
        <v>791</v>
      </c>
      <c r="D117" s="146">
        <f t="array" aca="1" ref="D117" ca="1">SUM(--(_xlfn.UNIQUE(_xlfn._xlws.FILTER($M$2:$M$1011 &amp; "", ($C$2:$C$1011 = C117) * ($M$2:$M$1011 &lt;&gt; ""))) &lt;&gt; ""))</f>
        <v>1</v>
      </c>
      <c r="E117" s="166">
        <f t="shared" ca="1" si="4"/>
        <v>1653.5</v>
      </c>
      <c r="F117" s="143">
        <v>1</v>
      </c>
      <c r="G117" s="143" t="s">
        <v>155</v>
      </c>
      <c r="H117" s="119">
        <f>_xlfn.XLOOKUP(G117,'🚛 FROTA'!B:B,'🚛 FROTA'!A:A,"")</f>
        <v>34</v>
      </c>
      <c r="I117" s="119"/>
      <c r="J117" s="119" t="str">
        <f>IF(G117="","",_xlfn.XLOOKUP(G117,'🚛 FROTA'!B:B,'🚛 FROTA'!E:E,""))</f>
        <v>9.170 Delivery</v>
      </c>
      <c r="K117" s="119" t="str">
        <f>IF(G117="","",_xlfn.XLOOKUP(G117,'🚛 FROTA'!B:B,'🚛 FROTA'!K:K,""))</f>
        <v>Basculante</v>
      </c>
      <c r="L117" s="143" t="s">
        <v>552</v>
      </c>
      <c r="M117" s="143" t="s">
        <v>784</v>
      </c>
      <c r="N117" s="145">
        <v>45844</v>
      </c>
      <c r="O117" s="143">
        <v>3</v>
      </c>
      <c r="P117" s="143">
        <v>4</v>
      </c>
      <c r="Q117" s="167">
        <v>413.38</v>
      </c>
      <c r="R117" s="143" t="s">
        <v>554</v>
      </c>
      <c r="S117" s="122" t="s">
        <v>534</v>
      </c>
      <c r="T117" s="120" t="s">
        <v>522</v>
      </c>
      <c r="U117" s="121" t="s">
        <v>597</v>
      </c>
      <c r="V117" s="119" t="s">
        <v>598</v>
      </c>
      <c r="W117" s="119" t="s">
        <v>792</v>
      </c>
      <c r="X117" s="123" t="s">
        <v>793</v>
      </c>
      <c r="Y117" s="119"/>
      <c r="Z117" s="124">
        <v>68466</v>
      </c>
      <c r="AA117" s="125"/>
      <c r="AB117" s="126"/>
      <c r="AC117" s="127"/>
      <c r="AD117" s="127"/>
      <c r="AE117" s="127"/>
      <c r="AF117" s="127"/>
      <c r="AG117" s="125"/>
      <c r="AH117" s="128">
        <f t="shared" ca="1" si="6"/>
        <v>45754</v>
      </c>
      <c r="AI117" s="129" t="s">
        <v>559</v>
      </c>
      <c r="AJ117" s="129"/>
      <c r="AK117" s="132">
        <f>IF(Z117="",0,Z117+10000)</f>
        <v>78466</v>
      </c>
      <c r="AL117" s="129"/>
      <c r="AM117" s="129"/>
    </row>
    <row r="118" spans="1:39" ht="18" hidden="1" customHeight="1" x14ac:dyDescent="0.25">
      <c r="A118" s="117">
        <v>117</v>
      </c>
      <c r="B118" s="117"/>
      <c r="C118" s="118" t="s">
        <v>791</v>
      </c>
      <c r="D118" s="146">
        <f t="array" aca="1" ref="D118" ca="1">SUM(--(_xlfn.UNIQUE(_xlfn._xlws.FILTER($M$2:$M$1011 &amp; "", ($C$2:$C$1011 = C118) * ($M$2:$M$1011 &lt;&gt; ""))) &lt;&gt; ""))</f>
        <v>1</v>
      </c>
      <c r="E118" s="166">
        <f t="shared" ca="1" si="4"/>
        <v>1653.5</v>
      </c>
      <c r="F118" s="143">
        <v>1</v>
      </c>
      <c r="G118" s="143" t="s">
        <v>155</v>
      </c>
      <c r="H118" s="119">
        <f>_xlfn.XLOOKUP(G118,'🚛 FROTA'!B:B,'🚛 FROTA'!A:A,"")</f>
        <v>34</v>
      </c>
      <c r="I118" s="119"/>
      <c r="J118" s="119" t="str">
        <f>IF(G118="","",_xlfn.XLOOKUP(G118,'🚛 FROTA'!B:B,'🚛 FROTA'!E:E,""))</f>
        <v>9.170 Delivery</v>
      </c>
      <c r="K118" s="119" t="str">
        <f>IF(G118="","",_xlfn.XLOOKUP(G118,'🚛 FROTA'!B:B,'🚛 FROTA'!K:K,""))</f>
        <v>Basculante</v>
      </c>
      <c r="L118" s="143" t="s">
        <v>552</v>
      </c>
      <c r="M118" s="143" t="s">
        <v>784</v>
      </c>
      <c r="N118" s="145">
        <v>45874</v>
      </c>
      <c r="O118" s="143">
        <v>4</v>
      </c>
      <c r="P118" s="143">
        <v>4</v>
      </c>
      <c r="Q118" s="167">
        <v>413.38</v>
      </c>
      <c r="R118" s="143" t="s">
        <v>554</v>
      </c>
      <c r="S118" s="122" t="s">
        <v>534</v>
      </c>
      <c r="T118" s="120" t="s">
        <v>522</v>
      </c>
      <c r="U118" s="121" t="s">
        <v>597</v>
      </c>
      <c r="V118" s="119" t="s">
        <v>598</v>
      </c>
      <c r="W118" s="119" t="s">
        <v>792</v>
      </c>
      <c r="X118" s="123" t="s">
        <v>793</v>
      </c>
      <c r="Y118" s="119"/>
      <c r="Z118" s="124">
        <v>68466</v>
      </c>
      <c r="AA118" s="125"/>
      <c r="AB118" s="126"/>
      <c r="AC118" s="127"/>
      <c r="AD118" s="127"/>
      <c r="AE118" s="127"/>
      <c r="AF118" s="127"/>
      <c r="AG118" s="125"/>
      <c r="AH118" s="128">
        <f t="shared" ca="1" si="6"/>
        <v>45754</v>
      </c>
      <c r="AI118" s="129" t="s">
        <v>559</v>
      </c>
      <c r="AJ118" s="129"/>
      <c r="AK118" s="132">
        <f>IF(Z118="",0,Z118+10000)</f>
        <v>78466</v>
      </c>
      <c r="AL118" s="129"/>
      <c r="AM118" s="129"/>
    </row>
    <row r="119" spans="1:39" ht="18" hidden="1" customHeight="1" x14ac:dyDescent="0.25">
      <c r="A119" s="117">
        <v>118</v>
      </c>
      <c r="B119" s="117"/>
      <c r="C119" s="118" t="s">
        <v>794</v>
      </c>
      <c r="D119" s="146">
        <f t="array" aca="1" ref="D119" ca="1">SUM(--(_xlfn.UNIQUE(_xlfn._xlws.FILTER($M$2:$M$1011 &amp; "", ($C$2:$C$1011 = C119) * ($M$2:$M$1011 &lt;&gt; ""))) &lt;&gt; ""))</f>
        <v>1</v>
      </c>
      <c r="E119" s="166">
        <f t="shared" ca="1" si="4"/>
        <v>1142</v>
      </c>
      <c r="F119" s="143">
        <v>1</v>
      </c>
      <c r="G119" s="143" t="s">
        <v>128</v>
      </c>
      <c r="H119" s="119">
        <f>_xlfn.XLOOKUP(G119,'🚛 FROTA'!B:B,'🚛 FROTA'!A:A,"")</f>
        <v>20</v>
      </c>
      <c r="I119" s="119"/>
      <c r="J119" s="119" t="str">
        <f>IF(G119="","",_xlfn.XLOOKUP(G119,'🚛 FROTA'!B:B,'🚛 FROTA'!E:E,""))</f>
        <v>3CX</v>
      </c>
      <c r="K119" s="119"/>
      <c r="L119" s="143" t="s">
        <v>795</v>
      </c>
      <c r="M119" s="143" t="s">
        <v>796</v>
      </c>
      <c r="N119" s="145">
        <v>45786</v>
      </c>
      <c r="O119" s="143">
        <v>1</v>
      </c>
      <c r="P119" s="143">
        <v>2</v>
      </c>
      <c r="Q119" s="167">
        <v>571</v>
      </c>
      <c r="R119" s="143" t="s">
        <v>797</v>
      </c>
      <c r="S119" s="122" t="s">
        <v>560</v>
      </c>
      <c r="T119" s="120" t="s">
        <v>522</v>
      </c>
      <c r="U119" s="121" t="s">
        <v>555</v>
      </c>
      <c r="V119" s="119" t="s">
        <v>568</v>
      </c>
      <c r="W119" s="119" t="s">
        <v>798</v>
      </c>
      <c r="X119" s="123" t="s">
        <v>799</v>
      </c>
      <c r="Y119" s="119" t="s">
        <v>800</v>
      </c>
      <c r="Z119" s="130"/>
      <c r="AA119" s="125"/>
      <c r="AB119" s="126"/>
      <c r="AC119" s="127"/>
      <c r="AD119" s="127"/>
      <c r="AE119" s="127"/>
      <c r="AF119" s="127"/>
      <c r="AG119" s="125"/>
      <c r="AH119" s="128">
        <f>IF(OR(R119="A Vista", R119="Crédito", R119="Adiantamento"), N119, IF(R119="Faturado", _xlfn.MINIFS(N:N, C:C, C119)-30, ""))</f>
        <v>45786</v>
      </c>
      <c r="AI119" s="129"/>
      <c r="AJ119" s="129"/>
      <c r="AK119" s="129"/>
      <c r="AL119" s="129"/>
      <c r="AM119" s="129"/>
    </row>
    <row r="120" spans="1:39" ht="18" hidden="1" customHeight="1" x14ac:dyDescent="0.25">
      <c r="A120" s="117">
        <v>119</v>
      </c>
      <c r="B120" s="117"/>
      <c r="C120" s="118" t="s">
        <v>794</v>
      </c>
      <c r="D120" s="146">
        <f t="array" aca="1" ref="D120" ca="1">SUM(--(_xlfn.UNIQUE(_xlfn._xlws.FILTER($M$2:$M$1011 &amp; "", ($C$2:$C$1011 = C120) * ($M$2:$M$1011 &lt;&gt; ""))) &lt;&gt; ""))</f>
        <v>1</v>
      </c>
      <c r="E120" s="166">
        <f t="shared" ca="1" si="4"/>
        <v>1142</v>
      </c>
      <c r="F120" s="143">
        <v>1</v>
      </c>
      <c r="G120" s="143" t="s">
        <v>128</v>
      </c>
      <c r="H120" s="119">
        <f>_xlfn.XLOOKUP(G120,'🚛 FROTA'!B:B,'🚛 FROTA'!A:A,"")</f>
        <v>20</v>
      </c>
      <c r="I120" s="119"/>
      <c r="J120" s="119" t="str">
        <f>IF(G120="","",_xlfn.XLOOKUP(G120,'🚛 FROTA'!B:B,'🚛 FROTA'!E:E,""))</f>
        <v>3CX</v>
      </c>
      <c r="K120" s="119"/>
      <c r="L120" s="143" t="s">
        <v>795</v>
      </c>
      <c r="M120" s="143" t="s">
        <v>796</v>
      </c>
      <c r="N120" s="145">
        <v>45823</v>
      </c>
      <c r="O120" s="143">
        <v>2</v>
      </c>
      <c r="P120" s="143">
        <v>2</v>
      </c>
      <c r="Q120" s="167">
        <v>571</v>
      </c>
      <c r="R120" s="143" t="s">
        <v>554</v>
      </c>
      <c r="S120" s="122" t="s">
        <v>560</v>
      </c>
      <c r="T120" s="120" t="s">
        <v>522</v>
      </c>
      <c r="U120" s="121" t="s">
        <v>555</v>
      </c>
      <c r="V120" s="119" t="s">
        <v>568</v>
      </c>
      <c r="W120" s="119" t="s">
        <v>798</v>
      </c>
      <c r="X120" s="123" t="s">
        <v>799</v>
      </c>
      <c r="Y120" s="119" t="s">
        <v>800</v>
      </c>
      <c r="Z120" s="124">
        <v>5577</v>
      </c>
      <c r="AA120" s="125"/>
      <c r="AB120" s="126"/>
      <c r="AC120" s="127"/>
      <c r="AD120" s="127"/>
      <c r="AE120" s="127"/>
      <c r="AF120" s="127"/>
      <c r="AG120" s="125"/>
      <c r="AH120" s="128">
        <f t="shared" ref="AH120:AH134" ca="1" si="7">IF(OR(R120="A VISTA", R120="C. CRÉDITO", R120="ADIANTAMENTO"), N120, IF(R120="Faturado", _xlfn.MINIFS(N:N, C:C, C120)-30, ""))</f>
        <v>45756</v>
      </c>
      <c r="AI120" s="129"/>
      <c r="AJ120" s="129"/>
      <c r="AK120" s="129"/>
      <c r="AL120" s="129"/>
      <c r="AM120" s="129"/>
    </row>
    <row r="121" spans="1:39" ht="18" hidden="1" customHeight="1" x14ac:dyDescent="0.25">
      <c r="A121" s="117">
        <v>120</v>
      </c>
      <c r="B121" s="117"/>
      <c r="C121" s="118" t="s">
        <v>801</v>
      </c>
      <c r="D121" s="146">
        <f t="array" aca="1" ref="D121" ca="1">SUM(--(_xlfn.UNIQUE(_xlfn._xlws.FILTER($M$2:$M$1011 &amp; "", ($C$2:$C$1011 = C121) * ($M$2:$M$1011 &lt;&gt; ""))) &lt;&gt; ""))</f>
        <v>1</v>
      </c>
      <c r="E121" s="166">
        <f t="shared" ca="1" si="4"/>
        <v>1004.04</v>
      </c>
      <c r="F121" s="143">
        <v>1</v>
      </c>
      <c r="G121" s="143" t="s">
        <v>91</v>
      </c>
      <c r="H121" s="119">
        <f>_xlfn.XLOOKUP(G121,'🚛 FROTA'!B:B,'🚛 FROTA'!A:A,"")</f>
        <v>7</v>
      </c>
      <c r="I121" s="119"/>
      <c r="J121" s="119" t="str">
        <f>IF(G121="","",_xlfn.XLOOKUP(G121,'🚛 FROTA'!B:B,'🚛 FROTA'!E:E,""))</f>
        <v>9.150 Delivery</v>
      </c>
      <c r="K121" s="119" t="str">
        <f>IF(G121="","",_xlfn.XLOOKUP(G121,'🚛 FROTA'!B:B,'🚛 FROTA'!K:K,""))</f>
        <v>Carroceria</v>
      </c>
      <c r="L121" s="143" t="s">
        <v>595</v>
      </c>
      <c r="M121" s="143" t="s">
        <v>802</v>
      </c>
      <c r="N121" s="145">
        <v>45787</v>
      </c>
      <c r="O121" s="143">
        <v>2</v>
      </c>
      <c r="P121" s="143">
        <v>3</v>
      </c>
      <c r="Q121" s="167">
        <v>501.94</v>
      </c>
      <c r="R121" s="143" t="s">
        <v>554</v>
      </c>
      <c r="S121" s="122" t="s">
        <v>560</v>
      </c>
      <c r="T121" s="120" t="s">
        <v>522</v>
      </c>
      <c r="U121" s="121" t="s">
        <v>597</v>
      </c>
      <c r="V121" s="119" t="s">
        <v>598</v>
      </c>
      <c r="W121" s="119" t="s">
        <v>803</v>
      </c>
      <c r="X121" s="123" t="s">
        <v>804</v>
      </c>
      <c r="Y121" s="119"/>
      <c r="Z121" s="130"/>
      <c r="AA121" s="125"/>
      <c r="AB121" s="126"/>
      <c r="AC121" s="127"/>
      <c r="AD121" s="127"/>
      <c r="AE121" s="127"/>
      <c r="AF121" s="127"/>
      <c r="AG121" s="125"/>
      <c r="AH121" s="128">
        <f t="shared" ca="1" si="7"/>
        <v>45757</v>
      </c>
      <c r="AI121" s="129" t="s">
        <v>602</v>
      </c>
      <c r="AJ121" s="129"/>
      <c r="AK121" s="132">
        <f t="shared" ref="AK121:AK126" si="8">IF(Z121="",0,Z121+10000)</f>
        <v>0</v>
      </c>
      <c r="AL121" s="129"/>
      <c r="AM121" s="129"/>
    </row>
    <row r="122" spans="1:39" ht="18" hidden="1" customHeight="1" x14ac:dyDescent="0.25">
      <c r="A122" s="117">
        <v>121</v>
      </c>
      <c r="B122" s="117"/>
      <c r="C122" s="118" t="s">
        <v>801</v>
      </c>
      <c r="D122" s="146">
        <f t="array" aca="1" ref="D122" ca="1">SUM(--(_xlfn.UNIQUE(_xlfn._xlws.FILTER($M$2:$M$1011 &amp; "", ($C$2:$C$1011 = C122) * ($M$2:$M$1011 &lt;&gt; ""))) &lt;&gt; ""))</f>
        <v>1</v>
      </c>
      <c r="E122" s="166">
        <f t="shared" ca="1" si="4"/>
        <v>1004.04</v>
      </c>
      <c r="F122" s="143">
        <v>1</v>
      </c>
      <c r="G122" s="143" t="s">
        <v>91</v>
      </c>
      <c r="H122" s="119">
        <f>_xlfn.XLOOKUP(G122,'🚛 FROTA'!B:B,'🚛 FROTA'!A:A,"")</f>
        <v>7</v>
      </c>
      <c r="I122" s="119"/>
      <c r="J122" s="119" t="str">
        <f>IF(G122="","",_xlfn.XLOOKUP(G122,'🚛 FROTA'!B:B,'🚛 FROTA'!E:E,""))</f>
        <v>9.150 Delivery</v>
      </c>
      <c r="K122" s="119" t="str">
        <f>IF(G122="","",_xlfn.XLOOKUP(G122,'🚛 FROTA'!B:B,'🚛 FROTA'!K:K,""))</f>
        <v>Carroceria</v>
      </c>
      <c r="L122" s="143" t="s">
        <v>595</v>
      </c>
      <c r="M122" s="143" t="s">
        <v>802</v>
      </c>
      <c r="N122" s="145">
        <v>45817</v>
      </c>
      <c r="O122" s="143">
        <v>3</v>
      </c>
      <c r="P122" s="143">
        <v>3</v>
      </c>
      <c r="Q122" s="167">
        <v>502.1</v>
      </c>
      <c r="R122" s="143" t="s">
        <v>554</v>
      </c>
      <c r="S122" s="122" t="s">
        <v>560</v>
      </c>
      <c r="T122" s="120" t="s">
        <v>522</v>
      </c>
      <c r="U122" s="121" t="s">
        <v>597</v>
      </c>
      <c r="V122" s="119" t="s">
        <v>598</v>
      </c>
      <c r="W122" s="119" t="s">
        <v>803</v>
      </c>
      <c r="X122" s="123" t="s">
        <v>804</v>
      </c>
      <c r="Y122" s="119"/>
      <c r="Z122" s="130"/>
      <c r="AA122" s="125"/>
      <c r="AB122" s="126"/>
      <c r="AC122" s="127"/>
      <c r="AD122" s="127"/>
      <c r="AE122" s="127"/>
      <c r="AF122" s="127"/>
      <c r="AG122" s="125"/>
      <c r="AH122" s="128">
        <f t="shared" ca="1" si="7"/>
        <v>45757</v>
      </c>
      <c r="AI122" s="129" t="s">
        <v>602</v>
      </c>
      <c r="AJ122" s="129"/>
      <c r="AK122" s="132">
        <f t="shared" si="8"/>
        <v>0</v>
      </c>
      <c r="AL122" s="129"/>
      <c r="AM122" s="129"/>
    </row>
    <row r="123" spans="1:39" ht="18" hidden="1" customHeight="1" x14ac:dyDescent="0.25">
      <c r="A123" s="117">
        <v>122</v>
      </c>
      <c r="B123" s="117"/>
      <c r="C123" s="118" t="s">
        <v>805</v>
      </c>
      <c r="D123" s="146">
        <f t="array" aca="1" ref="D123" ca="1">SUM(--(_xlfn.UNIQUE(_xlfn._xlws.FILTER($M$2:$M$1011 &amp; "", ($C$2:$C$1011 = C123) * ($M$2:$M$1011 &lt;&gt; ""))) &lt;&gt; ""))</f>
        <v>1</v>
      </c>
      <c r="E123" s="166">
        <f t="shared" ca="1" si="4"/>
        <v>1730</v>
      </c>
      <c r="F123" s="143">
        <v>1</v>
      </c>
      <c r="G123" s="143" t="s">
        <v>169</v>
      </c>
      <c r="H123" s="119">
        <f>_xlfn.XLOOKUP(G123,'🚛 FROTA'!B:B,'🚛 FROTA'!A:A,"")</f>
        <v>43</v>
      </c>
      <c r="I123" s="119"/>
      <c r="J123" s="119" t="str">
        <f>IF(G123="","",_xlfn.XLOOKUP(G123,'🚛 FROTA'!B:B,'🚛 FROTA'!E:E,""))</f>
        <v>Express Delivery</v>
      </c>
      <c r="K123" s="119" t="str">
        <f>IF(G123="","",_xlfn.XLOOKUP(G123,'🚛 FROTA'!B:B,'🚛 FROTA'!K:K,""))</f>
        <v>Carroceria</v>
      </c>
      <c r="L123" s="143" t="s">
        <v>552</v>
      </c>
      <c r="M123" s="143" t="s">
        <v>806</v>
      </c>
      <c r="N123" s="145">
        <v>45788</v>
      </c>
      <c r="O123" s="143">
        <v>1</v>
      </c>
      <c r="P123" s="143">
        <v>4</v>
      </c>
      <c r="Q123" s="167">
        <v>432.5</v>
      </c>
      <c r="R123" s="143" t="s">
        <v>554</v>
      </c>
      <c r="S123" s="122" t="s">
        <v>534</v>
      </c>
      <c r="T123" s="120" t="s">
        <v>522</v>
      </c>
      <c r="U123" s="121" t="s">
        <v>597</v>
      </c>
      <c r="V123" s="119" t="s">
        <v>598</v>
      </c>
      <c r="W123" s="119" t="s">
        <v>807</v>
      </c>
      <c r="X123" s="123" t="s">
        <v>808</v>
      </c>
      <c r="Y123" s="119"/>
      <c r="Z123" s="124">
        <v>41000</v>
      </c>
      <c r="AA123" s="125"/>
      <c r="AB123" s="126"/>
      <c r="AC123" s="127"/>
      <c r="AD123" s="127"/>
      <c r="AE123" s="127"/>
      <c r="AF123" s="127"/>
      <c r="AG123" s="125"/>
      <c r="AH123" s="128">
        <f t="shared" ca="1" si="7"/>
        <v>45758</v>
      </c>
      <c r="AI123" s="129" t="s">
        <v>559</v>
      </c>
      <c r="AJ123" s="129"/>
      <c r="AK123" s="132">
        <f t="shared" si="8"/>
        <v>51000</v>
      </c>
      <c r="AL123" s="129"/>
      <c r="AM123" s="129"/>
    </row>
    <row r="124" spans="1:39" ht="18" hidden="1" customHeight="1" x14ac:dyDescent="0.25">
      <c r="A124" s="117">
        <v>123</v>
      </c>
      <c r="B124" s="117"/>
      <c r="C124" s="118" t="s">
        <v>805</v>
      </c>
      <c r="D124" s="146">
        <f t="array" aca="1" ref="D124" ca="1">SUM(--(_xlfn.UNIQUE(_xlfn._xlws.FILTER($M$2:$M$1011 &amp; "", ($C$2:$C$1011 = C124) * ($M$2:$M$1011 &lt;&gt; ""))) &lt;&gt; ""))</f>
        <v>1</v>
      </c>
      <c r="E124" s="166">
        <f t="shared" ca="1" si="4"/>
        <v>1730</v>
      </c>
      <c r="F124" s="143">
        <v>1</v>
      </c>
      <c r="G124" s="143" t="s">
        <v>169</v>
      </c>
      <c r="H124" s="119">
        <f>_xlfn.XLOOKUP(G124,'🚛 FROTA'!B:B,'🚛 FROTA'!A:A,"")</f>
        <v>43</v>
      </c>
      <c r="I124" s="119"/>
      <c r="J124" s="119" t="str">
        <f>IF(G124="","",_xlfn.XLOOKUP(G124,'🚛 FROTA'!B:B,'🚛 FROTA'!E:E,""))</f>
        <v>Express Delivery</v>
      </c>
      <c r="K124" s="119" t="str">
        <f>IF(G124="","",_xlfn.XLOOKUP(G124,'🚛 FROTA'!B:B,'🚛 FROTA'!K:K,""))</f>
        <v>Carroceria</v>
      </c>
      <c r="L124" s="143" t="s">
        <v>552</v>
      </c>
      <c r="M124" s="143" t="s">
        <v>806</v>
      </c>
      <c r="N124" s="145">
        <v>45788</v>
      </c>
      <c r="O124" s="143">
        <v>2</v>
      </c>
      <c r="P124" s="143">
        <v>4</v>
      </c>
      <c r="Q124" s="167">
        <v>432.5</v>
      </c>
      <c r="R124" s="143" t="s">
        <v>554</v>
      </c>
      <c r="S124" s="122" t="s">
        <v>534</v>
      </c>
      <c r="T124" s="120" t="s">
        <v>522</v>
      </c>
      <c r="U124" s="121" t="s">
        <v>597</v>
      </c>
      <c r="V124" s="119" t="s">
        <v>598</v>
      </c>
      <c r="W124" s="119" t="s">
        <v>807</v>
      </c>
      <c r="X124" s="123" t="s">
        <v>808</v>
      </c>
      <c r="Y124" s="119"/>
      <c r="Z124" s="124">
        <v>41000</v>
      </c>
      <c r="AA124" s="125"/>
      <c r="AB124" s="126"/>
      <c r="AC124" s="127"/>
      <c r="AD124" s="127"/>
      <c r="AE124" s="127"/>
      <c r="AF124" s="127"/>
      <c r="AG124" s="125"/>
      <c r="AH124" s="128">
        <f t="shared" ca="1" si="7"/>
        <v>45758</v>
      </c>
      <c r="AI124" s="129" t="s">
        <v>559</v>
      </c>
      <c r="AJ124" s="129"/>
      <c r="AK124" s="132">
        <f t="shared" si="8"/>
        <v>51000</v>
      </c>
      <c r="AL124" s="129"/>
      <c r="AM124" s="129"/>
    </row>
    <row r="125" spans="1:39" ht="18" hidden="1" customHeight="1" x14ac:dyDescent="0.25">
      <c r="A125" s="117">
        <v>124</v>
      </c>
      <c r="B125" s="117"/>
      <c r="C125" s="118" t="s">
        <v>805</v>
      </c>
      <c r="D125" s="146">
        <f t="array" aca="1" ref="D125" ca="1">SUM(--(_xlfn.UNIQUE(_xlfn._xlws.FILTER($M$2:$M$1011 &amp; "", ($C$2:$C$1011 = C125) * ($M$2:$M$1011 &lt;&gt; ""))) &lt;&gt; ""))</f>
        <v>1</v>
      </c>
      <c r="E125" s="166">
        <f t="shared" ca="1" si="4"/>
        <v>1730</v>
      </c>
      <c r="F125" s="143">
        <v>1</v>
      </c>
      <c r="G125" s="143" t="s">
        <v>169</v>
      </c>
      <c r="H125" s="119">
        <f>_xlfn.XLOOKUP(G125,'🚛 FROTA'!B:B,'🚛 FROTA'!A:A,"")</f>
        <v>43</v>
      </c>
      <c r="I125" s="119"/>
      <c r="J125" s="119" t="str">
        <f>IF(G125="","",_xlfn.XLOOKUP(G125,'🚛 FROTA'!B:B,'🚛 FROTA'!E:E,""))</f>
        <v>Express Delivery</v>
      </c>
      <c r="K125" s="119" t="str">
        <f>IF(G125="","",_xlfn.XLOOKUP(G125,'🚛 FROTA'!B:B,'🚛 FROTA'!K:K,""))</f>
        <v>Carroceria</v>
      </c>
      <c r="L125" s="143" t="s">
        <v>552</v>
      </c>
      <c r="M125" s="143" t="s">
        <v>806</v>
      </c>
      <c r="N125" s="145">
        <v>45818</v>
      </c>
      <c r="O125" s="143">
        <v>3</v>
      </c>
      <c r="P125" s="143">
        <v>4</v>
      </c>
      <c r="Q125" s="167">
        <v>432.5</v>
      </c>
      <c r="R125" s="143" t="s">
        <v>554</v>
      </c>
      <c r="S125" s="122" t="s">
        <v>534</v>
      </c>
      <c r="T125" s="120" t="s">
        <v>522</v>
      </c>
      <c r="U125" s="121" t="s">
        <v>597</v>
      </c>
      <c r="V125" s="119" t="s">
        <v>598</v>
      </c>
      <c r="W125" s="119" t="s">
        <v>807</v>
      </c>
      <c r="X125" s="123" t="s">
        <v>808</v>
      </c>
      <c r="Y125" s="119"/>
      <c r="Z125" s="124">
        <v>41000</v>
      </c>
      <c r="AA125" s="125"/>
      <c r="AB125" s="126"/>
      <c r="AC125" s="127"/>
      <c r="AD125" s="127"/>
      <c r="AE125" s="127"/>
      <c r="AF125" s="127"/>
      <c r="AG125" s="125"/>
      <c r="AH125" s="128">
        <f t="shared" ca="1" si="7"/>
        <v>45758</v>
      </c>
      <c r="AI125" s="129" t="s">
        <v>559</v>
      </c>
      <c r="AJ125" s="129"/>
      <c r="AK125" s="132">
        <f t="shared" si="8"/>
        <v>51000</v>
      </c>
      <c r="AL125" s="129"/>
      <c r="AM125" s="129"/>
    </row>
    <row r="126" spans="1:39" ht="18" hidden="1" customHeight="1" x14ac:dyDescent="0.25">
      <c r="A126" s="117">
        <v>125</v>
      </c>
      <c r="B126" s="117"/>
      <c r="C126" s="118" t="s">
        <v>805</v>
      </c>
      <c r="D126" s="146">
        <f t="array" aca="1" ref="D126" ca="1">SUM(--(_xlfn.UNIQUE(_xlfn._xlws.FILTER($M$2:$M$1011 &amp; "", ($C$2:$C$1011 = C126) * ($M$2:$M$1011 &lt;&gt; ""))) &lt;&gt; ""))</f>
        <v>1</v>
      </c>
      <c r="E126" s="166">
        <f t="shared" ca="1" si="4"/>
        <v>1730</v>
      </c>
      <c r="F126" s="143">
        <v>1</v>
      </c>
      <c r="G126" s="143" t="s">
        <v>169</v>
      </c>
      <c r="H126" s="119">
        <f>_xlfn.XLOOKUP(G126,'🚛 FROTA'!B:B,'🚛 FROTA'!A:A,"")</f>
        <v>43</v>
      </c>
      <c r="I126" s="119"/>
      <c r="J126" s="119" t="str">
        <f>IF(G126="","",_xlfn.XLOOKUP(G126,'🚛 FROTA'!B:B,'🚛 FROTA'!E:E,""))</f>
        <v>Express Delivery</v>
      </c>
      <c r="K126" s="119" t="str">
        <f>IF(G126="","",_xlfn.XLOOKUP(G126,'🚛 FROTA'!B:B,'🚛 FROTA'!K:K,""))</f>
        <v>Carroceria</v>
      </c>
      <c r="L126" s="143" t="s">
        <v>552</v>
      </c>
      <c r="M126" s="143" t="s">
        <v>806</v>
      </c>
      <c r="N126" s="145">
        <v>45848</v>
      </c>
      <c r="O126" s="143">
        <v>4</v>
      </c>
      <c r="P126" s="143">
        <v>4</v>
      </c>
      <c r="Q126" s="167">
        <v>432.5</v>
      </c>
      <c r="R126" s="143" t="s">
        <v>554</v>
      </c>
      <c r="S126" s="122" t="s">
        <v>534</v>
      </c>
      <c r="T126" s="120" t="s">
        <v>522</v>
      </c>
      <c r="U126" s="121" t="s">
        <v>597</v>
      </c>
      <c r="V126" s="119" t="s">
        <v>598</v>
      </c>
      <c r="W126" s="119" t="s">
        <v>807</v>
      </c>
      <c r="X126" s="123" t="s">
        <v>808</v>
      </c>
      <c r="Y126" s="119"/>
      <c r="Z126" s="124">
        <v>41000</v>
      </c>
      <c r="AA126" s="125"/>
      <c r="AB126" s="126"/>
      <c r="AC126" s="127"/>
      <c r="AD126" s="127"/>
      <c r="AE126" s="127"/>
      <c r="AF126" s="127"/>
      <c r="AG126" s="125"/>
      <c r="AH126" s="128">
        <f t="shared" ca="1" si="7"/>
        <v>45758</v>
      </c>
      <c r="AI126" s="129" t="s">
        <v>559</v>
      </c>
      <c r="AJ126" s="129"/>
      <c r="AK126" s="132">
        <f t="shared" si="8"/>
        <v>51000</v>
      </c>
      <c r="AL126" s="129"/>
      <c r="AM126" s="129"/>
    </row>
    <row r="127" spans="1:39" ht="18" hidden="1" customHeight="1" x14ac:dyDescent="0.25">
      <c r="A127" s="117">
        <v>126</v>
      </c>
      <c r="B127" s="117"/>
      <c r="C127" s="118" t="s">
        <v>809</v>
      </c>
      <c r="D127" s="146">
        <f t="array" aca="1" ref="D127" ca="1">SUM(--(_xlfn.UNIQUE(_xlfn._xlws.FILTER($M$2:$M$1011 &amp; "", ($C$2:$C$1011 = C127) * ($M$2:$M$1011 &lt;&gt; ""))) &lt;&gt; ""))</f>
        <v>1</v>
      </c>
      <c r="E127" s="166">
        <f t="shared" ca="1" si="4"/>
        <v>447.24</v>
      </c>
      <c r="F127" s="143">
        <v>1</v>
      </c>
      <c r="G127" s="143" t="s">
        <v>85</v>
      </c>
      <c r="H127" s="119">
        <f>_xlfn.XLOOKUP(G127,'🚛 FROTA'!B:B,'🚛 FROTA'!A:A,"")</f>
        <v>6</v>
      </c>
      <c r="I127" s="119"/>
      <c r="J127" s="119" t="str">
        <f>IF(G127="","",_xlfn.XLOOKUP(G127,'🚛 FROTA'!B:B,'🚛 FROTA'!E:E,""))</f>
        <v>13.180 Constellation</v>
      </c>
      <c r="K127" s="119" t="str">
        <f>IF(G127="","",_xlfn.XLOOKUP(G127,'🚛 FROTA'!B:B,'🚛 FROTA'!K:K,""))</f>
        <v>Munck</v>
      </c>
      <c r="L127" s="143" t="s">
        <v>595</v>
      </c>
      <c r="M127" s="143" t="s">
        <v>810</v>
      </c>
      <c r="N127" s="145">
        <v>45788</v>
      </c>
      <c r="O127" s="143">
        <v>2</v>
      </c>
      <c r="P127" s="143">
        <v>2</v>
      </c>
      <c r="Q127" s="167">
        <v>447.24</v>
      </c>
      <c r="R127" s="143" t="s">
        <v>554</v>
      </c>
      <c r="S127" s="122" t="s">
        <v>560</v>
      </c>
      <c r="T127" s="120" t="s">
        <v>522</v>
      </c>
      <c r="U127" s="121" t="s">
        <v>555</v>
      </c>
      <c r="V127" s="119" t="s">
        <v>619</v>
      </c>
      <c r="W127" s="119" t="s">
        <v>811</v>
      </c>
      <c r="X127" s="123" t="s">
        <v>812</v>
      </c>
      <c r="Y127" s="119"/>
      <c r="Z127" s="130"/>
      <c r="AA127" s="125"/>
      <c r="AB127" s="126"/>
      <c r="AC127" s="127"/>
      <c r="AD127" s="127"/>
      <c r="AE127" s="127"/>
      <c r="AF127" s="127"/>
      <c r="AG127" s="125"/>
      <c r="AH127" s="128">
        <f t="shared" ca="1" si="7"/>
        <v>45758</v>
      </c>
      <c r="AI127" s="129" t="s">
        <v>602</v>
      </c>
      <c r="AJ127" s="129"/>
      <c r="AK127" s="129"/>
      <c r="AL127" s="129"/>
      <c r="AM127" s="129"/>
    </row>
    <row r="128" spans="1:39" ht="18" hidden="1" customHeight="1" x14ac:dyDescent="0.25">
      <c r="A128" s="117">
        <v>127</v>
      </c>
      <c r="B128" s="117"/>
      <c r="C128" s="118" t="s">
        <v>813</v>
      </c>
      <c r="D128" s="146">
        <f t="array" aca="1" ref="D128" ca="1">SUM(--(_xlfn.UNIQUE(_xlfn._xlws.FILTER($M$2:$M$1011 &amp; "", ($C$2:$C$1011 = C128) * ($M$2:$M$1011 &lt;&gt; ""))) &lt;&gt; ""))</f>
        <v>2</v>
      </c>
      <c r="E128" s="166">
        <f t="shared" ca="1" si="4"/>
        <v>4202.25</v>
      </c>
      <c r="F128" s="143">
        <v>1</v>
      </c>
      <c r="G128" s="143" t="s">
        <v>155</v>
      </c>
      <c r="H128" s="119">
        <f>_xlfn.XLOOKUP(G128,'🚛 FROTA'!B:B,'🚛 FROTA'!A:A,"")</f>
        <v>34</v>
      </c>
      <c r="I128" s="119"/>
      <c r="J128" s="119" t="str">
        <f>IF(G128="","",_xlfn.XLOOKUP(G128,'🚛 FROTA'!B:B,'🚛 FROTA'!E:E,""))</f>
        <v>9.170 Delivery</v>
      </c>
      <c r="K128" s="119" t="str">
        <f>IF(G128="","",_xlfn.XLOOKUP(G128,'🚛 FROTA'!B:B,'🚛 FROTA'!K:K,""))</f>
        <v>Basculante</v>
      </c>
      <c r="L128" s="143" t="s">
        <v>595</v>
      </c>
      <c r="M128" s="143" t="s">
        <v>814</v>
      </c>
      <c r="N128" s="145">
        <v>45788</v>
      </c>
      <c r="O128" s="143">
        <v>2</v>
      </c>
      <c r="P128" s="143">
        <v>4</v>
      </c>
      <c r="Q128" s="167">
        <v>1013.75</v>
      </c>
      <c r="R128" s="143" t="s">
        <v>554</v>
      </c>
      <c r="S128" s="122" t="s">
        <v>560</v>
      </c>
      <c r="T128" s="120" t="s">
        <v>522</v>
      </c>
      <c r="U128" s="121" t="s">
        <v>555</v>
      </c>
      <c r="V128" s="119" t="s">
        <v>815</v>
      </c>
      <c r="W128" s="119" t="s">
        <v>816</v>
      </c>
      <c r="X128" s="123" t="s">
        <v>817</v>
      </c>
      <c r="Y128" s="119"/>
      <c r="Z128" s="130"/>
      <c r="AA128" s="125"/>
      <c r="AB128" s="126"/>
      <c r="AC128" s="127"/>
      <c r="AD128" s="127"/>
      <c r="AE128" s="127"/>
      <c r="AF128" s="127"/>
      <c r="AG128" s="125"/>
      <c r="AH128" s="128">
        <f t="shared" ca="1" si="7"/>
        <v>45758</v>
      </c>
      <c r="AI128" s="129" t="s">
        <v>602</v>
      </c>
      <c r="AJ128" s="129"/>
      <c r="AK128" s="129"/>
      <c r="AL128" s="129"/>
      <c r="AM128" s="129"/>
    </row>
    <row r="129" spans="1:39" ht="18" hidden="1" customHeight="1" x14ac:dyDescent="0.25">
      <c r="A129" s="117">
        <v>128</v>
      </c>
      <c r="B129" s="117"/>
      <c r="C129" s="118" t="s">
        <v>813</v>
      </c>
      <c r="D129" s="146">
        <f t="array" aca="1" ref="D129" ca="1">SUM(--(_xlfn.UNIQUE(_xlfn._xlws.FILTER($M$2:$M$1011 &amp; "", ($C$2:$C$1011 = C129) * ($M$2:$M$1011 &lt;&gt; ""))) &lt;&gt; ""))</f>
        <v>2</v>
      </c>
      <c r="E129" s="166">
        <f t="shared" ca="1" si="4"/>
        <v>4202.25</v>
      </c>
      <c r="F129" s="143">
        <v>1</v>
      </c>
      <c r="G129" s="143" t="s">
        <v>155</v>
      </c>
      <c r="H129" s="119">
        <f>_xlfn.XLOOKUP(G129,'🚛 FROTA'!B:B,'🚛 FROTA'!A:A,"")</f>
        <v>34</v>
      </c>
      <c r="I129" s="119"/>
      <c r="J129" s="119" t="str">
        <f>IF(G129="","",_xlfn.XLOOKUP(G129,'🚛 FROTA'!B:B,'🚛 FROTA'!E:E,""))</f>
        <v>9.170 Delivery</v>
      </c>
      <c r="K129" s="119" t="str">
        <f>IF(G129="","",_xlfn.XLOOKUP(G129,'🚛 FROTA'!B:B,'🚛 FROTA'!K:K,""))</f>
        <v>Basculante</v>
      </c>
      <c r="L129" s="143" t="s">
        <v>552</v>
      </c>
      <c r="M129" s="143" t="s">
        <v>818</v>
      </c>
      <c r="N129" s="145">
        <v>45796</v>
      </c>
      <c r="O129" s="143">
        <v>2</v>
      </c>
      <c r="P129" s="143">
        <v>3</v>
      </c>
      <c r="Q129" s="167">
        <v>580.5</v>
      </c>
      <c r="R129" s="143" t="s">
        <v>554</v>
      </c>
      <c r="S129" s="122" t="s">
        <v>534</v>
      </c>
      <c r="T129" s="120" t="s">
        <v>522</v>
      </c>
      <c r="U129" s="121" t="s">
        <v>555</v>
      </c>
      <c r="V129" s="119" t="s">
        <v>815</v>
      </c>
      <c r="W129" s="119" t="s">
        <v>819</v>
      </c>
      <c r="X129" s="123" t="s">
        <v>820</v>
      </c>
      <c r="Y129" s="119"/>
      <c r="Z129" s="130"/>
      <c r="AA129" s="125"/>
      <c r="AB129" s="126"/>
      <c r="AC129" s="127"/>
      <c r="AD129" s="127"/>
      <c r="AE129" s="127"/>
      <c r="AF129" s="127"/>
      <c r="AG129" s="125"/>
      <c r="AH129" s="128">
        <f t="shared" ca="1" si="7"/>
        <v>45758</v>
      </c>
      <c r="AI129" s="129" t="s">
        <v>559</v>
      </c>
      <c r="AJ129" s="129"/>
      <c r="AK129" s="129"/>
      <c r="AL129" s="129"/>
      <c r="AM129" s="129"/>
    </row>
    <row r="130" spans="1:39" ht="18" hidden="1" customHeight="1" x14ac:dyDescent="0.25">
      <c r="A130" s="117">
        <v>129</v>
      </c>
      <c r="B130" s="117"/>
      <c r="C130" s="118" t="s">
        <v>813</v>
      </c>
      <c r="D130" s="146">
        <f t="array" aca="1" ref="D130" ca="1">SUM(--(_xlfn.UNIQUE(_xlfn._xlws.FILTER($M$2:$M$1011 &amp; "", ($C$2:$C$1011 = C130) * ($M$2:$M$1011 &lt;&gt; ""))) &lt;&gt; ""))</f>
        <v>2</v>
      </c>
      <c r="E130" s="166">
        <f t="shared" ref="E130:E193" ca="1" si="9">SUMIF(C:C, C130, Q:Q)</f>
        <v>4202.25</v>
      </c>
      <c r="F130" s="143">
        <v>1</v>
      </c>
      <c r="G130" s="143" t="s">
        <v>155</v>
      </c>
      <c r="H130" s="119">
        <f>_xlfn.XLOOKUP(G130,'🚛 FROTA'!B:B,'🚛 FROTA'!A:A,"")</f>
        <v>34</v>
      </c>
      <c r="I130" s="119"/>
      <c r="J130" s="119" t="str">
        <f>IF(G130="","",_xlfn.XLOOKUP(G130,'🚛 FROTA'!B:B,'🚛 FROTA'!E:E,""))</f>
        <v>9.170 Delivery</v>
      </c>
      <c r="K130" s="119" t="str">
        <f>IF(G130="","",_xlfn.XLOOKUP(G130,'🚛 FROTA'!B:B,'🚛 FROTA'!K:K,""))</f>
        <v>Basculante</v>
      </c>
      <c r="L130" s="143" t="s">
        <v>595</v>
      </c>
      <c r="M130" s="143" t="s">
        <v>814</v>
      </c>
      <c r="N130" s="145">
        <v>45818</v>
      </c>
      <c r="O130" s="143">
        <v>3</v>
      </c>
      <c r="P130" s="143">
        <v>4</v>
      </c>
      <c r="Q130" s="167">
        <v>1013.75</v>
      </c>
      <c r="R130" s="143" t="s">
        <v>554</v>
      </c>
      <c r="S130" s="122" t="s">
        <v>560</v>
      </c>
      <c r="T130" s="120" t="s">
        <v>522</v>
      </c>
      <c r="U130" s="121" t="s">
        <v>555</v>
      </c>
      <c r="V130" s="119" t="s">
        <v>815</v>
      </c>
      <c r="W130" s="119" t="s">
        <v>816</v>
      </c>
      <c r="X130" s="123" t="s">
        <v>817</v>
      </c>
      <c r="Y130" s="119"/>
      <c r="Z130" s="130"/>
      <c r="AA130" s="125"/>
      <c r="AB130" s="126"/>
      <c r="AC130" s="127"/>
      <c r="AD130" s="127"/>
      <c r="AE130" s="127"/>
      <c r="AF130" s="127"/>
      <c r="AG130" s="125"/>
      <c r="AH130" s="128">
        <f t="shared" ca="1" si="7"/>
        <v>45758</v>
      </c>
      <c r="AI130" s="129" t="s">
        <v>602</v>
      </c>
      <c r="AJ130" s="129"/>
      <c r="AK130" s="129"/>
      <c r="AL130" s="129"/>
      <c r="AM130" s="129"/>
    </row>
    <row r="131" spans="1:39" ht="18" hidden="1" customHeight="1" x14ac:dyDescent="0.25">
      <c r="A131" s="117">
        <v>130</v>
      </c>
      <c r="B131" s="117"/>
      <c r="C131" s="118" t="s">
        <v>813</v>
      </c>
      <c r="D131" s="146">
        <f t="array" aca="1" ref="D131" ca="1">SUM(--(_xlfn.UNIQUE(_xlfn._xlws.FILTER($M$2:$M$1011 &amp; "", ($C$2:$C$1011 = C131) * ($M$2:$M$1011 &lt;&gt; ""))) &lt;&gt; ""))</f>
        <v>2</v>
      </c>
      <c r="E131" s="166">
        <f t="shared" ca="1" si="9"/>
        <v>4202.25</v>
      </c>
      <c r="F131" s="143">
        <v>1</v>
      </c>
      <c r="G131" s="143" t="s">
        <v>155</v>
      </c>
      <c r="H131" s="119">
        <f>_xlfn.XLOOKUP(G131,'🚛 FROTA'!B:B,'🚛 FROTA'!A:A,"")</f>
        <v>34</v>
      </c>
      <c r="I131" s="119"/>
      <c r="J131" s="119" t="str">
        <f>IF(G131="","",_xlfn.XLOOKUP(G131,'🚛 FROTA'!B:B,'🚛 FROTA'!E:E,""))</f>
        <v>9.170 Delivery</v>
      </c>
      <c r="K131" s="119" t="str">
        <f>IF(G131="","",_xlfn.XLOOKUP(G131,'🚛 FROTA'!B:B,'🚛 FROTA'!K:K,""))</f>
        <v>Basculante</v>
      </c>
      <c r="L131" s="143" t="s">
        <v>552</v>
      </c>
      <c r="M131" s="143" t="s">
        <v>818</v>
      </c>
      <c r="N131" s="145">
        <v>45826</v>
      </c>
      <c r="O131" s="143">
        <v>3</v>
      </c>
      <c r="P131" s="143">
        <v>3</v>
      </c>
      <c r="Q131" s="167">
        <v>580.5</v>
      </c>
      <c r="R131" s="143" t="s">
        <v>554</v>
      </c>
      <c r="S131" s="122" t="s">
        <v>534</v>
      </c>
      <c r="T131" s="120" t="s">
        <v>522</v>
      </c>
      <c r="U131" s="121" t="s">
        <v>555</v>
      </c>
      <c r="V131" s="119" t="s">
        <v>815</v>
      </c>
      <c r="W131" s="119" t="s">
        <v>819</v>
      </c>
      <c r="X131" s="123" t="s">
        <v>820</v>
      </c>
      <c r="Y131" s="119"/>
      <c r="Z131" s="130"/>
      <c r="AA131" s="125"/>
      <c r="AB131" s="126"/>
      <c r="AC131" s="127"/>
      <c r="AD131" s="127"/>
      <c r="AE131" s="127"/>
      <c r="AF131" s="127"/>
      <c r="AG131" s="125"/>
      <c r="AH131" s="128">
        <f t="shared" ca="1" si="7"/>
        <v>45758</v>
      </c>
      <c r="AI131" s="129" t="s">
        <v>559</v>
      </c>
      <c r="AJ131" s="129"/>
      <c r="AK131" s="129"/>
      <c r="AL131" s="129"/>
      <c r="AM131" s="129"/>
    </row>
    <row r="132" spans="1:39" ht="18" hidden="1" customHeight="1" x14ac:dyDescent="0.25">
      <c r="A132" s="117">
        <v>131</v>
      </c>
      <c r="B132" s="117"/>
      <c r="C132" s="118" t="s">
        <v>813</v>
      </c>
      <c r="D132" s="146">
        <f t="array" aca="1" ref="D132" ca="1">SUM(--(_xlfn.UNIQUE(_xlfn._xlws.FILTER($M$2:$M$1011 &amp; "", ($C$2:$C$1011 = C132) * ($M$2:$M$1011 &lt;&gt; ""))) &lt;&gt; ""))</f>
        <v>2</v>
      </c>
      <c r="E132" s="166">
        <f t="shared" ca="1" si="9"/>
        <v>4202.25</v>
      </c>
      <c r="F132" s="143">
        <v>1</v>
      </c>
      <c r="G132" s="143" t="s">
        <v>155</v>
      </c>
      <c r="H132" s="119">
        <f>_xlfn.XLOOKUP(G132,'🚛 FROTA'!B:B,'🚛 FROTA'!A:A,"")</f>
        <v>34</v>
      </c>
      <c r="I132" s="119"/>
      <c r="J132" s="119" t="str">
        <f>IF(G132="","",_xlfn.XLOOKUP(G132,'🚛 FROTA'!B:B,'🚛 FROTA'!E:E,""))</f>
        <v>9.170 Delivery</v>
      </c>
      <c r="K132" s="119" t="str">
        <f>IF(G132="","",_xlfn.XLOOKUP(G132,'🚛 FROTA'!B:B,'🚛 FROTA'!K:K,""))</f>
        <v>Basculante</v>
      </c>
      <c r="L132" s="143" t="s">
        <v>595</v>
      </c>
      <c r="M132" s="143" t="s">
        <v>814</v>
      </c>
      <c r="N132" s="145">
        <v>45848</v>
      </c>
      <c r="O132" s="143">
        <v>4</v>
      </c>
      <c r="P132" s="143">
        <v>4</v>
      </c>
      <c r="Q132" s="167">
        <v>1013.75</v>
      </c>
      <c r="R132" s="143" t="s">
        <v>554</v>
      </c>
      <c r="S132" s="122" t="s">
        <v>560</v>
      </c>
      <c r="T132" s="120" t="s">
        <v>522</v>
      </c>
      <c r="U132" s="121" t="s">
        <v>555</v>
      </c>
      <c r="V132" s="119" t="s">
        <v>815</v>
      </c>
      <c r="W132" s="119" t="s">
        <v>816</v>
      </c>
      <c r="X132" s="123" t="s">
        <v>817</v>
      </c>
      <c r="Y132" s="119"/>
      <c r="Z132" s="130"/>
      <c r="AA132" s="125"/>
      <c r="AB132" s="126"/>
      <c r="AC132" s="127"/>
      <c r="AD132" s="127"/>
      <c r="AE132" s="127"/>
      <c r="AF132" s="127"/>
      <c r="AG132" s="125"/>
      <c r="AH132" s="128">
        <f t="shared" ca="1" si="7"/>
        <v>45758</v>
      </c>
      <c r="AI132" s="129" t="s">
        <v>602</v>
      </c>
      <c r="AJ132" s="129"/>
      <c r="AK132" s="129"/>
      <c r="AL132" s="129"/>
      <c r="AM132" s="129"/>
    </row>
    <row r="133" spans="1:39" ht="18" hidden="1" customHeight="1" x14ac:dyDescent="0.25">
      <c r="A133" s="117">
        <v>132</v>
      </c>
      <c r="B133" s="117"/>
      <c r="C133" s="118" t="s">
        <v>821</v>
      </c>
      <c r="D133" s="146">
        <f t="array" aca="1" ref="D133" ca="1">SUM(--(_xlfn.UNIQUE(_xlfn._xlws.FILTER($M$2:$M$1011 &amp; "", ($C$2:$C$1011 = C133) * ($M$2:$M$1011 &lt;&gt; ""))) &lt;&gt; ""))</f>
        <v>1</v>
      </c>
      <c r="E133" s="166">
        <f t="shared" ca="1" si="9"/>
        <v>639.20000000000005</v>
      </c>
      <c r="F133" s="143">
        <v>1</v>
      </c>
      <c r="G133" s="143" t="s">
        <v>119</v>
      </c>
      <c r="H133" s="119">
        <f>_xlfn.XLOOKUP(G133,'🚛 FROTA'!B:B,'🚛 FROTA'!A:A,"")</f>
        <v>17</v>
      </c>
      <c r="I133" s="119"/>
      <c r="J133" s="119" t="str">
        <f>IF(G133="","",_xlfn.XLOOKUP(G133,'🚛 FROTA'!B:B,'🚛 FROTA'!E:E,""))</f>
        <v>CAT 416F2</v>
      </c>
      <c r="K133" s="119"/>
      <c r="L133" s="143" t="s">
        <v>822</v>
      </c>
      <c r="M133" s="143" t="s">
        <v>823</v>
      </c>
      <c r="N133" s="145">
        <v>45789</v>
      </c>
      <c r="O133" s="143">
        <v>1</v>
      </c>
      <c r="P133" s="143">
        <v>1</v>
      </c>
      <c r="Q133" s="167">
        <v>639.20000000000005</v>
      </c>
      <c r="R133" s="143" t="s">
        <v>554</v>
      </c>
      <c r="S133" s="122" t="s">
        <v>560</v>
      </c>
      <c r="T133" s="120" t="s">
        <v>522</v>
      </c>
      <c r="U133" s="121" t="s">
        <v>555</v>
      </c>
      <c r="V133" s="119" t="s">
        <v>640</v>
      </c>
      <c r="W133" s="119" t="s">
        <v>824</v>
      </c>
      <c r="X133" s="123" t="s">
        <v>825</v>
      </c>
      <c r="Y133" s="119"/>
      <c r="Z133" s="130"/>
      <c r="AA133" s="125"/>
      <c r="AB133" s="126"/>
      <c r="AC133" s="127"/>
      <c r="AD133" s="127"/>
      <c r="AE133" s="127"/>
      <c r="AF133" s="127"/>
      <c r="AG133" s="125"/>
      <c r="AH133" s="128">
        <f t="shared" ca="1" si="7"/>
        <v>45759</v>
      </c>
      <c r="AI133" s="129"/>
      <c r="AJ133" s="129"/>
      <c r="AK133" s="129"/>
      <c r="AL133" s="129"/>
      <c r="AM133" s="129"/>
    </row>
    <row r="134" spans="1:39" ht="18" hidden="1" customHeight="1" x14ac:dyDescent="0.25">
      <c r="A134" s="117">
        <v>133</v>
      </c>
      <c r="B134" s="117"/>
      <c r="C134" s="118" t="s">
        <v>461</v>
      </c>
      <c r="D134" s="146">
        <f t="array" aca="1" ref="D134" ca="1">SUM(--(_xlfn.UNIQUE(_xlfn._xlws.FILTER($M$2:$M$1011 &amp; "", ($C$2:$C$1011 = C134) * ($M$2:$M$1011 &lt;&gt; ""))) &lt;&gt; ""))</f>
        <v>2</v>
      </c>
      <c r="E134" s="166">
        <f t="shared" ca="1" si="9"/>
        <v>1458.53</v>
      </c>
      <c r="F134" s="143">
        <v>1</v>
      </c>
      <c r="G134" s="143" t="s">
        <v>119</v>
      </c>
      <c r="H134" s="119">
        <f>_xlfn.XLOOKUP(G134,'🚛 FROTA'!B:B,'🚛 FROTA'!A:A,"")</f>
        <v>17</v>
      </c>
      <c r="I134" s="119"/>
      <c r="J134" s="119" t="str">
        <f>IF(G134="","",_xlfn.XLOOKUP(G134,'🚛 FROTA'!B:B,'🚛 FROTA'!E:E,""))</f>
        <v>CAT 416F2</v>
      </c>
      <c r="K134" s="119"/>
      <c r="L134" s="143" t="s">
        <v>826</v>
      </c>
      <c r="M134" s="143" t="s">
        <v>827</v>
      </c>
      <c r="N134" s="145">
        <v>45790</v>
      </c>
      <c r="O134" s="143">
        <v>1</v>
      </c>
      <c r="P134" s="143">
        <v>1</v>
      </c>
      <c r="Q134" s="167">
        <v>458.53</v>
      </c>
      <c r="R134" s="143" t="s">
        <v>554</v>
      </c>
      <c r="S134" s="122" t="s">
        <v>560</v>
      </c>
      <c r="T134" s="120" t="s">
        <v>522</v>
      </c>
      <c r="U134" s="121" t="s">
        <v>555</v>
      </c>
      <c r="V134" s="119" t="s">
        <v>568</v>
      </c>
      <c r="W134" s="119" t="s">
        <v>828</v>
      </c>
      <c r="X134" s="123" t="s">
        <v>829</v>
      </c>
      <c r="Y134" s="119"/>
      <c r="Z134" s="130"/>
      <c r="AA134" s="125"/>
      <c r="AB134" s="126"/>
      <c r="AC134" s="127"/>
      <c r="AD134" s="127"/>
      <c r="AE134" s="127"/>
      <c r="AF134" s="127"/>
      <c r="AG134" s="125"/>
      <c r="AH134" s="128">
        <f t="shared" ca="1" si="7"/>
        <v>45760</v>
      </c>
      <c r="AI134" s="129" t="s">
        <v>583</v>
      </c>
      <c r="AJ134" s="129"/>
      <c r="AK134" s="129"/>
      <c r="AL134" s="129"/>
      <c r="AM134" s="129"/>
    </row>
    <row r="135" spans="1:39" ht="18" hidden="1" customHeight="1" x14ac:dyDescent="0.25">
      <c r="A135" s="117">
        <v>134</v>
      </c>
      <c r="B135" s="117"/>
      <c r="C135" s="118" t="s">
        <v>461</v>
      </c>
      <c r="D135" s="146">
        <f t="array" aca="1" ref="D135" ca="1">SUM(--(_xlfn.UNIQUE(_xlfn._xlws.FILTER($M$2:$M$1011 &amp; "", ($C$2:$C$1011 = C135) * ($M$2:$M$1011 &lt;&gt; ""))) &lt;&gt; ""))</f>
        <v>2</v>
      </c>
      <c r="E135" s="166">
        <f t="shared" ca="1" si="9"/>
        <v>1458.53</v>
      </c>
      <c r="F135" s="143">
        <v>1</v>
      </c>
      <c r="G135" s="143" t="s">
        <v>119</v>
      </c>
      <c r="H135" s="119">
        <f>_xlfn.XLOOKUP(G135,'🚛 FROTA'!B:B,'🚛 FROTA'!A:A,"")</f>
        <v>17</v>
      </c>
      <c r="I135" s="119"/>
      <c r="J135" s="119" t="str">
        <f>IF(G135="","",_xlfn.XLOOKUP(G135,'🚛 FROTA'!B:B,'🚛 FROTA'!E:E,""))</f>
        <v>CAT 416F2</v>
      </c>
      <c r="K135" s="119"/>
      <c r="L135" s="143" t="s">
        <v>830</v>
      </c>
      <c r="M135" s="143" t="s">
        <v>831</v>
      </c>
      <c r="N135" s="145">
        <v>45845</v>
      </c>
      <c r="O135" s="143">
        <v>1</v>
      </c>
      <c r="P135" s="143">
        <v>1</v>
      </c>
      <c r="Q135" s="167">
        <v>1000</v>
      </c>
      <c r="R135" s="143" t="s">
        <v>651</v>
      </c>
      <c r="S135" s="122" t="s">
        <v>534</v>
      </c>
      <c r="T135" s="120" t="s">
        <v>522</v>
      </c>
      <c r="U135" s="121" t="s">
        <v>555</v>
      </c>
      <c r="V135" s="119" t="s">
        <v>568</v>
      </c>
      <c r="W135" s="119" t="s">
        <v>832</v>
      </c>
      <c r="X135" s="123" t="s">
        <v>833</v>
      </c>
      <c r="Y135" s="119"/>
      <c r="Z135" s="124">
        <v>3462</v>
      </c>
      <c r="AA135" s="125"/>
      <c r="AB135" s="126"/>
      <c r="AC135" s="127"/>
      <c r="AD135" s="127"/>
      <c r="AE135" s="127"/>
      <c r="AF135" s="127"/>
      <c r="AG135" s="125"/>
      <c r="AH135" s="128">
        <f>IF(OR(R135="A Vista", R135="Crédito", R135="Adiantamento"), N135, IF(R135="Faturado", _xlfn.MINIFS(N:N, C:C, C135)-30, ""))</f>
        <v>45845</v>
      </c>
      <c r="AI135" s="129"/>
      <c r="AJ135" s="129"/>
      <c r="AK135" s="129"/>
      <c r="AL135" s="129"/>
      <c r="AM135" s="129"/>
    </row>
    <row r="136" spans="1:39" ht="18" hidden="1" customHeight="1" x14ac:dyDescent="0.25">
      <c r="A136" s="117">
        <v>135</v>
      </c>
      <c r="B136" s="117"/>
      <c r="C136" s="118" t="s">
        <v>834</v>
      </c>
      <c r="D136" s="146">
        <f t="array" aca="1" ref="D136" ca="1">SUM(--(_xlfn.UNIQUE(_xlfn._xlws.FILTER($M$2:$M$1011 &amp; "", ($C$2:$C$1011 = C136) * ($M$2:$M$1011 &lt;&gt; ""))) &lt;&gt; ""))</f>
        <v>1</v>
      </c>
      <c r="E136" s="166">
        <f t="shared" ca="1" si="9"/>
        <v>659.1</v>
      </c>
      <c r="F136" s="143">
        <v>1</v>
      </c>
      <c r="G136" s="143" t="s">
        <v>167</v>
      </c>
      <c r="H136" s="119">
        <f>_xlfn.XLOOKUP(G136,'🚛 FROTA'!B:B,'🚛 FROTA'!A:A,"")</f>
        <v>42</v>
      </c>
      <c r="I136" s="119"/>
      <c r="J136" s="119" t="str">
        <f>IF(G136="","",_xlfn.XLOOKUP(G136,'🚛 FROTA'!B:B,'🚛 FROTA'!E:E,""))</f>
        <v>Express Delivery</v>
      </c>
      <c r="K136" s="119" t="str">
        <f>IF(G136="","",_xlfn.XLOOKUP(G136,'🚛 FROTA'!B:B,'🚛 FROTA'!K:K,""))</f>
        <v>Carroceria</v>
      </c>
      <c r="L136" s="143" t="s">
        <v>552</v>
      </c>
      <c r="M136" s="143" t="s">
        <v>835</v>
      </c>
      <c r="N136" s="145">
        <v>45790</v>
      </c>
      <c r="O136" s="143">
        <v>3</v>
      </c>
      <c r="P136" s="143">
        <v>4</v>
      </c>
      <c r="Q136" s="167">
        <v>329.55</v>
      </c>
      <c r="R136" s="143" t="s">
        <v>554</v>
      </c>
      <c r="S136" s="122" t="s">
        <v>534</v>
      </c>
      <c r="T136" s="120" t="s">
        <v>522</v>
      </c>
      <c r="U136" s="121" t="s">
        <v>597</v>
      </c>
      <c r="V136" s="119" t="s">
        <v>598</v>
      </c>
      <c r="W136" s="119" t="s">
        <v>679</v>
      </c>
      <c r="X136" s="123" t="s">
        <v>680</v>
      </c>
      <c r="Y136" s="119"/>
      <c r="Z136" s="130"/>
      <c r="AA136" s="125"/>
      <c r="AB136" s="126"/>
      <c r="AC136" s="127"/>
      <c r="AD136" s="127"/>
      <c r="AE136" s="127"/>
      <c r="AF136" s="127"/>
      <c r="AG136" s="125"/>
      <c r="AH136" s="128">
        <f ca="1">IF(OR(R136="A VISTA", R136="C. CRÉDITO", R136="ADIANTAMENTO"), N136, IF(R136="Faturado", _xlfn.MINIFS(N:N, C:C, C136)-30, ""))</f>
        <v>45760</v>
      </c>
      <c r="AI136" s="129" t="s">
        <v>559</v>
      </c>
      <c r="AJ136" s="129"/>
      <c r="AK136" s="132">
        <f>IF(Z136="",0,Z136+10000)</f>
        <v>0</v>
      </c>
      <c r="AL136" s="129"/>
      <c r="AM136" s="129"/>
    </row>
    <row r="137" spans="1:39" ht="18" hidden="1" customHeight="1" x14ac:dyDescent="0.25">
      <c r="A137" s="117">
        <v>136</v>
      </c>
      <c r="B137" s="117"/>
      <c r="C137" s="118" t="s">
        <v>834</v>
      </c>
      <c r="D137" s="146">
        <f t="array" aca="1" ref="D137" ca="1">SUM(--(_xlfn.UNIQUE(_xlfn._xlws.FILTER($M$2:$M$1011 &amp; "", ($C$2:$C$1011 = C137) * ($M$2:$M$1011 &lt;&gt; ""))) &lt;&gt; ""))</f>
        <v>1</v>
      </c>
      <c r="E137" s="166">
        <f t="shared" ca="1" si="9"/>
        <v>659.1</v>
      </c>
      <c r="F137" s="143">
        <v>1</v>
      </c>
      <c r="G137" s="143" t="s">
        <v>167</v>
      </c>
      <c r="H137" s="119">
        <f>_xlfn.XLOOKUP(G137,'🚛 FROTA'!B:B,'🚛 FROTA'!A:A,"")</f>
        <v>42</v>
      </c>
      <c r="I137" s="119"/>
      <c r="J137" s="119" t="str">
        <f>IF(G137="","",_xlfn.XLOOKUP(G137,'🚛 FROTA'!B:B,'🚛 FROTA'!E:E,""))</f>
        <v>Express Delivery</v>
      </c>
      <c r="K137" s="119" t="str">
        <f>IF(G137="","",_xlfn.XLOOKUP(G137,'🚛 FROTA'!B:B,'🚛 FROTA'!K:K,""))</f>
        <v>Carroceria</v>
      </c>
      <c r="L137" s="143" t="s">
        <v>552</v>
      </c>
      <c r="M137" s="143" t="s">
        <v>835</v>
      </c>
      <c r="N137" s="145">
        <v>45820</v>
      </c>
      <c r="O137" s="143">
        <v>4</v>
      </c>
      <c r="P137" s="143">
        <v>4</v>
      </c>
      <c r="Q137" s="167">
        <v>329.55</v>
      </c>
      <c r="R137" s="143" t="s">
        <v>554</v>
      </c>
      <c r="S137" s="122" t="s">
        <v>534</v>
      </c>
      <c r="T137" s="120" t="s">
        <v>522</v>
      </c>
      <c r="U137" s="121" t="s">
        <v>597</v>
      </c>
      <c r="V137" s="119" t="s">
        <v>598</v>
      </c>
      <c r="W137" s="119" t="s">
        <v>836</v>
      </c>
      <c r="X137" s="123" t="s">
        <v>837</v>
      </c>
      <c r="Y137" s="119"/>
      <c r="Z137" s="130"/>
      <c r="AA137" s="125"/>
      <c r="AB137" s="126"/>
      <c r="AC137" s="127"/>
      <c r="AD137" s="127"/>
      <c r="AE137" s="127"/>
      <c r="AF137" s="127"/>
      <c r="AG137" s="125"/>
      <c r="AH137" s="128">
        <f ca="1">IF(OR(R137="A VISTA", R137="C. CRÉDITO", R137="ADIANTAMENTO"), N137, IF(R137="Faturado", _xlfn.MINIFS(N:N, C:C, C137)-30, ""))</f>
        <v>45760</v>
      </c>
      <c r="AI137" s="129" t="s">
        <v>559</v>
      </c>
      <c r="AJ137" s="129"/>
      <c r="AK137" s="132">
        <f>IF(Z137="",0,Z137+10000)</f>
        <v>0</v>
      </c>
      <c r="AL137" s="129"/>
      <c r="AM137" s="129"/>
    </row>
    <row r="138" spans="1:39" ht="18" hidden="1" customHeight="1" x14ac:dyDescent="0.25">
      <c r="A138" s="117">
        <v>137</v>
      </c>
      <c r="B138" s="117"/>
      <c r="C138" s="118" t="s">
        <v>838</v>
      </c>
      <c r="D138" s="146">
        <f t="array" aca="1" ref="D138" ca="1">SUM(--(_xlfn.UNIQUE(_xlfn._xlws.FILTER($M$2:$M$1011 &amp; "", ($C$2:$C$1011 = C138) * ($M$2:$M$1011 &lt;&gt; ""))) &lt;&gt; ""))</f>
        <v>1</v>
      </c>
      <c r="E138" s="166">
        <f t="shared" ca="1" si="9"/>
        <v>542.13</v>
      </c>
      <c r="F138" s="143">
        <v>1</v>
      </c>
      <c r="G138" s="143" t="s">
        <v>167</v>
      </c>
      <c r="H138" s="119">
        <f>_xlfn.XLOOKUP(G138,'🚛 FROTA'!B:B,'🚛 FROTA'!A:A,"")</f>
        <v>42</v>
      </c>
      <c r="I138" s="119"/>
      <c r="J138" s="119" t="str">
        <f>IF(G138="","",_xlfn.XLOOKUP(G138,'🚛 FROTA'!B:B,'🚛 FROTA'!E:E,""))</f>
        <v>Express Delivery</v>
      </c>
      <c r="K138" s="119" t="str">
        <f>IF(G138="","",_xlfn.XLOOKUP(G138,'🚛 FROTA'!B:B,'🚛 FROTA'!K:K,""))</f>
        <v>Carroceria</v>
      </c>
      <c r="L138" s="143" t="s">
        <v>552</v>
      </c>
      <c r="M138" s="143" t="s">
        <v>839</v>
      </c>
      <c r="N138" s="145">
        <v>45794</v>
      </c>
      <c r="O138" s="143">
        <v>4</v>
      </c>
      <c r="P138" s="143">
        <v>4</v>
      </c>
      <c r="Q138" s="167">
        <v>542.13</v>
      </c>
      <c r="R138" s="143" t="s">
        <v>554</v>
      </c>
      <c r="S138" s="122" t="s">
        <v>534</v>
      </c>
      <c r="T138" s="120" t="s">
        <v>522</v>
      </c>
      <c r="U138" s="121" t="s">
        <v>555</v>
      </c>
      <c r="V138" s="119" t="s">
        <v>556</v>
      </c>
      <c r="W138" s="119" t="s">
        <v>557</v>
      </c>
      <c r="X138" s="123" t="s">
        <v>840</v>
      </c>
      <c r="Y138" s="119"/>
      <c r="Z138" s="130"/>
      <c r="AA138" s="125"/>
      <c r="AB138" s="126"/>
      <c r="AC138" s="127"/>
      <c r="AD138" s="127"/>
      <c r="AE138" s="127"/>
      <c r="AF138" s="127"/>
      <c r="AG138" s="125"/>
      <c r="AH138" s="128">
        <f ca="1">IF(OR(R138="A VISTA", R138="C. CRÉDITO", R138="ADIANTAMENTO"), N138, IF(R138="Faturado", _xlfn.MINIFS(N:N, C:C, C138)-30, ""))</f>
        <v>45764</v>
      </c>
      <c r="AI138" s="129" t="s">
        <v>559</v>
      </c>
      <c r="AJ138" s="129"/>
      <c r="AK138" s="129"/>
      <c r="AL138" s="129"/>
      <c r="AM138" s="129"/>
    </row>
    <row r="139" spans="1:39" ht="18" customHeight="1" x14ac:dyDescent="0.25">
      <c r="A139" s="117">
        <v>138</v>
      </c>
      <c r="B139" s="117"/>
      <c r="C139" s="118" t="s">
        <v>841</v>
      </c>
      <c r="D139" s="146">
        <f t="array" aca="1" ref="D139" ca="1">SUM(--(_xlfn.UNIQUE(_xlfn._xlws.FILTER($M$2:$M$1011 &amp; "", ($C$2:$C$1011 = C139) * ($M$2:$M$1011 &lt;&gt; ""))) &lt;&gt; ""))</f>
        <v>1</v>
      </c>
      <c r="E139" s="166">
        <f t="shared" ca="1" si="9"/>
        <v>1339</v>
      </c>
      <c r="F139" s="143">
        <v>1</v>
      </c>
      <c r="G139" s="143" t="s">
        <v>166</v>
      </c>
      <c r="H139" s="119">
        <f>_xlfn.XLOOKUP(G139,'🚛 FROTA'!B:B,'🚛 FROTA'!A:A,"")</f>
        <v>41</v>
      </c>
      <c r="I139" s="119"/>
      <c r="J139" s="119" t="str">
        <f>IF(G139="","",_xlfn.XLOOKUP(G139,'🚛 FROTA'!B:B,'🚛 FROTA'!E:E,""))</f>
        <v>Express Delivery</v>
      </c>
      <c r="K139" s="119" t="str">
        <f>IF(G139="","",_xlfn.XLOOKUP(G139,'🚛 FROTA'!B:B,'🚛 FROTA'!K:K,""))</f>
        <v>Carroceria Cabinado</v>
      </c>
      <c r="L139" s="143" t="s">
        <v>703</v>
      </c>
      <c r="M139" s="143" t="s">
        <v>842</v>
      </c>
      <c r="N139" s="145">
        <v>45797</v>
      </c>
      <c r="O139" s="143">
        <v>3</v>
      </c>
      <c r="P139" s="143">
        <v>4</v>
      </c>
      <c r="Q139" s="167">
        <v>669.5</v>
      </c>
      <c r="R139" s="143" t="s">
        <v>554</v>
      </c>
      <c r="S139" s="122" t="s">
        <v>560</v>
      </c>
      <c r="T139" s="120" t="s">
        <v>522</v>
      </c>
      <c r="U139" s="121" t="s">
        <v>555</v>
      </c>
      <c r="V139" s="119" t="s">
        <v>573</v>
      </c>
      <c r="W139" s="119" t="s">
        <v>574</v>
      </c>
      <c r="X139" s="123" t="s">
        <v>843</v>
      </c>
      <c r="Y139" s="119" t="s">
        <v>576</v>
      </c>
      <c r="Z139" s="130"/>
      <c r="AA139" s="122" t="s">
        <v>577</v>
      </c>
      <c r="AB139" s="122">
        <v>2</v>
      </c>
      <c r="AC139" s="131" t="s">
        <v>578</v>
      </c>
      <c r="AD139" s="131" t="s">
        <v>709</v>
      </c>
      <c r="AE139" s="131" t="s">
        <v>713</v>
      </c>
      <c r="AF139" s="131" t="s">
        <v>581</v>
      </c>
      <c r="AG139" s="125" t="s">
        <v>582</v>
      </c>
      <c r="AH139" s="128">
        <f ca="1">IF(OR(R139="A VISTA", R139="C. CRÉDITO", R139="ADIANTAMENTO"), N139, IF(R139="Faturado", _xlfn.MINIFS(N:N, C:C, C139)-30, ""))</f>
        <v>45767</v>
      </c>
      <c r="AI139" s="129"/>
      <c r="AJ139" s="129"/>
      <c r="AK139" s="129"/>
      <c r="AL139" s="129"/>
      <c r="AM139" s="129"/>
    </row>
    <row r="140" spans="1:39" ht="18" customHeight="1" x14ac:dyDescent="0.25">
      <c r="A140" s="117">
        <v>139</v>
      </c>
      <c r="B140" s="117"/>
      <c r="C140" s="118" t="s">
        <v>841</v>
      </c>
      <c r="D140" s="146">
        <f t="array" aca="1" ref="D140" ca="1">SUM(--(_xlfn.UNIQUE(_xlfn._xlws.FILTER($M$2:$M$1011 &amp; "", ($C$2:$C$1011 = C140) * ($M$2:$M$1011 &lt;&gt; ""))) &lt;&gt; ""))</f>
        <v>1</v>
      </c>
      <c r="E140" s="166">
        <f t="shared" ca="1" si="9"/>
        <v>1339</v>
      </c>
      <c r="F140" s="143">
        <v>1</v>
      </c>
      <c r="G140" s="143" t="s">
        <v>166</v>
      </c>
      <c r="H140" s="119">
        <f>_xlfn.XLOOKUP(G140,'🚛 FROTA'!B:B,'🚛 FROTA'!A:A,"")</f>
        <v>41</v>
      </c>
      <c r="I140" s="119"/>
      <c r="J140" s="119" t="str">
        <f>IF(G140="","",_xlfn.XLOOKUP(G140,'🚛 FROTA'!B:B,'🚛 FROTA'!E:E,""))</f>
        <v>Express Delivery</v>
      </c>
      <c r="K140" s="119" t="str">
        <f>IF(G140="","",_xlfn.XLOOKUP(G140,'🚛 FROTA'!B:B,'🚛 FROTA'!K:K,""))</f>
        <v>Carroceria Cabinado</v>
      </c>
      <c r="L140" s="143" t="s">
        <v>703</v>
      </c>
      <c r="M140" s="143" t="s">
        <v>842</v>
      </c>
      <c r="N140" s="145">
        <v>45827</v>
      </c>
      <c r="O140" s="143">
        <v>4</v>
      </c>
      <c r="P140" s="143">
        <v>4</v>
      </c>
      <c r="Q140" s="167">
        <v>669.5</v>
      </c>
      <c r="R140" s="143" t="s">
        <v>554</v>
      </c>
      <c r="S140" s="122" t="s">
        <v>560</v>
      </c>
      <c r="T140" s="120" t="s">
        <v>522</v>
      </c>
      <c r="U140" s="121" t="s">
        <v>555</v>
      </c>
      <c r="V140" s="119" t="s">
        <v>573</v>
      </c>
      <c r="W140" s="119" t="s">
        <v>574</v>
      </c>
      <c r="X140" s="123" t="s">
        <v>843</v>
      </c>
      <c r="Y140" s="119" t="s">
        <v>576</v>
      </c>
      <c r="Z140" s="130"/>
      <c r="AA140" s="122" t="s">
        <v>577</v>
      </c>
      <c r="AB140" s="122">
        <v>2</v>
      </c>
      <c r="AC140" s="131" t="s">
        <v>578</v>
      </c>
      <c r="AD140" s="131" t="s">
        <v>709</v>
      </c>
      <c r="AE140" s="131" t="s">
        <v>713</v>
      </c>
      <c r="AF140" s="131" t="s">
        <v>581</v>
      </c>
      <c r="AG140" s="125" t="s">
        <v>582</v>
      </c>
      <c r="AH140" s="128">
        <f ca="1">IF(OR(R140="A VISTA", R140="C. CRÉDITO", R140="ADIANTAMENTO"), N140, IF(R140="Faturado", _xlfn.MINIFS(N:N, C:C, C140)-30, ""))</f>
        <v>45767</v>
      </c>
      <c r="AI140" s="129"/>
      <c r="AJ140" s="129"/>
      <c r="AK140" s="129"/>
      <c r="AL140" s="129"/>
      <c r="AM140" s="129"/>
    </row>
    <row r="141" spans="1:39" ht="18" hidden="1" customHeight="1" x14ac:dyDescent="0.25">
      <c r="A141" s="117">
        <v>140</v>
      </c>
      <c r="B141" s="117"/>
      <c r="C141" s="118" t="s">
        <v>844</v>
      </c>
      <c r="D141" s="146">
        <f t="array" aca="1" ref="D141" ca="1">SUM(--(_xlfn.UNIQUE(_xlfn._xlws.FILTER($M$2:$M$1011 &amp; "", ($C$2:$C$1011 = C141) * ($M$2:$M$1011 &lt;&gt; ""))) &lt;&gt; ""))</f>
        <v>1</v>
      </c>
      <c r="E141" s="166">
        <f t="shared" ca="1" si="9"/>
        <v>166.75</v>
      </c>
      <c r="F141" s="143">
        <v>1</v>
      </c>
      <c r="G141" s="143" t="s">
        <v>165</v>
      </c>
      <c r="H141" s="119">
        <f>_xlfn.XLOOKUP(G141,'🚛 FROTA'!B:B,'🚛 FROTA'!A:A,"")</f>
        <v>40</v>
      </c>
      <c r="I141" s="119"/>
      <c r="J141" s="119" t="str">
        <f>IF(G141="","",_xlfn.XLOOKUP(G141,'🚛 FROTA'!B:B,'🚛 FROTA'!E:E,""))</f>
        <v>Express Delivery</v>
      </c>
      <c r="K141" s="119" t="str">
        <f>IF(G141="","",_xlfn.XLOOKUP(G141,'🚛 FROTA'!B:B,'🚛 FROTA'!K:K,""))</f>
        <v>Carroceria Cabinado</v>
      </c>
      <c r="L141" s="143" t="s">
        <v>845</v>
      </c>
      <c r="M141" s="143" t="s">
        <v>846</v>
      </c>
      <c r="N141" s="145">
        <v>45797</v>
      </c>
      <c r="O141" s="143">
        <v>1</v>
      </c>
      <c r="P141" s="143">
        <v>1</v>
      </c>
      <c r="Q141" s="167">
        <v>166.75</v>
      </c>
      <c r="R141" s="143" t="s">
        <v>724</v>
      </c>
      <c r="S141" s="122" t="s">
        <v>560</v>
      </c>
      <c r="T141" s="120" t="s">
        <v>522</v>
      </c>
      <c r="U141" s="121" t="s">
        <v>555</v>
      </c>
      <c r="V141" s="119" t="s">
        <v>670</v>
      </c>
      <c r="W141" s="119" t="s">
        <v>847</v>
      </c>
      <c r="X141" s="123" t="s">
        <v>848</v>
      </c>
      <c r="Y141" s="119"/>
      <c r="Z141" s="130"/>
      <c r="AA141" s="125"/>
      <c r="AB141" s="126"/>
      <c r="AC141" s="127"/>
      <c r="AD141" s="127"/>
      <c r="AE141" s="127"/>
      <c r="AF141" s="127"/>
      <c r="AG141" s="125"/>
      <c r="AH141" s="128">
        <f>IF(OR(R141="A Vista", R141="Crédito", R141="Adiantamento"), N141, IF(R141="Faturado", _xlfn.MINIFS(N:N, C:C, C141)-30, ""))</f>
        <v>45797</v>
      </c>
      <c r="AI141" s="129"/>
      <c r="AJ141" s="129"/>
      <c r="AK141" s="129"/>
      <c r="AL141" s="129"/>
      <c r="AM141" s="129"/>
    </row>
    <row r="142" spans="1:39" ht="18" hidden="1" customHeight="1" x14ac:dyDescent="0.25">
      <c r="A142" s="117">
        <v>141</v>
      </c>
      <c r="B142" s="117"/>
      <c r="C142" s="118" t="s">
        <v>849</v>
      </c>
      <c r="D142" s="146">
        <f t="array" aca="1" ref="D142" ca="1">SUM(--(_xlfn.UNIQUE(_xlfn._xlws.FILTER($M$2:$M$1011 &amp; "", ($C$2:$C$1011 = C142) * ($M$2:$M$1011 &lt;&gt; ""))) &lt;&gt; ""))</f>
        <v>1</v>
      </c>
      <c r="E142" s="166">
        <f t="shared" ca="1" si="9"/>
        <v>263.14</v>
      </c>
      <c r="F142" s="143">
        <v>1</v>
      </c>
      <c r="G142" s="143" t="s">
        <v>155</v>
      </c>
      <c r="H142" s="119">
        <f>_xlfn.XLOOKUP(G142,'🚛 FROTA'!B:B,'🚛 FROTA'!A:A,"")</f>
        <v>34</v>
      </c>
      <c r="I142" s="119"/>
      <c r="J142" s="119" t="str">
        <f>IF(G142="","",_xlfn.XLOOKUP(G142,'🚛 FROTA'!B:B,'🚛 FROTA'!E:E,""))</f>
        <v>9.170 Delivery</v>
      </c>
      <c r="K142" s="119" t="str">
        <f>IF(G142="","",_xlfn.XLOOKUP(G142,'🚛 FROTA'!B:B,'🚛 FROTA'!K:K,""))</f>
        <v>Basculante</v>
      </c>
      <c r="L142" s="143" t="s">
        <v>552</v>
      </c>
      <c r="M142" s="143" t="s">
        <v>850</v>
      </c>
      <c r="N142" s="145">
        <v>45799</v>
      </c>
      <c r="O142" s="143">
        <v>3</v>
      </c>
      <c r="P142" s="143">
        <v>3</v>
      </c>
      <c r="Q142" s="167">
        <v>263.14</v>
      </c>
      <c r="R142" s="143" t="s">
        <v>554</v>
      </c>
      <c r="S142" s="122" t="s">
        <v>534</v>
      </c>
      <c r="T142" s="120" t="s">
        <v>522</v>
      </c>
      <c r="U142" s="121" t="s">
        <v>555</v>
      </c>
      <c r="V142" s="119" t="s">
        <v>556</v>
      </c>
      <c r="W142" s="119" t="s">
        <v>851</v>
      </c>
      <c r="X142" s="123" t="s">
        <v>852</v>
      </c>
      <c r="Y142" s="119"/>
      <c r="Z142" s="124">
        <v>58017</v>
      </c>
      <c r="AA142" s="125"/>
      <c r="AB142" s="126"/>
      <c r="AC142" s="127"/>
      <c r="AD142" s="127"/>
      <c r="AE142" s="127"/>
      <c r="AF142" s="127"/>
      <c r="AG142" s="125"/>
      <c r="AH142" s="128">
        <f t="shared" ref="AH142:AH155" ca="1" si="10">IF(OR(R142="A VISTA", R142="C. CRÉDITO", R142="ADIANTAMENTO"), N142, IF(R142="Faturado", _xlfn.MINIFS(N:N, C:C, C142)-30, ""))</f>
        <v>45769</v>
      </c>
      <c r="AI142" s="129" t="s">
        <v>559</v>
      </c>
      <c r="AJ142" s="129"/>
      <c r="AK142" s="129"/>
      <c r="AL142" s="129"/>
      <c r="AM142" s="129"/>
    </row>
    <row r="143" spans="1:39" ht="18" hidden="1" customHeight="1" x14ac:dyDescent="0.25">
      <c r="A143" s="117">
        <v>142</v>
      </c>
      <c r="B143" s="117"/>
      <c r="C143" s="118" t="s">
        <v>853</v>
      </c>
      <c r="D143" s="146">
        <f t="array" aca="1" ref="D143" ca="1">SUM(--(_xlfn.UNIQUE(_xlfn._xlws.FILTER($M$2:$M$1011 &amp; "", ($C$2:$C$1011 = C143) * ($M$2:$M$1011 &lt;&gt; ""))) &lt;&gt; ""))</f>
        <v>1</v>
      </c>
      <c r="E143" s="166">
        <f t="shared" ca="1" si="9"/>
        <v>2729.5799999999995</v>
      </c>
      <c r="F143" s="143">
        <v>1</v>
      </c>
      <c r="G143" s="143" t="s">
        <v>162</v>
      </c>
      <c r="H143" s="119">
        <f>_xlfn.XLOOKUP(G143,'🚛 FROTA'!B:B,'🚛 FROTA'!A:A,"")</f>
        <v>39</v>
      </c>
      <c r="I143" s="119"/>
      <c r="J143" s="119" t="str">
        <f>IF(G143="","",_xlfn.XLOOKUP(G143,'🚛 FROTA'!B:B,'🚛 FROTA'!E:E,""))</f>
        <v>Express Delivery</v>
      </c>
      <c r="K143" s="119" t="str">
        <f>IF(G143="","",_xlfn.XLOOKUP(G143,'🚛 FROTA'!B:B,'🚛 FROTA'!K:K,""))</f>
        <v>Carroceria Cabinado</v>
      </c>
      <c r="L143" s="143" t="s">
        <v>595</v>
      </c>
      <c r="M143" s="143" t="s">
        <v>854</v>
      </c>
      <c r="N143" s="145">
        <v>45802</v>
      </c>
      <c r="O143" s="143">
        <v>1</v>
      </c>
      <c r="P143" s="143">
        <v>4</v>
      </c>
      <c r="Q143" s="167">
        <v>545.94000000000005</v>
      </c>
      <c r="R143" s="143" t="s">
        <v>554</v>
      </c>
      <c r="S143" s="122" t="s">
        <v>560</v>
      </c>
      <c r="T143" s="120" t="s">
        <v>522</v>
      </c>
      <c r="U143" s="121" t="s">
        <v>555</v>
      </c>
      <c r="V143" s="119" t="s">
        <v>634</v>
      </c>
      <c r="W143" s="119" t="s">
        <v>855</v>
      </c>
      <c r="X143" s="123" t="s">
        <v>856</v>
      </c>
      <c r="Y143" s="119"/>
      <c r="Z143" s="124">
        <v>68576</v>
      </c>
      <c r="AA143" s="125"/>
      <c r="AB143" s="126"/>
      <c r="AC143" s="127"/>
      <c r="AD143" s="127"/>
      <c r="AE143" s="127"/>
      <c r="AF143" s="127"/>
      <c r="AG143" s="125"/>
      <c r="AH143" s="128">
        <f t="shared" ca="1" si="10"/>
        <v>45772</v>
      </c>
      <c r="AI143" s="129" t="s">
        <v>602</v>
      </c>
      <c r="AJ143" s="129"/>
      <c r="AK143" s="129"/>
      <c r="AL143" s="129"/>
      <c r="AM143" s="129"/>
    </row>
    <row r="144" spans="1:39" ht="18" hidden="1" customHeight="1" x14ac:dyDescent="0.25">
      <c r="A144" s="117">
        <v>143</v>
      </c>
      <c r="B144" s="117"/>
      <c r="C144" s="118" t="s">
        <v>853</v>
      </c>
      <c r="D144" s="146">
        <f t="array" aca="1" ref="D144" ca="1">SUM(--(_xlfn.UNIQUE(_xlfn._xlws.FILTER($M$2:$M$1011 &amp; "", ($C$2:$C$1011 = C144) * ($M$2:$M$1011 &lt;&gt; ""))) &lt;&gt; ""))</f>
        <v>1</v>
      </c>
      <c r="E144" s="166">
        <f t="shared" ca="1" si="9"/>
        <v>2729.5799999999995</v>
      </c>
      <c r="F144" s="143">
        <v>1</v>
      </c>
      <c r="G144" s="143" t="s">
        <v>162</v>
      </c>
      <c r="H144" s="119">
        <f>_xlfn.XLOOKUP(G144,'🚛 FROTA'!B:B,'🚛 FROTA'!A:A,"")</f>
        <v>39</v>
      </c>
      <c r="I144" s="119"/>
      <c r="J144" s="119" t="str">
        <f>IF(G144="","",_xlfn.XLOOKUP(G144,'🚛 FROTA'!B:B,'🚛 FROTA'!E:E,""))</f>
        <v>Express Delivery</v>
      </c>
      <c r="K144" s="119" t="str">
        <f>IF(G144="","",_xlfn.XLOOKUP(G144,'🚛 FROTA'!B:B,'🚛 FROTA'!K:K,""))</f>
        <v>Carroceria Cabinado</v>
      </c>
      <c r="L144" s="143" t="s">
        <v>595</v>
      </c>
      <c r="M144" s="143" t="s">
        <v>854</v>
      </c>
      <c r="N144" s="145">
        <v>45832</v>
      </c>
      <c r="O144" s="143">
        <v>2</v>
      </c>
      <c r="P144" s="143">
        <v>4</v>
      </c>
      <c r="Q144" s="167">
        <v>545.91</v>
      </c>
      <c r="R144" s="143" t="s">
        <v>554</v>
      </c>
      <c r="S144" s="122" t="s">
        <v>560</v>
      </c>
      <c r="T144" s="120" t="s">
        <v>522</v>
      </c>
      <c r="U144" s="121" t="s">
        <v>555</v>
      </c>
      <c r="V144" s="119" t="s">
        <v>634</v>
      </c>
      <c r="W144" s="119" t="s">
        <v>855</v>
      </c>
      <c r="X144" s="123" t="s">
        <v>856</v>
      </c>
      <c r="Y144" s="119"/>
      <c r="Z144" s="124">
        <v>68576</v>
      </c>
      <c r="AA144" s="125"/>
      <c r="AB144" s="126"/>
      <c r="AC144" s="127"/>
      <c r="AD144" s="127"/>
      <c r="AE144" s="127"/>
      <c r="AF144" s="127"/>
      <c r="AG144" s="125"/>
      <c r="AH144" s="128">
        <f t="shared" ca="1" si="10"/>
        <v>45772</v>
      </c>
      <c r="AI144" s="129" t="s">
        <v>602</v>
      </c>
      <c r="AJ144" s="129"/>
      <c r="AK144" s="129"/>
      <c r="AL144" s="129"/>
      <c r="AM144" s="129"/>
    </row>
    <row r="145" spans="1:39" ht="18" hidden="1" customHeight="1" x14ac:dyDescent="0.25">
      <c r="A145" s="117">
        <v>144</v>
      </c>
      <c r="B145" s="117"/>
      <c r="C145" s="118" t="s">
        <v>853</v>
      </c>
      <c r="D145" s="146">
        <f t="array" aca="1" ref="D145" ca="1">SUM(--(_xlfn.UNIQUE(_xlfn._xlws.FILTER($M$2:$M$1011 &amp; "", ($C$2:$C$1011 = C145) * ($M$2:$M$1011 &lt;&gt; ""))) &lt;&gt; ""))</f>
        <v>1</v>
      </c>
      <c r="E145" s="166">
        <f t="shared" ca="1" si="9"/>
        <v>2729.5799999999995</v>
      </c>
      <c r="F145" s="143">
        <v>1</v>
      </c>
      <c r="G145" s="143" t="s">
        <v>162</v>
      </c>
      <c r="H145" s="119">
        <f>_xlfn.XLOOKUP(G145,'🚛 FROTA'!B:B,'🚛 FROTA'!A:A,"")</f>
        <v>39</v>
      </c>
      <c r="I145" s="119"/>
      <c r="J145" s="119" t="str">
        <f>IF(G145="","",_xlfn.XLOOKUP(G145,'🚛 FROTA'!B:B,'🚛 FROTA'!E:E,""))</f>
        <v>Express Delivery</v>
      </c>
      <c r="K145" s="119" t="str">
        <f>IF(G145="","",_xlfn.XLOOKUP(G145,'🚛 FROTA'!B:B,'🚛 FROTA'!K:K,""))</f>
        <v>Carroceria Cabinado</v>
      </c>
      <c r="L145" s="143" t="s">
        <v>595</v>
      </c>
      <c r="M145" s="143" t="s">
        <v>854</v>
      </c>
      <c r="N145" s="145">
        <v>45832</v>
      </c>
      <c r="O145" s="143">
        <v>3</v>
      </c>
      <c r="P145" s="143">
        <v>4</v>
      </c>
      <c r="Q145" s="167">
        <v>545.91</v>
      </c>
      <c r="R145" s="143" t="s">
        <v>554</v>
      </c>
      <c r="S145" s="122" t="s">
        <v>560</v>
      </c>
      <c r="T145" s="120" t="s">
        <v>522</v>
      </c>
      <c r="U145" s="121" t="s">
        <v>555</v>
      </c>
      <c r="V145" s="119" t="s">
        <v>634</v>
      </c>
      <c r="W145" s="119" t="s">
        <v>855</v>
      </c>
      <c r="X145" s="123" t="s">
        <v>856</v>
      </c>
      <c r="Y145" s="119"/>
      <c r="Z145" s="124">
        <v>5300</v>
      </c>
      <c r="AA145" s="125"/>
      <c r="AB145" s="126"/>
      <c r="AC145" s="127"/>
      <c r="AD145" s="127"/>
      <c r="AE145" s="127"/>
      <c r="AF145" s="127"/>
      <c r="AG145" s="125"/>
      <c r="AH145" s="128">
        <f t="shared" ca="1" si="10"/>
        <v>45772</v>
      </c>
      <c r="AI145" s="129" t="s">
        <v>602</v>
      </c>
      <c r="AJ145" s="129"/>
      <c r="AK145" s="129"/>
      <c r="AL145" s="129"/>
      <c r="AM145" s="129"/>
    </row>
    <row r="146" spans="1:39" ht="18" hidden="1" customHeight="1" x14ac:dyDescent="0.25">
      <c r="A146" s="117">
        <v>145</v>
      </c>
      <c r="B146" s="117"/>
      <c r="C146" s="118" t="s">
        <v>853</v>
      </c>
      <c r="D146" s="146">
        <f t="array" aca="1" ref="D146" ca="1">SUM(--(_xlfn.UNIQUE(_xlfn._xlws.FILTER($M$2:$M$1011 &amp; "", ($C$2:$C$1011 = C146) * ($M$2:$M$1011 &lt;&gt; ""))) &lt;&gt; ""))</f>
        <v>1</v>
      </c>
      <c r="E146" s="166">
        <f t="shared" ca="1" si="9"/>
        <v>2729.5799999999995</v>
      </c>
      <c r="F146" s="143">
        <v>1</v>
      </c>
      <c r="G146" s="143" t="s">
        <v>162</v>
      </c>
      <c r="H146" s="119">
        <f>_xlfn.XLOOKUP(G146,'🚛 FROTA'!B:B,'🚛 FROTA'!A:A,"")</f>
        <v>39</v>
      </c>
      <c r="I146" s="119"/>
      <c r="J146" s="119" t="str">
        <f>IF(G146="","",_xlfn.XLOOKUP(G146,'🚛 FROTA'!B:B,'🚛 FROTA'!E:E,""))</f>
        <v>Express Delivery</v>
      </c>
      <c r="K146" s="119" t="str">
        <f>IF(G146="","",_xlfn.XLOOKUP(G146,'🚛 FROTA'!B:B,'🚛 FROTA'!K:K,""))</f>
        <v>Carroceria Cabinado</v>
      </c>
      <c r="L146" s="143" t="s">
        <v>595</v>
      </c>
      <c r="M146" s="143" t="s">
        <v>854</v>
      </c>
      <c r="N146" s="145">
        <v>45862</v>
      </c>
      <c r="O146" s="143">
        <v>3</v>
      </c>
      <c r="P146" s="143">
        <v>4</v>
      </c>
      <c r="Q146" s="167">
        <v>545.91</v>
      </c>
      <c r="R146" s="143" t="s">
        <v>554</v>
      </c>
      <c r="S146" s="122" t="s">
        <v>560</v>
      </c>
      <c r="T146" s="120" t="s">
        <v>522</v>
      </c>
      <c r="U146" s="121" t="s">
        <v>555</v>
      </c>
      <c r="V146" s="119" t="s">
        <v>634</v>
      </c>
      <c r="W146" s="119" t="s">
        <v>855</v>
      </c>
      <c r="X146" s="123" t="s">
        <v>856</v>
      </c>
      <c r="Y146" s="119"/>
      <c r="Z146" s="124">
        <v>5300</v>
      </c>
      <c r="AA146" s="125"/>
      <c r="AB146" s="126"/>
      <c r="AC146" s="127"/>
      <c r="AD146" s="127"/>
      <c r="AE146" s="127"/>
      <c r="AF146" s="127"/>
      <c r="AG146" s="125"/>
      <c r="AH146" s="128">
        <f t="shared" ca="1" si="10"/>
        <v>45772</v>
      </c>
      <c r="AI146" s="129" t="s">
        <v>602</v>
      </c>
      <c r="AJ146" s="129"/>
      <c r="AK146" s="129"/>
      <c r="AL146" s="129"/>
      <c r="AM146" s="129"/>
    </row>
    <row r="147" spans="1:39" ht="18" hidden="1" customHeight="1" x14ac:dyDescent="0.25">
      <c r="A147" s="117">
        <v>146</v>
      </c>
      <c r="B147" s="117"/>
      <c r="C147" s="118" t="s">
        <v>853</v>
      </c>
      <c r="D147" s="146">
        <f t="array" aca="1" ref="D147" ca="1">SUM(--(_xlfn.UNIQUE(_xlfn._xlws.FILTER($M$2:$M$1011 &amp; "", ($C$2:$C$1011 = C147) * ($M$2:$M$1011 &lt;&gt; ""))) &lt;&gt; ""))</f>
        <v>1</v>
      </c>
      <c r="E147" s="166">
        <f t="shared" ca="1" si="9"/>
        <v>2729.5799999999995</v>
      </c>
      <c r="F147" s="143">
        <v>1</v>
      </c>
      <c r="G147" s="143" t="s">
        <v>162</v>
      </c>
      <c r="H147" s="119">
        <f>_xlfn.XLOOKUP(G147,'🚛 FROTA'!B:B,'🚛 FROTA'!A:A,"")</f>
        <v>39</v>
      </c>
      <c r="I147" s="119"/>
      <c r="J147" s="119" t="str">
        <f>IF(G147="","",_xlfn.XLOOKUP(G147,'🚛 FROTA'!B:B,'🚛 FROTA'!E:E,""))</f>
        <v>Express Delivery</v>
      </c>
      <c r="K147" s="119" t="str">
        <f>IF(G147="","",_xlfn.XLOOKUP(G147,'🚛 FROTA'!B:B,'🚛 FROTA'!K:K,""))</f>
        <v>Carroceria Cabinado</v>
      </c>
      <c r="L147" s="143" t="s">
        <v>595</v>
      </c>
      <c r="M147" s="143" t="s">
        <v>854</v>
      </c>
      <c r="N147" s="145">
        <v>45892</v>
      </c>
      <c r="O147" s="143">
        <v>4</v>
      </c>
      <c r="P147" s="143">
        <v>4</v>
      </c>
      <c r="Q147" s="167">
        <v>545.91</v>
      </c>
      <c r="R147" s="143" t="s">
        <v>554</v>
      </c>
      <c r="S147" s="122" t="s">
        <v>560</v>
      </c>
      <c r="T147" s="120" t="s">
        <v>522</v>
      </c>
      <c r="U147" s="121" t="s">
        <v>555</v>
      </c>
      <c r="V147" s="119" t="s">
        <v>634</v>
      </c>
      <c r="W147" s="119" t="s">
        <v>855</v>
      </c>
      <c r="X147" s="123" t="s">
        <v>856</v>
      </c>
      <c r="Y147" s="119"/>
      <c r="Z147" s="124">
        <v>5300</v>
      </c>
      <c r="AA147" s="125"/>
      <c r="AB147" s="126"/>
      <c r="AC147" s="127"/>
      <c r="AD147" s="127"/>
      <c r="AE147" s="127"/>
      <c r="AF147" s="127"/>
      <c r="AG147" s="125"/>
      <c r="AH147" s="128">
        <f t="shared" ca="1" si="10"/>
        <v>45772</v>
      </c>
      <c r="AI147" s="129" t="s">
        <v>602</v>
      </c>
      <c r="AJ147" s="129"/>
      <c r="AK147" s="129"/>
      <c r="AL147" s="129"/>
      <c r="AM147" s="129"/>
    </row>
    <row r="148" spans="1:39" ht="18" hidden="1" customHeight="1" x14ac:dyDescent="0.25">
      <c r="A148" s="117">
        <v>147</v>
      </c>
      <c r="B148" s="117"/>
      <c r="C148" s="118" t="s">
        <v>857</v>
      </c>
      <c r="D148" s="146">
        <f t="array" aca="1" ref="D148" ca="1">SUM(--(_xlfn.UNIQUE(_xlfn._xlws.FILTER($M$2:$M$1011 &amp; "", ($C$2:$C$1011 = C148) * ($M$2:$M$1011 &lt;&gt; ""))) &lt;&gt; ""))</f>
        <v>1</v>
      </c>
      <c r="E148" s="166">
        <f t="shared" ca="1" si="9"/>
        <v>658.75</v>
      </c>
      <c r="F148" s="143">
        <v>1</v>
      </c>
      <c r="G148" s="143" t="s">
        <v>85</v>
      </c>
      <c r="H148" s="119">
        <f>_xlfn.XLOOKUP(G148,'🚛 FROTA'!B:B,'🚛 FROTA'!A:A,"")</f>
        <v>6</v>
      </c>
      <c r="I148" s="119"/>
      <c r="J148" s="119" t="str">
        <f>IF(G148="","",_xlfn.XLOOKUP(G148,'🚛 FROTA'!B:B,'🚛 FROTA'!E:E,""))</f>
        <v>13.180 Constellation</v>
      </c>
      <c r="K148" s="119" t="str">
        <f>IF(G148="","",_xlfn.XLOOKUP(G148,'🚛 FROTA'!B:B,'🚛 FROTA'!K:K,""))</f>
        <v>Munck</v>
      </c>
      <c r="L148" s="143" t="s">
        <v>595</v>
      </c>
      <c r="M148" s="143" t="s">
        <v>858</v>
      </c>
      <c r="N148" s="145">
        <v>45802</v>
      </c>
      <c r="O148" s="143">
        <v>1</v>
      </c>
      <c r="P148" s="143">
        <v>3</v>
      </c>
      <c r="Q148" s="167">
        <v>329.38</v>
      </c>
      <c r="R148" s="143" t="s">
        <v>554</v>
      </c>
      <c r="S148" s="122" t="s">
        <v>560</v>
      </c>
      <c r="T148" s="120" t="s">
        <v>522</v>
      </c>
      <c r="U148" s="121" t="s">
        <v>597</v>
      </c>
      <c r="V148" s="119" t="s">
        <v>598</v>
      </c>
      <c r="W148" s="119" t="s">
        <v>859</v>
      </c>
      <c r="X148" s="123" t="s">
        <v>860</v>
      </c>
      <c r="Y148" s="119"/>
      <c r="Z148" s="130"/>
      <c r="AA148" s="125"/>
      <c r="AB148" s="126"/>
      <c r="AC148" s="127"/>
      <c r="AD148" s="127"/>
      <c r="AE148" s="127"/>
      <c r="AF148" s="127"/>
      <c r="AG148" s="125"/>
      <c r="AH148" s="128">
        <f t="shared" ca="1" si="10"/>
        <v>45772</v>
      </c>
      <c r="AI148" s="129" t="s">
        <v>602</v>
      </c>
      <c r="AJ148" s="129"/>
      <c r="AK148" s="132">
        <f>IF(Z148="",0,Z148+10000)</f>
        <v>0</v>
      </c>
      <c r="AL148" s="129"/>
      <c r="AM148" s="129"/>
    </row>
    <row r="149" spans="1:39" ht="18" hidden="1" customHeight="1" x14ac:dyDescent="0.25">
      <c r="A149" s="117">
        <v>148</v>
      </c>
      <c r="B149" s="117"/>
      <c r="C149" s="118" t="s">
        <v>857</v>
      </c>
      <c r="D149" s="146">
        <f t="array" aca="1" ref="D149" ca="1">SUM(--(_xlfn.UNIQUE(_xlfn._xlws.FILTER($M$2:$M$1011 &amp; "", ($C$2:$C$1011 = C149) * ($M$2:$M$1011 &lt;&gt; ""))) &lt;&gt; ""))</f>
        <v>1</v>
      </c>
      <c r="E149" s="166">
        <f t="shared" ca="1" si="9"/>
        <v>658.75</v>
      </c>
      <c r="F149" s="143">
        <v>1</v>
      </c>
      <c r="G149" s="143" t="s">
        <v>85</v>
      </c>
      <c r="H149" s="119">
        <f>_xlfn.XLOOKUP(G149,'🚛 FROTA'!B:B,'🚛 FROTA'!A:A,"")</f>
        <v>6</v>
      </c>
      <c r="I149" s="119"/>
      <c r="J149" s="119" t="str">
        <f>IF(G149="","",_xlfn.XLOOKUP(G149,'🚛 FROTA'!B:B,'🚛 FROTA'!E:E,""))</f>
        <v>13.180 Constellation</v>
      </c>
      <c r="K149" s="119" t="str">
        <f>IF(G149="","",_xlfn.XLOOKUP(G149,'🚛 FROTA'!B:B,'🚛 FROTA'!K:K,""))</f>
        <v>Munck</v>
      </c>
      <c r="L149" s="143" t="s">
        <v>595</v>
      </c>
      <c r="M149" s="143" t="s">
        <v>858</v>
      </c>
      <c r="N149" s="145">
        <v>45832</v>
      </c>
      <c r="O149" s="143">
        <v>2</v>
      </c>
      <c r="P149" s="143">
        <v>3</v>
      </c>
      <c r="Q149" s="167">
        <v>329.37</v>
      </c>
      <c r="R149" s="143" t="s">
        <v>554</v>
      </c>
      <c r="S149" s="122" t="s">
        <v>560</v>
      </c>
      <c r="T149" s="120" t="s">
        <v>522</v>
      </c>
      <c r="U149" s="121" t="s">
        <v>597</v>
      </c>
      <c r="V149" s="119" t="s">
        <v>598</v>
      </c>
      <c r="W149" s="119" t="s">
        <v>859</v>
      </c>
      <c r="X149" s="123" t="s">
        <v>860</v>
      </c>
      <c r="Y149" s="119"/>
      <c r="Z149" s="130"/>
      <c r="AA149" s="125"/>
      <c r="AB149" s="126"/>
      <c r="AC149" s="127"/>
      <c r="AD149" s="127"/>
      <c r="AE149" s="127"/>
      <c r="AF149" s="127"/>
      <c r="AG149" s="125"/>
      <c r="AH149" s="128">
        <f t="shared" ca="1" si="10"/>
        <v>45772</v>
      </c>
      <c r="AI149" s="129" t="s">
        <v>602</v>
      </c>
      <c r="AJ149" s="129"/>
      <c r="AK149" s="132">
        <f>IF(Z149="",0,Z149+10000)</f>
        <v>0</v>
      </c>
      <c r="AL149" s="129"/>
      <c r="AM149" s="129"/>
    </row>
    <row r="150" spans="1:39" ht="18" hidden="1" customHeight="1" x14ac:dyDescent="0.25">
      <c r="A150" s="117">
        <v>149</v>
      </c>
      <c r="B150" s="117"/>
      <c r="C150" s="118" t="s">
        <v>861</v>
      </c>
      <c r="D150" s="146">
        <f t="array" aca="1" ref="D150" ca="1">SUM(--(_xlfn.UNIQUE(_xlfn._xlws.FILTER($M$2:$M$1011 &amp; "", ($C$2:$C$1011 = C150) * ($M$2:$M$1011 &lt;&gt; ""))) &lt;&gt; ""))</f>
        <v>1</v>
      </c>
      <c r="E150" s="166">
        <f t="shared" ca="1" si="9"/>
        <v>1350</v>
      </c>
      <c r="F150" s="143">
        <v>1</v>
      </c>
      <c r="G150" s="143" t="s">
        <v>170</v>
      </c>
      <c r="H150" s="119">
        <f>_xlfn.XLOOKUP(G150,'🚛 FROTA'!B:B,'🚛 FROTA'!A:A,"")</f>
        <v>44</v>
      </c>
      <c r="I150" s="119"/>
      <c r="J150" s="119" t="str">
        <f>IF(G150="","",_xlfn.XLOOKUP(G150,'🚛 FROTA'!B:B,'🚛 FROTA'!E:E,""))</f>
        <v>Express Delivery</v>
      </c>
      <c r="K150" s="119" t="str">
        <f>IF(G150="","",_xlfn.XLOOKUP(G150,'🚛 FROTA'!B:B,'🚛 FROTA'!K:K,""))</f>
        <v>Carroceria</v>
      </c>
      <c r="L150" s="143" t="s">
        <v>697</v>
      </c>
      <c r="M150" s="143" t="s">
        <v>862</v>
      </c>
      <c r="N150" s="145">
        <v>45802</v>
      </c>
      <c r="O150" s="143">
        <v>1</v>
      </c>
      <c r="P150" s="143">
        <v>2</v>
      </c>
      <c r="Q150" s="167">
        <v>675</v>
      </c>
      <c r="R150" s="143" t="s">
        <v>554</v>
      </c>
      <c r="S150" s="122" t="s">
        <v>534</v>
      </c>
      <c r="T150" s="120" t="s">
        <v>522</v>
      </c>
      <c r="U150" s="121" t="s">
        <v>555</v>
      </c>
      <c r="V150" s="119" t="s">
        <v>556</v>
      </c>
      <c r="W150" s="119" t="s">
        <v>699</v>
      </c>
      <c r="X150" s="123" t="s">
        <v>863</v>
      </c>
      <c r="Y150" s="119"/>
      <c r="Z150" s="124">
        <v>34550</v>
      </c>
      <c r="AA150" s="125"/>
      <c r="AB150" s="126"/>
      <c r="AC150" s="127"/>
      <c r="AD150" s="127"/>
      <c r="AE150" s="127"/>
      <c r="AF150" s="127"/>
      <c r="AG150" s="125"/>
      <c r="AH150" s="128">
        <f t="shared" ca="1" si="10"/>
        <v>45772</v>
      </c>
      <c r="AI150" s="129"/>
      <c r="AJ150" s="129"/>
      <c r="AK150" s="129"/>
      <c r="AL150" s="129"/>
      <c r="AM150" s="129"/>
    </row>
    <row r="151" spans="1:39" ht="18" hidden="1" customHeight="1" x14ac:dyDescent="0.25">
      <c r="A151" s="117">
        <v>150</v>
      </c>
      <c r="B151" s="117"/>
      <c r="C151" s="118" t="s">
        <v>861</v>
      </c>
      <c r="D151" s="146">
        <f t="array" aca="1" ref="D151" ca="1">SUM(--(_xlfn.UNIQUE(_xlfn._xlws.FILTER($M$2:$M$1011 &amp; "", ($C$2:$C$1011 = C151) * ($M$2:$M$1011 &lt;&gt; ""))) &lt;&gt; ""))</f>
        <v>1</v>
      </c>
      <c r="E151" s="166">
        <f t="shared" ca="1" si="9"/>
        <v>1350</v>
      </c>
      <c r="F151" s="143">
        <v>1</v>
      </c>
      <c r="G151" s="143" t="s">
        <v>170</v>
      </c>
      <c r="H151" s="119">
        <f>_xlfn.XLOOKUP(G151,'🚛 FROTA'!B:B,'🚛 FROTA'!A:A,"")</f>
        <v>44</v>
      </c>
      <c r="I151" s="119"/>
      <c r="J151" s="119" t="str">
        <f>IF(G151="","",_xlfn.XLOOKUP(G151,'🚛 FROTA'!B:B,'🚛 FROTA'!E:E,""))</f>
        <v>Express Delivery</v>
      </c>
      <c r="K151" s="119" t="str">
        <f>IF(G151="","",_xlfn.XLOOKUP(G151,'🚛 FROTA'!B:B,'🚛 FROTA'!K:K,""))</f>
        <v>Carroceria</v>
      </c>
      <c r="L151" s="143" t="s">
        <v>697</v>
      </c>
      <c r="M151" s="143" t="s">
        <v>862</v>
      </c>
      <c r="N151" s="145">
        <v>45832</v>
      </c>
      <c r="O151" s="143">
        <v>2</v>
      </c>
      <c r="P151" s="143">
        <v>2</v>
      </c>
      <c r="Q151" s="167">
        <v>675</v>
      </c>
      <c r="R151" s="143" t="s">
        <v>554</v>
      </c>
      <c r="S151" s="122" t="s">
        <v>534</v>
      </c>
      <c r="T151" s="120" t="s">
        <v>522</v>
      </c>
      <c r="U151" s="121" t="s">
        <v>555</v>
      </c>
      <c r="V151" s="119" t="s">
        <v>556</v>
      </c>
      <c r="W151" s="119" t="s">
        <v>699</v>
      </c>
      <c r="X151" s="123" t="s">
        <v>863</v>
      </c>
      <c r="Y151" s="119"/>
      <c r="Z151" s="124">
        <v>34550</v>
      </c>
      <c r="AA151" s="125"/>
      <c r="AB151" s="126"/>
      <c r="AC151" s="127"/>
      <c r="AD151" s="127"/>
      <c r="AE151" s="127"/>
      <c r="AF151" s="127"/>
      <c r="AG151" s="125"/>
      <c r="AH151" s="128">
        <f t="shared" ca="1" si="10"/>
        <v>45772</v>
      </c>
      <c r="AI151" s="129"/>
      <c r="AJ151" s="129"/>
      <c r="AK151" s="129"/>
      <c r="AL151" s="129"/>
      <c r="AM151" s="129"/>
    </row>
    <row r="152" spans="1:39" ht="18" hidden="1" customHeight="1" x14ac:dyDescent="0.25">
      <c r="A152" s="117">
        <v>151</v>
      </c>
      <c r="B152" s="117"/>
      <c r="C152" s="118" t="s">
        <v>864</v>
      </c>
      <c r="D152" s="146">
        <f t="array" aca="1" ref="D152" ca="1">SUM(--(_xlfn.UNIQUE(_xlfn._xlws.FILTER($M$2:$M$1011 &amp; "", ($C$2:$C$1011 = C152) * ($M$2:$M$1011 &lt;&gt; ""))) &lt;&gt; ""))</f>
        <v>1</v>
      </c>
      <c r="E152" s="166">
        <f t="shared" ca="1" si="9"/>
        <v>302.52999999999997</v>
      </c>
      <c r="F152" s="143">
        <v>1</v>
      </c>
      <c r="G152" s="143" t="s">
        <v>141</v>
      </c>
      <c r="H152" s="119">
        <f>_xlfn.XLOOKUP(G152,'🚛 FROTA'!B:B,'🚛 FROTA'!A:A,"")</f>
        <v>24</v>
      </c>
      <c r="I152" s="119"/>
      <c r="J152" s="119" t="str">
        <f>IF(G152="","",_xlfn.XLOOKUP(G152,'🚛 FROTA'!B:B,'🚛 FROTA'!E:E,""))</f>
        <v>14.190 Constellation</v>
      </c>
      <c r="K152" s="119" t="str">
        <f>IF(G152="","",_xlfn.XLOOKUP(G152,'🚛 FROTA'!B:B,'🚛 FROTA'!K:K,""))</f>
        <v>Munck</v>
      </c>
      <c r="L152" s="143" t="s">
        <v>595</v>
      </c>
      <c r="M152" s="143" t="s">
        <v>865</v>
      </c>
      <c r="N152" s="145">
        <v>45803</v>
      </c>
      <c r="O152" s="143">
        <v>3</v>
      </c>
      <c r="P152" s="143">
        <v>3</v>
      </c>
      <c r="Q152" s="167">
        <v>302.52999999999997</v>
      </c>
      <c r="R152" s="143" t="s">
        <v>554</v>
      </c>
      <c r="S152" s="122" t="s">
        <v>560</v>
      </c>
      <c r="T152" s="120" t="s">
        <v>522</v>
      </c>
      <c r="U152" s="121" t="s">
        <v>555</v>
      </c>
      <c r="V152" s="119" t="s">
        <v>568</v>
      </c>
      <c r="W152" s="119" t="s">
        <v>866</v>
      </c>
      <c r="X152" s="123" t="s">
        <v>867</v>
      </c>
      <c r="Y152" s="119"/>
      <c r="Z152" s="124">
        <v>118308</v>
      </c>
      <c r="AA152" s="125"/>
      <c r="AB152" s="126"/>
      <c r="AC152" s="127"/>
      <c r="AD152" s="127"/>
      <c r="AE152" s="127"/>
      <c r="AF152" s="127"/>
      <c r="AG152" s="125"/>
      <c r="AH152" s="128">
        <f t="shared" ca="1" si="10"/>
        <v>45773</v>
      </c>
      <c r="AI152" s="129" t="s">
        <v>602</v>
      </c>
      <c r="AJ152" s="129"/>
      <c r="AK152" s="129"/>
      <c r="AL152" s="129"/>
      <c r="AM152" s="129"/>
    </row>
    <row r="153" spans="1:39" ht="18" hidden="1" customHeight="1" x14ac:dyDescent="0.25">
      <c r="A153" s="117">
        <v>152</v>
      </c>
      <c r="B153" s="117"/>
      <c r="C153" s="118" t="s">
        <v>868</v>
      </c>
      <c r="D153" s="146">
        <f t="array" aca="1" ref="D153" ca="1">SUM(--(_xlfn.UNIQUE(_xlfn._xlws.FILTER($M$2:$M$1011 &amp; "", ($C$2:$C$1011 = C153) * ($M$2:$M$1011 &lt;&gt; ""))) &lt;&gt; ""))</f>
        <v>1</v>
      </c>
      <c r="E153" s="166">
        <f t="shared" ca="1" si="9"/>
        <v>2046</v>
      </c>
      <c r="F153" s="143">
        <v>1</v>
      </c>
      <c r="G153" s="143" t="s">
        <v>162</v>
      </c>
      <c r="H153" s="119">
        <f>_xlfn.XLOOKUP(G153,'🚛 FROTA'!B:B,'🚛 FROTA'!A:A,"")</f>
        <v>39</v>
      </c>
      <c r="I153" s="119"/>
      <c r="J153" s="119" t="str">
        <f>IF(G153="","",_xlfn.XLOOKUP(G153,'🚛 FROTA'!B:B,'🚛 FROTA'!E:E,""))</f>
        <v>Express Delivery</v>
      </c>
      <c r="K153" s="119" t="str">
        <f>IF(G153="","",_xlfn.XLOOKUP(G153,'🚛 FROTA'!B:B,'🚛 FROTA'!K:K,""))</f>
        <v>Carroceria Cabinado</v>
      </c>
      <c r="L153" s="143" t="s">
        <v>617</v>
      </c>
      <c r="M153" s="143" t="s">
        <v>869</v>
      </c>
      <c r="N153" s="145">
        <v>45813</v>
      </c>
      <c r="O153" s="143">
        <v>1</v>
      </c>
      <c r="P153" s="143">
        <v>2</v>
      </c>
      <c r="Q153" s="167">
        <v>1023</v>
      </c>
      <c r="R153" s="143" t="s">
        <v>554</v>
      </c>
      <c r="S153" s="122" t="s">
        <v>534</v>
      </c>
      <c r="T153" s="120" t="s">
        <v>522</v>
      </c>
      <c r="U153" s="121" t="s">
        <v>597</v>
      </c>
      <c r="V153" s="119" t="s">
        <v>598</v>
      </c>
      <c r="W153" s="119" t="s">
        <v>870</v>
      </c>
      <c r="X153" s="123" t="s">
        <v>871</v>
      </c>
      <c r="Y153" s="119"/>
      <c r="Z153" s="124">
        <v>68576</v>
      </c>
      <c r="AA153" s="125"/>
      <c r="AB153" s="126"/>
      <c r="AC153" s="127"/>
      <c r="AD153" s="127"/>
      <c r="AE153" s="127"/>
      <c r="AF153" s="127"/>
      <c r="AG153" s="125"/>
      <c r="AH153" s="128">
        <f t="shared" ca="1" si="10"/>
        <v>45783</v>
      </c>
      <c r="AI153" s="129" t="s">
        <v>622</v>
      </c>
      <c r="AJ153" s="129"/>
      <c r="AK153" s="132">
        <f>IF(Z153="",0,Z153+10000)</f>
        <v>78576</v>
      </c>
      <c r="AL153" s="129"/>
      <c r="AM153" s="129"/>
    </row>
    <row r="154" spans="1:39" ht="18" hidden="1" customHeight="1" x14ac:dyDescent="0.25">
      <c r="A154" s="117">
        <v>153</v>
      </c>
      <c r="B154" s="117"/>
      <c r="C154" s="118" t="s">
        <v>868</v>
      </c>
      <c r="D154" s="146">
        <f t="array" aca="1" ref="D154" ca="1">SUM(--(_xlfn.UNIQUE(_xlfn._xlws.FILTER($M$2:$M$1011 &amp; "", ($C$2:$C$1011 = C154) * ($M$2:$M$1011 &lt;&gt; ""))) &lt;&gt; ""))</f>
        <v>1</v>
      </c>
      <c r="E154" s="166">
        <f t="shared" ca="1" si="9"/>
        <v>2046</v>
      </c>
      <c r="F154" s="143">
        <v>1</v>
      </c>
      <c r="G154" s="143" t="s">
        <v>162</v>
      </c>
      <c r="H154" s="119">
        <f>_xlfn.XLOOKUP(G154,'🚛 FROTA'!B:B,'🚛 FROTA'!A:A,"")</f>
        <v>39</v>
      </c>
      <c r="I154" s="119"/>
      <c r="J154" s="119" t="str">
        <f>IF(G154="","",_xlfn.XLOOKUP(G154,'🚛 FROTA'!B:B,'🚛 FROTA'!E:E,""))</f>
        <v>Express Delivery</v>
      </c>
      <c r="K154" s="119" t="str">
        <f>IF(G154="","",_xlfn.XLOOKUP(G154,'🚛 FROTA'!B:B,'🚛 FROTA'!K:K,""))</f>
        <v>Carroceria Cabinado</v>
      </c>
      <c r="L154" s="143" t="s">
        <v>617</v>
      </c>
      <c r="M154" s="143" t="s">
        <v>869</v>
      </c>
      <c r="N154" s="145">
        <v>45842</v>
      </c>
      <c r="O154" s="143">
        <v>2</v>
      </c>
      <c r="P154" s="143">
        <v>2</v>
      </c>
      <c r="Q154" s="167">
        <v>1023</v>
      </c>
      <c r="R154" s="143" t="s">
        <v>554</v>
      </c>
      <c r="S154" s="122" t="s">
        <v>534</v>
      </c>
      <c r="T154" s="120" t="s">
        <v>522</v>
      </c>
      <c r="U154" s="121" t="s">
        <v>597</v>
      </c>
      <c r="V154" s="119" t="s">
        <v>598</v>
      </c>
      <c r="W154" s="119" t="s">
        <v>870</v>
      </c>
      <c r="X154" s="123" t="s">
        <v>871</v>
      </c>
      <c r="Y154" s="119"/>
      <c r="Z154" s="124">
        <v>68576</v>
      </c>
      <c r="AA154" s="125"/>
      <c r="AB154" s="126"/>
      <c r="AC154" s="127"/>
      <c r="AD154" s="127"/>
      <c r="AE154" s="127"/>
      <c r="AF154" s="127"/>
      <c r="AG154" s="125"/>
      <c r="AH154" s="128">
        <f t="shared" ca="1" si="10"/>
        <v>45783</v>
      </c>
      <c r="AI154" s="129" t="s">
        <v>622</v>
      </c>
      <c r="AJ154" s="129"/>
      <c r="AK154" s="132">
        <f>IF(Z154="",0,Z154+10000)</f>
        <v>78576</v>
      </c>
      <c r="AL154" s="129"/>
      <c r="AM154" s="129"/>
    </row>
    <row r="155" spans="1:39" ht="18" hidden="1" customHeight="1" x14ac:dyDescent="0.25">
      <c r="A155" s="117">
        <v>154</v>
      </c>
      <c r="B155" s="117"/>
      <c r="C155" s="118" t="s">
        <v>872</v>
      </c>
      <c r="D155" s="146">
        <f t="array" aca="1" ref="D155" ca="1">SUM(--(_xlfn.UNIQUE(_xlfn._xlws.FILTER($M$2:$M$1011 &amp; "", ($C$2:$C$1011 = C155) * ($M$2:$M$1011 &lt;&gt; ""))) &lt;&gt; ""))</f>
        <v>1</v>
      </c>
      <c r="E155" s="166">
        <f t="shared" ca="1" si="9"/>
        <v>919.33</v>
      </c>
      <c r="F155" s="143">
        <v>1</v>
      </c>
      <c r="G155" s="143" t="s">
        <v>155</v>
      </c>
      <c r="H155" s="119">
        <f>_xlfn.XLOOKUP(G155,'🚛 FROTA'!B:B,'🚛 FROTA'!A:A,"")</f>
        <v>34</v>
      </c>
      <c r="I155" s="119"/>
      <c r="J155" s="119" t="str">
        <f>IF(G155="","",_xlfn.XLOOKUP(G155,'🚛 FROTA'!B:B,'🚛 FROTA'!E:E,""))</f>
        <v>9.170 Delivery</v>
      </c>
      <c r="K155" s="119" t="str">
        <f>IF(G155="","",_xlfn.XLOOKUP(G155,'🚛 FROTA'!B:B,'🚛 FROTA'!K:K,""))</f>
        <v>Basculante</v>
      </c>
      <c r="L155" s="143" t="s">
        <v>552</v>
      </c>
      <c r="M155" s="143" t="s">
        <v>780</v>
      </c>
      <c r="N155" s="145">
        <v>45814</v>
      </c>
      <c r="O155" s="143">
        <v>3</v>
      </c>
      <c r="P155" s="143">
        <v>3</v>
      </c>
      <c r="Q155" s="167">
        <v>919.33</v>
      </c>
      <c r="R155" s="143" t="s">
        <v>554</v>
      </c>
      <c r="S155" s="122" t="s">
        <v>534</v>
      </c>
      <c r="T155" s="120" t="s">
        <v>522</v>
      </c>
      <c r="U155" s="121" t="s">
        <v>597</v>
      </c>
      <c r="V155" s="119" t="s">
        <v>598</v>
      </c>
      <c r="W155" s="119" t="s">
        <v>873</v>
      </c>
      <c r="X155" s="123" t="s">
        <v>874</v>
      </c>
      <c r="Y155" s="119"/>
      <c r="Z155" s="130"/>
      <c r="AA155" s="125"/>
      <c r="AB155" s="126"/>
      <c r="AC155" s="127"/>
      <c r="AD155" s="127"/>
      <c r="AE155" s="127"/>
      <c r="AF155" s="127"/>
      <c r="AG155" s="125"/>
      <c r="AH155" s="128">
        <f t="shared" ca="1" si="10"/>
        <v>45784</v>
      </c>
      <c r="AI155" s="129" t="s">
        <v>559</v>
      </c>
      <c r="AJ155" s="129"/>
      <c r="AK155" s="132">
        <f>IF(Z155="",0,Z155+10000)</f>
        <v>0</v>
      </c>
      <c r="AL155" s="129"/>
      <c r="AM155" s="129"/>
    </row>
    <row r="156" spans="1:39" ht="18" hidden="1" customHeight="1" x14ac:dyDescent="0.25">
      <c r="A156" s="117">
        <v>155</v>
      </c>
      <c r="B156" s="117"/>
      <c r="C156" s="118" t="s">
        <v>875</v>
      </c>
      <c r="D156" s="146">
        <f t="array" aca="1" ref="D156" ca="1">SUM(--(_xlfn.UNIQUE(_xlfn._xlws.FILTER($M$2:$M$1011 &amp; "", ($C$2:$C$1011 = C156) * ($M$2:$M$1011 &lt;&gt; ""))) &lt;&gt; ""))</f>
        <v>2</v>
      </c>
      <c r="E156" s="166">
        <f t="shared" ca="1" si="9"/>
        <v>20249.980000000003</v>
      </c>
      <c r="F156" s="143">
        <v>1</v>
      </c>
      <c r="G156" s="143" t="s">
        <v>141</v>
      </c>
      <c r="H156" s="119">
        <f>_xlfn.XLOOKUP(G156,'🚛 FROTA'!B:B,'🚛 FROTA'!A:A,"")</f>
        <v>24</v>
      </c>
      <c r="I156" s="119"/>
      <c r="J156" s="119" t="str">
        <f>IF(G156="","",_xlfn.XLOOKUP(G156,'🚛 FROTA'!B:B,'🚛 FROTA'!E:E,""))</f>
        <v>14.190 Constellation</v>
      </c>
      <c r="K156" s="119" t="str">
        <f>IF(G156="","",_xlfn.XLOOKUP(G156,'🚛 FROTA'!B:B,'🚛 FROTA'!K:K,""))</f>
        <v>Munck</v>
      </c>
      <c r="L156" s="143" t="s">
        <v>876</v>
      </c>
      <c r="M156" s="143" t="s">
        <v>877</v>
      </c>
      <c r="N156" s="145">
        <v>45820</v>
      </c>
      <c r="O156" s="143">
        <v>1</v>
      </c>
      <c r="P156" s="143">
        <v>7</v>
      </c>
      <c r="Q156" s="167">
        <v>3000</v>
      </c>
      <c r="R156" s="143" t="s">
        <v>651</v>
      </c>
      <c r="S156" s="122" t="s">
        <v>534</v>
      </c>
      <c r="T156" s="120" t="s">
        <v>522</v>
      </c>
      <c r="U156" s="121" t="s">
        <v>555</v>
      </c>
      <c r="V156" s="119" t="s">
        <v>619</v>
      </c>
      <c r="W156" s="119" t="s">
        <v>878</v>
      </c>
      <c r="X156" s="123" t="s">
        <v>879</v>
      </c>
      <c r="Y156" s="119"/>
      <c r="Z156" s="124">
        <v>119806</v>
      </c>
      <c r="AA156" s="125"/>
      <c r="AB156" s="126"/>
      <c r="AC156" s="127"/>
      <c r="AD156" s="127"/>
      <c r="AE156" s="127"/>
      <c r="AF156" s="127"/>
      <c r="AG156" s="125"/>
      <c r="AH156" s="128">
        <f>IF(OR(R156="A Vista", R156="Crédito", R156="Adiantamento"), N156, IF(R156="Faturado", _xlfn.MINIFS(N:N, C:C, C156)-30, ""))</f>
        <v>45820</v>
      </c>
      <c r="AI156" s="129" t="s">
        <v>880</v>
      </c>
      <c r="AJ156" s="129"/>
      <c r="AK156" s="129"/>
      <c r="AL156" s="129"/>
      <c r="AM156" s="129"/>
    </row>
    <row r="157" spans="1:39" ht="18" hidden="1" customHeight="1" x14ac:dyDescent="0.25">
      <c r="A157" s="117">
        <v>156</v>
      </c>
      <c r="B157" s="117"/>
      <c r="C157" s="118" t="s">
        <v>875</v>
      </c>
      <c r="D157" s="146">
        <f t="array" aca="1" ref="D157" ca="1">SUM(--(_xlfn.UNIQUE(_xlfn._xlws.FILTER($M$2:$M$1011 &amp; "", ($C$2:$C$1011 = C157) * ($M$2:$M$1011 &lt;&gt; ""))) &lt;&gt; ""))</f>
        <v>2</v>
      </c>
      <c r="E157" s="166">
        <f t="shared" ca="1" si="9"/>
        <v>20249.980000000003</v>
      </c>
      <c r="F157" s="143">
        <v>1</v>
      </c>
      <c r="G157" s="143" t="s">
        <v>141</v>
      </c>
      <c r="H157" s="119">
        <f>_xlfn.XLOOKUP(G157,'🚛 FROTA'!B:B,'🚛 FROTA'!A:A,"")</f>
        <v>24</v>
      </c>
      <c r="I157" s="119"/>
      <c r="J157" s="119" t="str">
        <f>IF(G157="","",_xlfn.XLOOKUP(G157,'🚛 FROTA'!B:B,'🚛 FROTA'!E:E,""))</f>
        <v>14.190 Constellation</v>
      </c>
      <c r="K157" s="119" t="str">
        <f>IF(G157="","",_xlfn.XLOOKUP(G157,'🚛 FROTA'!B:B,'🚛 FROTA'!K:K,""))</f>
        <v>Munck</v>
      </c>
      <c r="L157" s="143" t="s">
        <v>881</v>
      </c>
      <c r="M157" s="143" t="s">
        <v>882</v>
      </c>
      <c r="N157" s="145">
        <v>45824</v>
      </c>
      <c r="O157" s="143">
        <v>1</v>
      </c>
      <c r="P157" s="143">
        <v>1</v>
      </c>
      <c r="Q157" s="167">
        <v>250</v>
      </c>
      <c r="R157" s="143" t="s">
        <v>554</v>
      </c>
      <c r="S157" s="122" t="s">
        <v>534</v>
      </c>
      <c r="T157" s="120" t="s">
        <v>522</v>
      </c>
      <c r="U157" s="121" t="s">
        <v>555</v>
      </c>
      <c r="V157" s="119" t="s">
        <v>619</v>
      </c>
      <c r="W157" s="119" t="s">
        <v>883</v>
      </c>
      <c r="X157" s="123" t="s">
        <v>884</v>
      </c>
      <c r="Y157" s="119"/>
      <c r="Z157" s="124">
        <v>119806</v>
      </c>
      <c r="AA157" s="125"/>
      <c r="AB157" s="126"/>
      <c r="AC157" s="127"/>
      <c r="AD157" s="127"/>
      <c r="AE157" s="127"/>
      <c r="AF157" s="127"/>
      <c r="AG157" s="125"/>
      <c r="AH157" s="128">
        <f t="shared" ref="AH157:AH176" ca="1" si="11">IF(OR(R157="A VISTA", R157="C. CRÉDITO", R157="ADIANTAMENTO"), N157, IF(R157="Faturado", _xlfn.MINIFS(N:N, C:C, C157)-30, ""))</f>
        <v>45790</v>
      </c>
      <c r="AI157" s="129"/>
      <c r="AJ157" s="129"/>
      <c r="AK157" s="129"/>
      <c r="AL157" s="129"/>
      <c r="AM157" s="129"/>
    </row>
    <row r="158" spans="1:39" ht="18" hidden="1" customHeight="1" x14ac:dyDescent="0.25">
      <c r="A158" s="117">
        <v>157</v>
      </c>
      <c r="B158" s="117"/>
      <c r="C158" s="118" t="s">
        <v>875</v>
      </c>
      <c r="D158" s="146">
        <f t="array" aca="1" ref="D158" ca="1">SUM(--(_xlfn.UNIQUE(_xlfn._xlws.FILTER($M$2:$M$1011 &amp; "", ($C$2:$C$1011 = C158) * ($M$2:$M$1011 &lt;&gt; ""))) &lt;&gt; ""))</f>
        <v>2</v>
      </c>
      <c r="E158" s="166">
        <f t="shared" ca="1" si="9"/>
        <v>20249.980000000003</v>
      </c>
      <c r="F158" s="143">
        <v>1</v>
      </c>
      <c r="G158" s="143" t="s">
        <v>141</v>
      </c>
      <c r="H158" s="119">
        <f>_xlfn.XLOOKUP(G158,'🚛 FROTA'!B:B,'🚛 FROTA'!A:A,"")</f>
        <v>24</v>
      </c>
      <c r="I158" s="119"/>
      <c r="J158" s="119" t="str">
        <f>IF(G158="","",_xlfn.XLOOKUP(G158,'🚛 FROTA'!B:B,'🚛 FROTA'!E:E,""))</f>
        <v>14.190 Constellation</v>
      </c>
      <c r="K158" s="119" t="str">
        <f>IF(G158="","",_xlfn.XLOOKUP(G158,'🚛 FROTA'!B:B,'🚛 FROTA'!K:K,""))</f>
        <v>Munck</v>
      </c>
      <c r="L158" s="143" t="s">
        <v>876</v>
      </c>
      <c r="M158" s="143" t="s">
        <v>877</v>
      </c>
      <c r="N158" s="145">
        <v>45854</v>
      </c>
      <c r="O158" s="143">
        <v>2</v>
      </c>
      <c r="P158" s="143">
        <v>7</v>
      </c>
      <c r="Q158" s="167">
        <v>2833.33</v>
      </c>
      <c r="R158" s="143" t="s">
        <v>554</v>
      </c>
      <c r="S158" s="122" t="s">
        <v>534</v>
      </c>
      <c r="T158" s="120" t="s">
        <v>522</v>
      </c>
      <c r="U158" s="121" t="s">
        <v>555</v>
      </c>
      <c r="V158" s="119" t="s">
        <v>619</v>
      </c>
      <c r="W158" s="119" t="s">
        <v>885</v>
      </c>
      <c r="X158" s="123" t="s">
        <v>886</v>
      </c>
      <c r="Y158" s="119"/>
      <c r="Z158" s="124">
        <v>119806</v>
      </c>
      <c r="AA158" s="125"/>
      <c r="AB158" s="126"/>
      <c r="AC158" s="127"/>
      <c r="AD158" s="127"/>
      <c r="AE158" s="127"/>
      <c r="AF158" s="127"/>
      <c r="AG158" s="125"/>
      <c r="AH158" s="128">
        <f t="shared" ca="1" si="11"/>
        <v>45790</v>
      </c>
      <c r="AI158" s="129" t="s">
        <v>880</v>
      </c>
      <c r="AJ158" s="129"/>
      <c r="AK158" s="129"/>
      <c r="AL158" s="129"/>
      <c r="AM158" s="129"/>
    </row>
    <row r="159" spans="1:39" ht="18" hidden="1" customHeight="1" x14ac:dyDescent="0.25">
      <c r="A159" s="117">
        <v>158</v>
      </c>
      <c r="B159" s="117"/>
      <c r="C159" s="118" t="s">
        <v>875</v>
      </c>
      <c r="D159" s="146">
        <f t="array" aca="1" ref="D159" ca="1">SUM(--(_xlfn.UNIQUE(_xlfn._xlws.FILTER($M$2:$M$1011 &amp; "", ($C$2:$C$1011 = C159) * ($M$2:$M$1011 &lt;&gt; ""))) &lt;&gt; ""))</f>
        <v>2</v>
      </c>
      <c r="E159" s="166">
        <f t="shared" ca="1" si="9"/>
        <v>20249.980000000003</v>
      </c>
      <c r="F159" s="143">
        <v>1</v>
      </c>
      <c r="G159" s="143" t="s">
        <v>141</v>
      </c>
      <c r="H159" s="119">
        <f>_xlfn.XLOOKUP(G159,'🚛 FROTA'!B:B,'🚛 FROTA'!A:A,"")</f>
        <v>24</v>
      </c>
      <c r="I159" s="119"/>
      <c r="J159" s="119" t="str">
        <f>IF(G159="","",_xlfn.XLOOKUP(G159,'🚛 FROTA'!B:B,'🚛 FROTA'!E:E,""))</f>
        <v>14.190 Constellation</v>
      </c>
      <c r="K159" s="119" t="str">
        <f>IF(G159="","",_xlfn.XLOOKUP(G159,'🚛 FROTA'!B:B,'🚛 FROTA'!K:K,""))</f>
        <v>Munck</v>
      </c>
      <c r="L159" s="143" t="s">
        <v>876</v>
      </c>
      <c r="M159" s="143" t="s">
        <v>877</v>
      </c>
      <c r="N159" s="145">
        <v>45885</v>
      </c>
      <c r="O159" s="143">
        <v>3</v>
      </c>
      <c r="P159" s="143">
        <v>7</v>
      </c>
      <c r="Q159" s="167">
        <v>2833.33</v>
      </c>
      <c r="R159" s="143" t="s">
        <v>554</v>
      </c>
      <c r="S159" s="122" t="s">
        <v>534</v>
      </c>
      <c r="T159" s="120" t="s">
        <v>522</v>
      </c>
      <c r="U159" s="121" t="s">
        <v>555</v>
      </c>
      <c r="V159" s="119" t="s">
        <v>619</v>
      </c>
      <c r="W159" s="119" t="s">
        <v>885</v>
      </c>
      <c r="X159" s="123" t="s">
        <v>886</v>
      </c>
      <c r="Y159" s="119"/>
      <c r="Z159" s="124">
        <v>119806</v>
      </c>
      <c r="AA159" s="125"/>
      <c r="AB159" s="126"/>
      <c r="AC159" s="127"/>
      <c r="AD159" s="127"/>
      <c r="AE159" s="127"/>
      <c r="AF159" s="127"/>
      <c r="AG159" s="125"/>
      <c r="AH159" s="128">
        <f t="shared" ca="1" si="11"/>
        <v>45790</v>
      </c>
      <c r="AI159" s="129" t="s">
        <v>880</v>
      </c>
      <c r="AJ159" s="129"/>
      <c r="AK159" s="129"/>
      <c r="AL159" s="129"/>
      <c r="AM159" s="129"/>
    </row>
    <row r="160" spans="1:39" ht="18" hidden="1" customHeight="1" x14ac:dyDescent="0.25">
      <c r="A160" s="117">
        <v>159</v>
      </c>
      <c r="B160" s="117"/>
      <c r="C160" s="118" t="s">
        <v>875</v>
      </c>
      <c r="D160" s="146">
        <f t="array" aca="1" ref="D160" ca="1">SUM(--(_xlfn.UNIQUE(_xlfn._xlws.FILTER($M$2:$M$1011 &amp; "", ($C$2:$C$1011 = C160) * ($M$2:$M$1011 &lt;&gt; ""))) &lt;&gt; ""))</f>
        <v>2</v>
      </c>
      <c r="E160" s="166">
        <f t="shared" ca="1" si="9"/>
        <v>20249.980000000003</v>
      </c>
      <c r="F160" s="143">
        <v>1</v>
      </c>
      <c r="G160" s="143" t="s">
        <v>141</v>
      </c>
      <c r="H160" s="119">
        <f>_xlfn.XLOOKUP(G160,'🚛 FROTA'!B:B,'🚛 FROTA'!A:A,"")</f>
        <v>24</v>
      </c>
      <c r="I160" s="119"/>
      <c r="J160" s="119" t="str">
        <f>IF(G160="","",_xlfn.XLOOKUP(G160,'🚛 FROTA'!B:B,'🚛 FROTA'!E:E,""))</f>
        <v>14.190 Constellation</v>
      </c>
      <c r="K160" s="119" t="str">
        <f>IF(G160="","",_xlfn.XLOOKUP(G160,'🚛 FROTA'!B:B,'🚛 FROTA'!K:K,""))</f>
        <v>Munck</v>
      </c>
      <c r="L160" s="143" t="s">
        <v>876</v>
      </c>
      <c r="M160" s="143" t="s">
        <v>877</v>
      </c>
      <c r="N160" s="145">
        <v>45916</v>
      </c>
      <c r="O160" s="143">
        <v>4</v>
      </c>
      <c r="P160" s="143">
        <v>7</v>
      </c>
      <c r="Q160" s="167">
        <v>2833.33</v>
      </c>
      <c r="R160" s="143" t="s">
        <v>554</v>
      </c>
      <c r="S160" s="122" t="s">
        <v>534</v>
      </c>
      <c r="T160" s="120" t="s">
        <v>522</v>
      </c>
      <c r="U160" s="121" t="s">
        <v>555</v>
      </c>
      <c r="V160" s="119" t="s">
        <v>619</v>
      </c>
      <c r="W160" s="119" t="s">
        <v>885</v>
      </c>
      <c r="X160" s="123" t="s">
        <v>886</v>
      </c>
      <c r="Y160" s="119"/>
      <c r="Z160" s="124">
        <v>119806</v>
      </c>
      <c r="AA160" s="125"/>
      <c r="AB160" s="126"/>
      <c r="AC160" s="127"/>
      <c r="AD160" s="127"/>
      <c r="AE160" s="127"/>
      <c r="AF160" s="127"/>
      <c r="AG160" s="125"/>
      <c r="AH160" s="128">
        <f t="shared" ca="1" si="11"/>
        <v>45790</v>
      </c>
      <c r="AI160" s="129" t="s">
        <v>880</v>
      </c>
      <c r="AJ160" s="129"/>
      <c r="AK160" s="129"/>
      <c r="AL160" s="129"/>
      <c r="AM160" s="129"/>
    </row>
    <row r="161" spans="1:39" ht="18" hidden="1" customHeight="1" x14ac:dyDescent="0.25">
      <c r="A161" s="117">
        <v>160</v>
      </c>
      <c r="B161" s="117"/>
      <c r="C161" s="118" t="s">
        <v>875</v>
      </c>
      <c r="D161" s="146">
        <f t="array" aca="1" ref="D161" ca="1">SUM(--(_xlfn.UNIQUE(_xlfn._xlws.FILTER($M$2:$M$1011 &amp; "", ($C$2:$C$1011 = C161) * ($M$2:$M$1011 &lt;&gt; ""))) &lt;&gt; ""))</f>
        <v>2</v>
      </c>
      <c r="E161" s="166">
        <f t="shared" ca="1" si="9"/>
        <v>20249.980000000003</v>
      </c>
      <c r="F161" s="143">
        <v>1</v>
      </c>
      <c r="G161" s="143" t="s">
        <v>141</v>
      </c>
      <c r="H161" s="119">
        <f>_xlfn.XLOOKUP(G161,'🚛 FROTA'!B:B,'🚛 FROTA'!A:A,"")</f>
        <v>24</v>
      </c>
      <c r="I161" s="119"/>
      <c r="J161" s="119" t="str">
        <f>IF(G161="","",_xlfn.XLOOKUP(G161,'🚛 FROTA'!B:B,'🚛 FROTA'!E:E,""))</f>
        <v>14.190 Constellation</v>
      </c>
      <c r="K161" s="119" t="str">
        <f>IF(G161="","",_xlfn.XLOOKUP(G161,'🚛 FROTA'!B:B,'🚛 FROTA'!K:K,""))</f>
        <v>Munck</v>
      </c>
      <c r="L161" s="143" t="s">
        <v>876</v>
      </c>
      <c r="M161" s="143" t="s">
        <v>877</v>
      </c>
      <c r="N161" s="145">
        <v>45946</v>
      </c>
      <c r="O161" s="143">
        <v>5</v>
      </c>
      <c r="P161" s="143">
        <v>7</v>
      </c>
      <c r="Q161" s="167">
        <v>2833.33</v>
      </c>
      <c r="R161" s="143" t="s">
        <v>554</v>
      </c>
      <c r="S161" s="122" t="s">
        <v>534</v>
      </c>
      <c r="T161" s="120" t="s">
        <v>522</v>
      </c>
      <c r="U161" s="121" t="s">
        <v>555</v>
      </c>
      <c r="V161" s="119" t="s">
        <v>619</v>
      </c>
      <c r="W161" s="119" t="s">
        <v>885</v>
      </c>
      <c r="X161" s="123" t="s">
        <v>886</v>
      </c>
      <c r="Y161" s="119"/>
      <c r="Z161" s="124">
        <v>119806</v>
      </c>
      <c r="AA161" s="125"/>
      <c r="AB161" s="126"/>
      <c r="AC161" s="127"/>
      <c r="AD161" s="127"/>
      <c r="AE161" s="127"/>
      <c r="AF161" s="127"/>
      <c r="AG161" s="125"/>
      <c r="AH161" s="128">
        <f t="shared" ca="1" si="11"/>
        <v>45790</v>
      </c>
      <c r="AI161" s="129" t="s">
        <v>880</v>
      </c>
      <c r="AJ161" s="129"/>
      <c r="AK161" s="129"/>
      <c r="AL161" s="129"/>
      <c r="AM161" s="129"/>
    </row>
    <row r="162" spans="1:39" ht="18" hidden="1" customHeight="1" x14ac:dyDescent="0.25">
      <c r="A162" s="117">
        <v>161</v>
      </c>
      <c r="B162" s="117"/>
      <c r="C162" s="118" t="s">
        <v>875</v>
      </c>
      <c r="D162" s="146">
        <f t="array" aca="1" ref="D162" ca="1">SUM(--(_xlfn.UNIQUE(_xlfn._xlws.FILTER($M$2:$M$1011 &amp; "", ($C$2:$C$1011 = C162) * ($M$2:$M$1011 &lt;&gt; ""))) &lt;&gt; ""))</f>
        <v>2</v>
      </c>
      <c r="E162" s="166">
        <f t="shared" ca="1" si="9"/>
        <v>20249.980000000003</v>
      </c>
      <c r="F162" s="143">
        <v>1</v>
      </c>
      <c r="G162" s="143" t="s">
        <v>141</v>
      </c>
      <c r="H162" s="119">
        <f>_xlfn.XLOOKUP(G162,'🚛 FROTA'!B:B,'🚛 FROTA'!A:A,"")</f>
        <v>24</v>
      </c>
      <c r="I162" s="119"/>
      <c r="J162" s="119" t="str">
        <f>IF(G162="","",_xlfn.XLOOKUP(G162,'🚛 FROTA'!B:B,'🚛 FROTA'!E:E,""))</f>
        <v>14.190 Constellation</v>
      </c>
      <c r="K162" s="119" t="str">
        <f>IF(G162="","",_xlfn.XLOOKUP(G162,'🚛 FROTA'!B:B,'🚛 FROTA'!K:K,""))</f>
        <v>Munck</v>
      </c>
      <c r="L162" s="143" t="s">
        <v>876</v>
      </c>
      <c r="M162" s="143" t="s">
        <v>877</v>
      </c>
      <c r="N162" s="145">
        <v>45977</v>
      </c>
      <c r="O162" s="143">
        <v>6</v>
      </c>
      <c r="P162" s="143">
        <v>7</v>
      </c>
      <c r="Q162" s="167">
        <v>2833.33</v>
      </c>
      <c r="R162" s="143" t="s">
        <v>554</v>
      </c>
      <c r="S162" s="122" t="s">
        <v>534</v>
      </c>
      <c r="T162" s="120" t="s">
        <v>522</v>
      </c>
      <c r="U162" s="121" t="s">
        <v>555</v>
      </c>
      <c r="V162" s="119" t="s">
        <v>619</v>
      </c>
      <c r="W162" s="119" t="s">
        <v>885</v>
      </c>
      <c r="X162" s="123" t="s">
        <v>886</v>
      </c>
      <c r="Y162" s="119"/>
      <c r="Z162" s="124">
        <v>119806</v>
      </c>
      <c r="AA162" s="125"/>
      <c r="AB162" s="126"/>
      <c r="AC162" s="127"/>
      <c r="AD162" s="127"/>
      <c r="AE162" s="127"/>
      <c r="AF162" s="127"/>
      <c r="AG162" s="125"/>
      <c r="AH162" s="128">
        <f t="shared" ca="1" si="11"/>
        <v>45790</v>
      </c>
      <c r="AI162" s="129" t="s">
        <v>880</v>
      </c>
      <c r="AJ162" s="129"/>
      <c r="AK162" s="129"/>
      <c r="AL162" s="129"/>
      <c r="AM162" s="129"/>
    </row>
    <row r="163" spans="1:39" ht="18" hidden="1" customHeight="1" x14ac:dyDescent="0.25">
      <c r="A163" s="117">
        <v>162</v>
      </c>
      <c r="B163" s="117"/>
      <c r="C163" s="118" t="s">
        <v>875</v>
      </c>
      <c r="D163" s="146">
        <f t="array" aca="1" ref="D163" ca="1">SUM(--(_xlfn.UNIQUE(_xlfn._xlws.FILTER($M$2:$M$1011 &amp; "", ($C$2:$C$1011 = C163) * ($M$2:$M$1011 &lt;&gt; ""))) &lt;&gt; ""))</f>
        <v>2</v>
      </c>
      <c r="E163" s="166">
        <f t="shared" ca="1" si="9"/>
        <v>20249.980000000003</v>
      </c>
      <c r="F163" s="143">
        <v>1</v>
      </c>
      <c r="G163" s="143" t="s">
        <v>141</v>
      </c>
      <c r="H163" s="119">
        <f>_xlfn.XLOOKUP(G163,'🚛 FROTA'!B:B,'🚛 FROTA'!A:A,"")</f>
        <v>24</v>
      </c>
      <c r="I163" s="119"/>
      <c r="J163" s="119" t="str">
        <f>IF(G163="","",_xlfn.XLOOKUP(G163,'🚛 FROTA'!B:B,'🚛 FROTA'!E:E,""))</f>
        <v>14.190 Constellation</v>
      </c>
      <c r="K163" s="119" t="str">
        <f>IF(G163="","",_xlfn.XLOOKUP(G163,'🚛 FROTA'!B:B,'🚛 FROTA'!K:K,""))</f>
        <v>Munck</v>
      </c>
      <c r="L163" s="143" t="s">
        <v>876</v>
      </c>
      <c r="M163" s="143" t="s">
        <v>877</v>
      </c>
      <c r="N163" s="145">
        <v>46007</v>
      </c>
      <c r="O163" s="143">
        <v>7</v>
      </c>
      <c r="P163" s="143">
        <v>7</v>
      </c>
      <c r="Q163" s="167">
        <v>2833.33</v>
      </c>
      <c r="R163" s="143" t="s">
        <v>554</v>
      </c>
      <c r="S163" s="122" t="s">
        <v>534</v>
      </c>
      <c r="T163" s="120" t="s">
        <v>522</v>
      </c>
      <c r="U163" s="121" t="s">
        <v>555</v>
      </c>
      <c r="V163" s="119" t="s">
        <v>619</v>
      </c>
      <c r="W163" s="119" t="s">
        <v>885</v>
      </c>
      <c r="X163" s="123" t="s">
        <v>886</v>
      </c>
      <c r="Y163" s="119"/>
      <c r="Z163" s="124">
        <v>119806</v>
      </c>
      <c r="AA163" s="125"/>
      <c r="AB163" s="126"/>
      <c r="AC163" s="127"/>
      <c r="AD163" s="127"/>
      <c r="AE163" s="127"/>
      <c r="AF163" s="127"/>
      <c r="AG163" s="125"/>
      <c r="AH163" s="128">
        <f t="shared" ca="1" si="11"/>
        <v>45790</v>
      </c>
      <c r="AI163" s="129" t="s">
        <v>880</v>
      </c>
      <c r="AJ163" s="129"/>
      <c r="AK163" s="129"/>
      <c r="AL163" s="129"/>
      <c r="AM163" s="129"/>
    </row>
    <row r="164" spans="1:39" ht="18" hidden="1" customHeight="1" x14ac:dyDescent="0.25">
      <c r="A164" s="117">
        <v>163</v>
      </c>
      <c r="B164" s="117"/>
      <c r="C164" s="118" t="s">
        <v>887</v>
      </c>
      <c r="D164" s="146">
        <f t="array" aca="1" ref="D164" ca="1">SUM(--(_xlfn.UNIQUE(_xlfn._xlws.FILTER($M$2:$M$1011 &amp; "", ($C$2:$C$1011 = C164) * ($M$2:$M$1011 &lt;&gt; ""))) &lt;&gt; ""))</f>
        <v>1</v>
      </c>
      <c r="E164" s="166">
        <f t="shared" ca="1" si="9"/>
        <v>1905</v>
      </c>
      <c r="F164" s="143">
        <v>1</v>
      </c>
      <c r="G164" s="143" t="s">
        <v>165</v>
      </c>
      <c r="H164" s="119">
        <f>_xlfn.XLOOKUP(G164,'🚛 FROTA'!B:B,'🚛 FROTA'!A:A,"")</f>
        <v>40</v>
      </c>
      <c r="I164" s="119"/>
      <c r="J164" s="119" t="str">
        <f>IF(G164="","",_xlfn.XLOOKUP(G164,'🚛 FROTA'!B:B,'🚛 FROTA'!E:E,""))</f>
        <v>Express Delivery</v>
      </c>
      <c r="K164" s="119" t="str">
        <f>IF(G164="","",_xlfn.XLOOKUP(G164,'🚛 FROTA'!B:B,'🚛 FROTA'!K:K,""))</f>
        <v>Carroceria Cabinado</v>
      </c>
      <c r="L164" s="143" t="s">
        <v>697</v>
      </c>
      <c r="M164" s="143" t="s">
        <v>888</v>
      </c>
      <c r="N164" s="145">
        <v>45822</v>
      </c>
      <c r="O164" s="143">
        <v>1</v>
      </c>
      <c r="P164" s="143">
        <v>2</v>
      </c>
      <c r="Q164" s="167">
        <v>952.5</v>
      </c>
      <c r="R164" s="143" t="s">
        <v>554</v>
      </c>
      <c r="S164" s="122" t="s">
        <v>534</v>
      </c>
      <c r="T164" s="120" t="s">
        <v>522</v>
      </c>
      <c r="U164" s="121" t="s">
        <v>555</v>
      </c>
      <c r="V164" s="119" t="s">
        <v>568</v>
      </c>
      <c r="W164" s="119" t="s">
        <v>889</v>
      </c>
      <c r="X164" s="123" t="s">
        <v>890</v>
      </c>
      <c r="Y164" s="119"/>
      <c r="Z164" s="130"/>
      <c r="AA164" s="125"/>
      <c r="AB164" s="126"/>
      <c r="AC164" s="127"/>
      <c r="AD164" s="127"/>
      <c r="AE164" s="127"/>
      <c r="AF164" s="127"/>
      <c r="AG164" s="125"/>
      <c r="AH164" s="128">
        <f t="shared" ca="1" si="11"/>
        <v>45792</v>
      </c>
      <c r="AI164" s="129"/>
      <c r="AJ164" s="129"/>
      <c r="AK164" s="129"/>
      <c r="AL164" s="129"/>
      <c r="AM164" s="129"/>
    </row>
    <row r="165" spans="1:39" ht="18" hidden="1" customHeight="1" x14ac:dyDescent="0.25">
      <c r="A165" s="117">
        <v>164</v>
      </c>
      <c r="B165" s="117"/>
      <c r="C165" s="118" t="s">
        <v>887</v>
      </c>
      <c r="D165" s="146">
        <f t="array" aca="1" ref="D165" ca="1">SUM(--(_xlfn.UNIQUE(_xlfn._xlws.FILTER($M$2:$M$1011 &amp; "", ($C$2:$C$1011 = C165) * ($M$2:$M$1011 &lt;&gt; ""))) &lt;&gt; ""))</f>
        <v>1</v>
      </c>
      <c r="E165" s="166">
        <f t="shared" ca="1" si="9"/>
        <v>1905</v>
      </c>
      <c r="F165" s="143">
        <v>1</v>
      </c>
      <c r="G165" s="143" t="s">
        <v>165</v>
      </c>
      <c r="H165" s="119">
        <f>_xlfn.XLOOKUP(G165,'🚛 FROTA'!B:B,'🚛 FROTA'!A:A,"")</f>
        <v>40</v>
      </c>
      <c r="I165" s="119"/>
      <c r="J165" s="119" t="str">
        <f>IF(G165="","",_xlfn.XLOOKUP(G165,'🚛 FROTA'!B:B,'🚛 FROTA'!E:E,""))</f>
        <v>Express Delivery</v>
      </c>
      <c r="K165" s="119" t="str">
        <f>IF(G165="","",_xlfn.XLOOKUP(G165,'🚛 FROTA'!B:B,'🚛 FROTA'!K:K,""))</f>
        <v>Carroceria Cabinado</v>
      </c>
      <c r="L165" s="143" t="s">
        <v>697</v>
      </c>
      <c r="M165" s="143" t="s">
        <v>888</v>
      </c>
      <c r="N165" s="145">
        <v>45852</v>
      </c>
      <c r="O165" s="143">
        <v>1</v>
      </c>
      <c r="P165" s="143">
        <v>2</v>
      </c>
      <c r="Q165" s="167">
        <v>952.5</v>
      </c>
      <c r="R165" s="143" t="s">
        <v>554</v>
      </c>
      <c r="S165" s="122" t="s">
        <v>534</v>
      </c>
      <c r="T165" s="120" t="s">
        <v>522</v>
      </c>
      <c r="U165" s="121" t="s">
        <v>555</v>
      </c>
      <c r="V165" s="119" t="s">
        <v>568</v>
      </c>
      <c r="W165" s="119" t="s">
        <v>889</v>
      </c>
      <c r="X165" s="123" t="s">
        <v>890</v>
      </c>
      <c r="Y165" s="119"/>
      <c r="Z165" s="130"/>
      <c r="AA165" s="125"/>
      <c r="AB165" s="126"/>
      <c r="AC165" s="127"/>
      <c r="AD165" s="127"/>
      <c r="AE165" s="127"/>
      <c r="AF165" s="127"/>
      <c r="AG165" s="125"/>
      <c r="AH165" s="128">
        <f t="shared" ca="1" si="11"/>
        <v>45792</v>
      </c>
      <c r="AI165" s="129"/>
      <c r="AJ165" s="129"/>
      <c r="AK165" s="129"/>
      <c r="AL165" s="129"/>
      <c r="AM165" s="129"/>
    </row>
    <row r="166" spans="1:39" ht="18" hidden="1" customHeight="1" x14ac:dyDescent="0.25">
      <c r="A166" s="117">
        <v>165</v>
      </c>
      <c r="B166" s="117"/>
      <c r="C166" s="118" t="s">
        <v>891</v>
      </c>
      <c r="D166" s="146">
        <f t="array" aca="1" ref="D166" ca="1">SUM(--(_xlfn.UNIQUE(_xlfn._xlws.FILTER($M$2:$M$1011 &amp; "", ($C$2:$C$1011 = C166) * ($M$2:$M$1011 &lt;&gt; ""))) &lt;&gt; ""))</f>
        <v>4</v>
      </c>
      <c r="E166" s="166">
        <f t="shared" ca="1" si="9"/>
        <v>6174.64</v>
      </c>
      <c r="F166" s="143">
        <v>1</v>
      </c>
      <c r="G166" s="143" t="s">
        <v>91</v>
      </c>
      <c r="H166" s="119">
        <f>_xlfn.XLOOKUP(G166,'🚛 FROTA'!B:B,'🚛 FROTA'!A:A,"")</f>
        <v>7</v>
      </c>
      <c r="I166" s="119"/>
      <c r="J166" s="119" t="str">
        <f>IF(G166="","",_xlfn.XLOOKUP(G166,'🚛 FROTA'!B:B,'🚛 FROTA'!E:E,""))</f>
        <v>9.150 Delivery</v>
      </c>
      <c r="K166" s="119" t="str">
        <f>IF(G166="","",_xlfn.XLOOKUP(G166,'🚛 FROTA'!B:B,'🚛 FROTA'!K:K,""))</f>
        <v>Carroceria</v>
      </c>
      <c r="L166" s="143" t="s">
        <v>627</v>
      </c>
      <c r="M166" s="143" t="s">
        <v>892</v>
      </c>
      <c r="N166" s="145">
        <v>45824</v>
      </c>
      <c r="O166" s="143">
        <v>1</v>
      </c>
      <c r="P166" s="143">
        <v>3</v>
      </c>
      <c r="Q166" s="167">
        <v>537.30999999999995</v>
      </c>
      <c r="R166" s="143" t="s">
        <v>554</v>
      </c>
      <c r="S166" s="122" t="s">
        <v>560</v>
      </c>
      <c r="T166" s="120" t="s">
        <v>522</v>
      </c>
      <c r="U166" s="121" t="s">
        <v>555</v>
      </c>
      <c r="V166" s="119" t="s">
        <v>619</v>
      </c>
      <c r="W166" s="119" t="s">
        <v>893</v>
      </c>
      <c r="X166" s="123" t="s">
        <v>894</v>
      </c>
      <c r="Y166" s="119"/>
      <c r="Z166" s="130"/>
      <c r="AA166" s="125"/>
      <c r="AB166" s="126"/>
      <c r="AC166" s="127"/>
      <c r="AD166" s="127"/>
      <c r="AE166" s="127"/>
      <c r="AF166" s="127"/>
      <c r="AG166" s="125"/>
      <c r="AH166" s="128">
        <f t="shared" ca="1" si="11"/>
        <v>45794</v>
      </c>
      <c r="AI166" s="129" t="s">
        <v>631</v>
      </c>
      <c r="AJ166" s="129"/>
      <c r="AK166" s="129"/>
      <c r="AL166" s="129"/>
      <c r="AM166" s="129"/>
    </row>
    <row r="167" spans="1:39" ht="18" hidden="1" customHeight="1" x14ac:dyDescent="0.25">
      <c r="A167" s="117">
        <v>166</v>
      </c>
      <c r="B167" s="117"/>
      <c r="C167" s="118" t="s">
        <v>891</v>
      </c>
      <c r="D167" s="146">
        <f t="array" aca="1" ref="D167" ca="1">SUM(--(_xlfn.UNIQUE(_xlfn._xlws.FILTER($M$2:$M$1011 &amp; "", ($C$2:$C$1011 = C167) * ($M$2:$M$1011 &lt;&gt; ""))) &lt;&gt; ""))</f>
        <v>4</v>
      </c>
      <c r="E167" s="166">
        <f t="shared" ca="1" si="9"/>
        <v>6174.64</v>
      </c>
      <c r="F167" s="143">
        <v>1</v>
      </c>
      <c r="G167" s="143" t="s">
        <v>91</v>
      </c>
      <c r="H167" s="119">
        <f>_xlfn.XLOOKUP(G167,'🚛 FROTA'!B:B,'🚛 FROTA'!A:A,"")</f>
        <v>7</v>
      </c>
      <c r="I167" s="119"/>
      <c r="J167" s="119" t="str">
        <f>IF(G167="","",_xlfn.XLOOKUP(G167,'🚛 FROTA'!B:B,'🚛 FROTA'!E:E,""))</f>
        <v>9.150 Delivery</v>
      </c>
      <c r="K167" s="119" t="str">
        <f>IF(G167="","",_xlfn.XLOOKUP(G167,'🚛 FROTA'!B:B,'🚛 FROTA'!K:K,""))</f>
        <v>Carroceria</v>
      </c>
      <c r="L167" s="143" t="s">
        <v>623</v>
      </c>
      <c r="M167" s="143" t="s">
        <v>895</v>
      </c>
      <c r="N167" s="145">
        <v>45824</v>
      </c>
      <c r="O167" s="143">
        <v>1</v>
      </c>
      <c r="P167" s="143">
        <v>3</v>
      </c>
      <c r="Q167" s="167">
        <v>666.66</v>
      </c>
      <c r="R167" s="143" t="s">
        <v>554</v>
      </c>
      <c r="S167" s="122" t="s">
        <v>534</v>
      </c>
      <c r="T167" s="120" t="s">
        <v>522</v>
      </c>
      <c r="U167" s="121" t="s">
        <v>555</v>
      </c>
      <c r="V167" s="119" t="s">
        <v>619</v>
      </c>
      <c r="W167" s="119" t="s">
        <v>896</v>
      </c>
      <c r="X167" s="123" t="s">
        <v>897</v>
      </c>
      <c r="Y167" s="119"/>
      <c r="Z167" s="130"/>
      <c r="AA167" s="125"/>
      <c r="AB167" s="126"/>
      <c r="AC167" s="127"/>
      <c r="AD167" s="127"/>
      <c r="AE167" s="127"/>
      <c r="AF167" s="127"/>
      <c r="AG167" s="125"/>
      <c r="AH167" s="128">
        <f t="shared" ca="1" si="11"/>
        <v>45794</v>
      </c>
      <c r="AI167" s="129"/>
      <c r="AJ167" s="129"/>
      <c r="AK167" s="129"/>
      <c r="AL167" s="129"/>
      <c r="AM167" s="129"/>
    </row>
    <row r="168" spans="1:39" ht="18" hidden="1" customHeight="1" x14ac:dyDescent="0.25">
      <c r="A168" s="117">
        <v>167</v>
      </c>
      <c r="B168" s="117"/>
      <c r="C168" s="118" t="s">
        <v>891</v>
      </c>
      <c r="D168" s="146">
        <f t="array" aca="1" ref="D168" ca="1">SUM(--(_xlfn.UNIQUE(_xlfn._xlws.FILTER($M$2:$M$1011 &amp; "", ($C$2:$C$1011 = C168) * ($M$2:$M$1011 &lt;&gt; ""))) &lt;&gt; ""))</f>
        <v>4</v>
      </c>
      <c r="E168" s="166">
        <f t="shared" ca="1" si="9"/>
        <v>6174.64</v>
      </c>
      <c r="F168" s="143">
        <v>1</v>
      </c>
      <c r="G168" s="143" t="s">
        <v>91</v>
      </c>
      <c r="H168" s="119">
        <f>_xlfn.XLOOKUP(G168,'🚛 FROTA'!B:B,'🚛 FROTA'!A:A,"")</f>
        <v>7</v>
      </c>
      <c r="I168" s="119"/>
      <c r="J168" s="119" t="str">
        <f>IF(G168="","",_xlfn.XLOOKUP(G168,'🚛 FROTA'!B:B,'🚛 FROTA'!E:E,""))</f>
        <v>9.150 Delivery</v>
      </c>
      <c r="K168" s="119" t="str">
        <f>IF(G168="","",_xlfn.XLOOKUP(G168,'🚛 FROTA'!B:B,'🚛 FROTA'!K:K,""))</f>
        <v>Carroceria</v>
      </c>
      <c r="L168" s="143" t="s">
        <v>898</v>
      </c>
      <c r="M168" s="143" t="s">
        <v>899</v>
      </c>
      <c r="N168" s="145">
        <v>45828</v>
      </c>
      <c r="O168" s="143">
        <v>1</v>
      </c>
      <c r="P168" s="143">
        <v>3</v>
      </c>
      <c r="Q168" s="167">
        <v>533.34</v>
      </c>
      <c r="R168" s="143" t="s">
        <v>554</v>
      </c>
      <c r="S168" s="122" t="s">
        <v>560</v>
      </c>
      <c r="T168" s="120" t="s">
        <v>522</v>
      </c>
      <c r="U168" s="121" t="s">
        <v>555</v>
      </c>
      <c r="V168" s="119" t="s">
        <v>619</v>
      </c>
      <c r="W168" s="119" t="s">
        <v>900</v>
      </c>
      <c r="X168" s="123" t="s">
        <v>901</v>
      </c>
      <c r="Y168" s="119" t="s">
        <v>902</v>
      </c>
      <c r="Z168" s="130"/>
      <c r="AA168" s="125"/>
      <c r="AB168" s="126"/>
      <c r="AC168" s="127"/>
      <c r="AD168" s="127"/>
      <c r="AE168" s="127"/>
      <c r="AF168" s="127"/>
      <c r="AG168" s="125"/>
      <c r="AH168" s="128">
        <f t="shared" ca="1" si="11"/>
        <v>45794</v>
      </c>
      <c r="AI168" s="129"/>
      <c r="AJ168" s="129"/>
      <c r="AK168" s="129"/>
      <c r="AL168" s="129"/>
      <c r="AM168" s="129"/>
    </row>
    <row r="169" spans="1:39" ht="18" hidden="1" customHeight="1" x14ac:dyDescent="0.25">
      <c r="A169" s="117">
        <v>168</v>
      </c>
      <c r="B169" s="117"/>
      <c r="C169" s="118" t="s">
        <v>891</v>
      </c>
      <c r="D169" s="146">
        <f t="array" aca="1" ref="D169" ca="1">SUM(--(_xlfn.UNIQUE(_xlfn._xlws.FILTER($M$2:$M$1011 &amp; "", ($C$2:$C$1011 = C169) * ($M$2:$M$1011 &lt;&gt; ""))) &lt;&gt; ""))</f>
        <v>4</v>
      </c>
      <c r="E169" s="166">
        <f t="shared" ca="1" si="9"/>
        <v>6174.64</v>
      </c>
      <c r="F169" s="143">
        <v>1</v>
      </c>
      <c r="G169" s="143" t="s">
        <v>91</v>
      </c>
      <c r="H169" s="119">
        <f>_xlfn.XLOOKUP(G169,'🚛 FROTA'!B:B,'🚛 FROTA'!A:A,"")</f>
        <v>7</v>
      </c>
      <c r="I169" s="119"/>
      <c r="J169" s="119" t="str">
        <f>IF(G169="","",_xlfn.XLOOKUP(G169,'🚛 FROTA'!B:B,'🚛 FROTA'!E:E,""))</f>
        <v>9.150 Delivery</v>
      </c>
      <c r="K169" s="119" t="str">
        <f>IF(G169="","",_xlfn.XLOOKUP(G169,'🚛 FROTA'!B:B,'🚛 FROTA'!K:K,""))</f>
        <v>Carroceria</v>
      </c>
      <c r="L169" s="143" t="s">
        <v>617</v>
      </c>
      <c r="M169" s="143" t="s">
        <v>903</v>
      </c>
      <c r="N169" s="145">
        <v>45840</v>
      </c>
      <c r="O169" s="143">
        <v>1</v>
      </c>
      <c r="P169" s="143">
        <v>2</v>
      </c>
      <c r="Q169" s="167">
        <v>750</v>
      </c>
      <c r="R169" s="143" t="s">
        <v>554</v>
      </c>
      <c r="S169" s="122" t="s">
        <v>534</v>
      </c>
      <c r="T169" s="120" t="s">
        <v>522</v>
      </c>
      <c r="U169" s="121" t="s">
        <v>555</v>
      </c>
      <c r="V169" s="119" t="s">
        <v>619</v>
      </c>
      <c r="W169" s="119" t="s">
        <v>904</v>
      </c>
      <c r="X169" s="123" t="s">
        <v>905</v>
      </c>
      <c r="Y169" s="119"/>
      <c r="Z169" s="130"/>
      <c r="AA169" s="125"/>
      <c r="AB169" s="126"/>
      <c r="AC169" s="127"/>
      <c r="AD169" s="127"/>
      <c r="AE169" s="127"/>
      <c r="AF169" s="127"/>
      <c r="AG169" s="125"/>
      <c r="AH169" s="128">
        <f t="shared" ca="1" si="11"/>
        <v>45794</v>
      </c>
      <c r="AI169" s="129" t="s">
        <v>622</v>
      </c>
      <c r="AJ169" s="129"/>
      <c r="AK169" s="129"/>
      <c r="AL169" s="129"/>
      <c r="AM169" s="129"/>
    </row>
    <row r="170" spans="1:39" ht="18" hidden="1" customHeight="1" x14ac:dyDescent="0.25">
      <c r="A170" s="117">
        <v>169</v>
      </c>
      <c r="B170" s="117"/>
      <c r="C170" s="118" t="s">
        <v>891</v>
      </c>
      <c r="D170" s="146">
        <f t="array" aca="1" ref="D170" ca="1">SUM(--(_xlfn.UNIQUE(_xlfn._xlws.FILTER($M$2:$M$1011 &amp; "", ($C$2:$C$1011 = C170) * ($M$2:$M$1011 &lt;&gt; ""))) &lt;&gt; ""))</f>
        <v>4</v>
      </c>
      <c r="E170" s="166">
        <f t="shared" ca="1" si="9"/>
        <v>6174.64</v>
      </c>
      <c r="F170" s="143">
        <v>1</v>
      </c>
      <c r="G170" s="143" t="s">
        <v>91</v>
      </c>
      <c r="H170" s="119">
        <f>_xlfn.XLOOKUP(G170,'🚛 FROTA'!B:B,'🚛 FROTA'!A:A,"")</f>
        <v>7</v>
      </c>
      <c r="I170" s="119"/>
      <c r="J170" s="119" t="str">
        <f>IF(G170="","",_xlfn.XLOOKUP(G170,'🚛 FROTA'!B:B,'🚛 FROTA'!E:E,""))</f>
        <v>9.150 Delivery</v>
      </c>
      <c r="K170" s="119" t="str">
        <f>IF(G170="","",_xlfn.XLOOKUP(G170,'🚛 FROTA'!B:B,'🚛 FROTA'!K:K,""))</f>
        <v>Carroceria</v>
      </c>
      <c r="L170" s="143" t="s">
        <v>627</v>
      </c>
      <c r="M170" s="143" t="s">
        <v>892</v>
      </c>
      <c r="N170" s="145">
        <v>45852</v>
      </c>
      <c r="O170" s="143">
        <v>3</v>
      </c>
      <c r="P170" s="143">
        <v>3</v>
      </c>
      <c r="Q170" s="167">
        <v>537.30999999999995</v>
      </c>
      <c r="R170" s="143" t="s">
        <v>554</v>
      </c>
      <c r="S170" s="122" t="s">
        <v>560</v>
      </c>
      <c r="T170" s="120" t="s">
        <v>522</v>
      </c>
      <c r="U170" s="121" t="s">
        <v>555</v>
      </c>
      <c r="V170" s="119" t="s">
        <v>619</v>
      </c>
      <c r="W170" s="119" t="s">
        <v>893</v>
      </c>
      <c r="X170" s="123" t="s">
        <v>894</v>
      </c>
      <c r="Y170" s="119"/>
      <c r="Z170" s="130"/>
      <c r="AA170" s="125"/>
      <c r="AB170" s="126"/>
      <c r="AC170" s="127"/>
      <c r="AD170" s="127"/>
      <c r="AE170" s="127"/>
      <c r="AF170" s="127"/>
      <c r="AG170" s="125"/>
      <c r="AH170" s="128">
        <f t="shared" ca="1" si="11"/>
        <v>45794</v>
      </c>
      <c r="AI170" s="129" t="s">
        <v>631</v>
      </c>
      <c r="AJ170" s="129"/>
      <c r="AK170" s="129"/>
      <c r="AL170" s="129"/>
      <c r="AM170" s="129"/>
    </row>
    <row r="171" spans="1:39" ht="18" hidden="1" customHeight="1" x14ac:dyDescent="0.25">
      <c r="A171" s="117">
        <v>170</v>
      </c>
      <c r="B171" s="117"/>
      <c r="C171" s="118" t="s">
        <v>891</v>
      </c>
      <c r="D171" s="146">
        <f t="array" aca="1" ref="D171" ca="1">SUM(--(_xlfn.UNIQUE(_xlfn._xlws.FILTER($M$2:$M$1011 &amp; "", ($C$2:$C$1011 = C171) * ($M$2:$M$1011 &lt;&gt; ""))) &lt;&gt; ""))</f>
        <v>4</v>
      </c>
      <c r="E171" s="166">
        <f t="shared" ca="1" si="9"/>
        <v>6174.64</v>
      </c>
      <c r="F171" s="143">
        <v>1</v>
      </c>
      <c r="G171" s="143" t="s">
        <v>91</v>
      </c>
      <c r="H171" s="119">
        <f>_xlfn.XLOOKUP(G171,'🚛 FROTA'!B:B,'🚛 FROTA'!A:A,"")</f>
        <v>7</v>
      </c>
      <c r="I171" s="119"/>
      <c r="J171" s="119" t="str">
        <f>IF(G171="","",_xlfn.XLOOKUP(G171,'🚛 FROTA'!B:B,'🚛 FROTA'!E:E,""))</f>
        <v>9.150 Delivery</v>
      </c>
      <c r="K171" s="119" t="str">
        <f>IF(G171="","",_xlfn.XLOOKUP(G171,'🚛 FROTA'!B:B,'🚛 FROTA'!K:K,""))</f>
        <v>Carroceria</v>
      </c>
      <c r="L171" s="143" t="s">
        <v>623</v>
      </c>
      <c r="M171" s="143" t="s">
        <v>895</v>
      </c>
      <c r="N171" s="145">
        <v>45854</v>
      </c>
      <c r="O171" s="143">
        <v>2</v>
      </c>
      <c r="P171" s="143">
        <v>3</v>
      </c>
      <c r="Q171" s="167">
        <v>666.67</v>
      </c>
      <c r="R171" s="143" t="s">
        <v>554</v>
      </c>
      <c r="S171" s="122" t="s">
        <v>534</v>
      </c>
      <c r="T171" s="120" t="s">
        <v>522</v>
      </c>
      <c r="U171" s="121" t="s">
        <v>555</v>
      </c>
      <c r="V171" s="119" t="s">
        <v>619</v>
      </c>
      <c r="W171" s="119" t="s">
        <v>896</v>
      </c>
      <c r="X171" s="123" t="s">
        <v>897</v>
      </c>
      <c r="Y171" s="119"/>
      <c r="Z171" s="130"/>
      <c r="AA171" s="125"/>
      <c r="AB171" s="126"/>
      <c r="AC171" s="127"/>
      <c r="AD171" s="127"/>
      <c r="AE171" s="127"/>
      <c r="AF171" s="127"/>
      <c r="AG171" s="125"/>
      <c r="AH171" s="128">
        <f t="shared" ca="1" si="11"/>
        <v>45794</v>
      </c>
      <c r="AI171" s="129"/>
      <c r="AJ171" s="129"/>
      <c r="AK171" s="129"/>
      <c r="AL171" s="129"/>
      <c r="AM171" s="129"/>
    </row>
    <row r="172" spans="1:39" ht="18" hidden="1" customHeight="1" x14ac:dyDescent="0.25">
      <c r="A172" s="117">
        <v>171</v>
      </c>
      <c r="B172" s="117"/>
      <c r="C172" s="118" t="s">
        <v>891</v>
      </c>
      <c r="D172" s="146">
        <f t="array" aca="1" ref="D172" ca="1">SUM(--(_xlfn.UNIQUE(_xlfn._xlws.FILTER($M$2:$M$1011 &amp; "", ($C$2:$C$1011 = C172) * ($M$2:$M$1011 &lt;&gt; ""))) &lt;&gt; ""))</f>
        <v>4</v>
      </c>
      <c r="E172" s="166">
        <f t="shared" ca="1" si="9"/>
        <v>6174.64</v>
      </c>
      <c r="F172" s="143">
        <v>1</v>
      </c>
      <c r="G172" s="143" t="s">
        <v>91</v>
      </c>
      <c r="H172" s="119">
        <f>_xlfn.XLOOKUP(G172,'🚛 FROTA'!B:B,'🚛 FROTA'!A:A,"")</f>
        <v>7</v>
      </c>
      <c r="I172" s="119"/>
      <c r="J172" s="119" t="str">
        <f>IF(G172="","",_xlfn.XLOOKUP(G172,'🚛 FROTA'!B:B,'🚛 FROTA'!E:E,""))</f>
        <v>9.150 Delivery</v>
      </c>
      <c r="K172" s="119" t="str">
        <f>IF(G172="","",_xlfn.XLOOKUP(G172,'🚛 FROTA'!B:B,'🚛 FROTA'!K:K,""))</f>
        <v>Carroceria</v>
      </c>
      <c r="L172" s="143" t="s">
        <v>898</v>
      </c>
      <c r="M172" s="143" t="s">
        <v>899</v>
      </c>
      <c r="N172" s="145">
        <v>45858</v>
      </c>
      <c r="O172" s="143">
        <v>2</v>
      </c>
      <c r="P172" s="143">
        <v>3</v>
      </c>
      <c r="Q172" s="167">
        <v>533.34</v>
      </c>
      <c r="R172" s="143" t="s">
        <v>554</v>
      </c>
      <c r="S172" s="122" t="s">
        <v>560</v>
      </c>
      <c r="T172" s="120" t="s">
        <v>522</v>
      </c>
      <c r="U172" s="121" t="s">
        <v>555</v>
      </c>
      <c r="V172" s="119" t="s">
        <v>619</v>
      </c>
      <c r="W172" s="119" t="s">
        <v>900</v>
      </c>
      <c r="X172" s="123" t="s">
        <v>901</v>
      </c>
      <c r="Y172" s="119" t="s">
        <v>902</v>
      </c>
      <c r="Z172" s="130"/>
      <c r="AA172" s="125"/>
      <c r="AB172" s="126"/>
      <c r="AC172" s="127"/>
      <c r="AD172" s="127"/>
      <c r="AE172" s="127"/>
      <c r="AF172" s="127"/>
      <c r="AG172" s="125"/>
      <c r="AH172" s="128">
        <f t="shared" ca="1" si="11"/>
        <v>45794</v>
      </c>
      <c r="AI172" s="129"/>
      <c r="AJ172" s="129"/>
      <c r="AK172" s="129"/>
      <c r="AL172" s="129"/>
      <c r="AM172" s="129"/>
    </row>
    <row r="173" spans="1:39" ht="18" hidden="1" customHeight="1" x14ac:dyDescent="0.25">
      <c r="A173" s="117">
        <v>172</v>
      </c>
      <c r="B173" s="117"/>
      <c r="C173" s="118" t="s">
        <v>891</v>
      </c>
      <c r="D173" s="146">
        <f t="array" aca="1" ref="D173" ca="1">SUM(--(_xlfn.UNIQUE(_xlfn._xlws.FILTER($M$2:$M$1011 &amp; "", ($C$2:$C$1011 = C173) * ($M$2:$M$1011 &lt;&gt; ""))) &lt;&gt; ""))</f>
        <v>4</v>
      </c>
      <c r="E173" s="166">
        <f t="shared" ca="1" si="9"/>
        <v>6174.64</v>
      </c>
      <c r="F173" s="143">
        <v>1</v>
      </c>
      <c r="G173" s="143" t="s">
        <v>91</v>
      </c>
      <c r="H173" s="119">
        <f>_xlfn.XLOOKUP(G173,'🚛 FROTA'!B:B,'🚛 FROTA'!A:A,"")</f>
        <v>7</v>
      </c>
      <c r="I173" s="119"/>
      <c r="J173" s="119" t="str">
        <f>IF(G173="","",_xlfn.XLOOKUP(G173,'🚛 FROTA'!B:B,'🚛 FROTA'!E:E,""))</f>
        <v>9.150 Delivery</v>
      </c>
      <c r="K173" s="119" t="str">
        <f>IF(G173="","",_xlfn.XLOOKUP(G173,'🚛 FROTA'!B:B,'🚛 FROTA'!K:K,""))</f>
        <v>Carroceria</v>
      </c>
      <c r="L173" s="143" t="s">
        <v>617</v>
      </c>
      <c r="M173" s="143" t="s">
        <v>903</v>
      </c>
      <c r="N173" s="145">
        <v>45870</v>
      </c>
      <c r="O173" s="143">
        <v>2</v>
      </c>
      <c r="P173" s="143">
        <v>2</v>
      </c>
      <c r="Q173" s="167">
        <v>750</v>
      </c>
      <c r="R173" s="143" t="s">
        <v>554</v>
      </c>
      <c r="S173" s="122" t="s">
        <v>534</v>
      </c>
      <c r="T173" s="120" t="s">
        <v>522</v>
      </c>
      <c r="U173" s="121" t="s">
        <v>555</v>
      </c>
      <c r="V173" s="119" t="s">
        <v>619</v>
      </c>
      <c r="W173" s="119" t="s">
        <v>904</v>
      </c>
      <c r="X173" s="123" t="s">
        <v>905</v>
      </c>
      <c r="Y173" s="119"/>
      <c r="Z173" s="130"/>
      <c r="AA173" s="125"/>
      <c r="AB173" s="126"/>
      <c r="AC173" s="127"/>
      <c r="AD173" s="127"/>
      <c r="AE173" s="127"/>
      <c r="AF173" s="127"/>
      <c r="AG173" s="125"/>
      <c r="AH173" s="128">
        <f t="shared" ca="1" si="11"/>
        <v>45794</v>
      </c>
      <c r="AI173" s="129" t="s">
        <v>622</v>
      </c>
      <c r="AJ173" s="129"/>
      <c r="AK173" s="129"/>
      <c r="AL173" s="129"/>
      <c r="AM173" s="129"/>
    </row>
    <row r="174" spans="1:39" ht="18" hidden="1" customHeight="1" x14ac:dyDescent="0.25">
      <c r="A174" s="117">
        <v>173</v>
      </c>
      <c r="B174" s="117"/>
      <c r="C174" s="118" t="s">
        <v>891</v>
      </c>
      <c r="D174" s="146">
        <f t="array" aca="1" ref="D174" ca="1">SUM(--(_xlfn.UNIQUE(_xlfn._xlws.FILTER($M$2:$M$1011 &amp; "", ($C$2:$C$1011 = C174) * ($M$2:$M$1011 &lt;&gt; ""))) &lt;&gt; ""))</f>
        <v>4</v>
      </c>
      <c r="E174" s="166">
        <f t="shared" ca="1" si="9"/>
        <v>6174.64</v>
      </c>
      <c r="F174" s="143">
        <v>1</v>
      </c>
      <c r="G174" s="143" t="s">
        <v>91</v>
      </c>
      <c r="H174" s="119">
        <f>_xlfn.XLOOKUP(G174,'🚛 FROTA'!B:B,'🚛 FROTA'!A:A,"")</f>
        <v>7</v>
      </c>
      <c r="I174" s="119"/>
      <c r="J174" s="119" t="str">
        <f>IF(G174="","",_xlfn.XLOOKUP(G174,'🚛 FROTA'!B:B,'🚛 FROTA'!E:E,""))</f>
        <v>9.150 Delivery</v>
      </c>
      <c r="K174" s="119" t="str">
        <f>IF(G174="","",_xlfn.XLOOKUP(G174,'🚛 FROTA'!B:B,'🚛 FROTA'!K:K,""))</f>
        <v>Carroceria</v>
      </c>
      <c r="L174" s="143" t="s">
        <v>623</v>
      </c>
      <c r="M174" s="143" t="s">
        <v>895</v>
      </c>
      <c r="N174" s="145">
        <v>45884</v>
      </c>
      <c r="O174" s="143">
        <v>3</v>
      </c>
      <c r="P174" s="143">
        <v>3</v>
      </c>
      <c r="Q174" s="167">
        <v>666.67</v>
      </c>
      <c r="R174" s="143" t="s">
        <v>554</v>
      </c>
      <c r="S174" s="122" t="s">
        <v>534</v>
      </c>
      <c r="T174" s="120" t="s">
        <v>522</v>
      </c>
      <c r="U174" s="121" t="s">
        <v>555</v>
      </c>
      <c r="V174" s="119" t="s">
        <v>619</v>
      </c>
      <c r="W174" s="119" t="s">
        <v>896</v>
      </c>
      <c r="X174" s="123" t="s">
        <v>897</v>
      </c>
      <c r="Y174" s="119"/>
      <c r="Z174" s="130"/>
      <c r="AA174" s="125"/>
      <c r="AB174" s="126"/>
      <c r="AC174" s="127"/>
      <c r="AD174" s="127"/>
      <c r="AE174" s="127"/>
      <c r="AF174" s="127"/>
      <c r="AG174" s="125"/>
      <c r="AH174" s="128">
        <f t="shared" ca="1" si="11"/>
        <v>45794</v>
      </c>
      <c r="AI174" s="129"/>
      <c r="AJ174" s="129"/>
      <c r="AK174" s="129"/>
      <c r="AL174" s="129"/>
      <c r="AM174" s="129"/>
    </row>
    <row r="175" spans="1:39" ht="18" hidden="1" customHeight="1" x14ac:dyDescent="0.25">
      <c r="A175" s="117">
        <v>174</v>
      </c>
      <c r="B175" s="117"/>
      <c r="C175" s="118" t="s">
        <v>891</v>
      </c>
      <c r="D175" s="146">
        <f t="array" aca="1" ref="D175" ca="1">SUM(--(_xlfn.UNIQUE(_xlfn._xlws.FILTER($M$2:$M$1011 &amp; "", ($C$2:$C$1011 = C175) * ($M$2:$M$1011 &lt;&gt; ""))) &lt;&gt; ""))</f>
        <v>4</v>
      </c>
      <c r="E175" s="166">
        <f t="shared" ca="1" si="9"/>
        <v>6174.64</v>
      </c>
      <c r="F175" s="143">
        <v>1</v>
      </c>
      <c r="G175" s="143" t="s">
        <v>91</v>
      </c>
      <c r="H175" s="119">
        <f>_xlfn.XLOOKUP(G175,'🚛 FROTA'!B:B,'🚛 FROTA'!A:A,"")</f>
        <v>7</v>
      </c>
      <c r="I175" s="119"/>
      <c r="J175" s="119" t="str">
        <f>IF(G175="","",_xlfn.XLOOKUP(G175,'🚛 FROTA'!B:B,'🚛 FROTA'!E:E,""))</f>
        <v>9.150 Delivery</v>
      </c>
      <c r="K175" s="119" t="str">
        <f>IF(G175="","",_xlfn.XLOOKUP(G175,'🚛 FROTA'!B:B,'🚛 FROTA'!K:K,""))</f>
        <v>Carroceria</v>
      </c>
      <c r="L175" s="143" t="s">
        <v>898</v>
      </c>
      <c r="M175" s="143" t="s">
        <v>899</v>
      </c>
      <c r="N175" s="145">
        <v>45888</v>
      </c>
      <c r="O175" s="143">
        <v>3</v>
      </c>
      <c r="P175" s="143">
        <v>3</v>
      </c>
      <c r="Q175" s="167">
        <v>533.34</v>
      </c>
      <c r="R175" s="143" t="s">
        <v>554</v>
      </c>
      <c r="S175" s="122" t="s">
        <v>560</v>
      </c>
      <c r="T175" s="120" t="s">
        <v>522</v>
      </c>
      <c r="U175" s="121" t="s">
        <v>555</v>
      </c>
      <c r="V175" s="119" t="s">
        <v>619</v>
      </c>
      <c r="W175" s="119" t="s">
        <v>900</v>
      </c>
      <c r="X175" s="123" t="s">
        <v>901</v>
      </c>
      <c r="Y175" s="119" t="s">
        <v>902</v>
      </c>
      <c r="Z175" s="130"/>
      <c r="AA175" s="125"/>
      <c r="AB175" s="126"/>
      <c r="AC175" s="127"/>
      <c r="AD175" s="127"/>
      <c r="AE175" s="127"/>
      <c r="AF175" s="127"/>
      <c r="AG175" s="125"/>
      <c r="AH175" s="128">
        <f t="shared" ca="1" si="11"/>
        <v>45794</v>
      </c>
      <c r="AI175" s="129"/>
      <c r="AJ175" s="129"/>
      <c r="AK175" s="129"/>
      <c r="AL175" s="129"/>
      <c r="AM175" s="129"/>
    </row>
    <row r="176" spans="1:39" ht="18" hidden="1" customHeight="1" x14ac:dyDescent="0.25">
      <c r="A176" s="117">
        <v>175</v>
      </c>
      <c r="B176" s="117"/>
      <c r="C176" s="118" t="s">
        <v>906</v>
      </c>
      <c r="D176" s="146">
        <f t="array" aca="1" ref="D176" ca="1">SUM(--(_xlfn.UNIQUE(_xlfn._xlws.FILTER($M$2:$M$1011 &amp; "", ($C$2:$C$1011 = C176) * ($M$2:$M$1011 &lt;&gt; ""))) &lt;&gt; ""))</f>
        <v>1</v>
      </c>
      <c r="E176" s="166">
        <f t="shared" ca="1" si="9"/>
        <v>537.30999999999995</v>
      </c>
      <c r="F176" s="143">
        <v>1</v>
      </c>
      <c r="G176" s="143" t="s">
        <v>91</v>
      </c>
      <c r="H176" s="119">
        <f>_xlfn.XLOOKUP(G176,'🚛 FROTA'!B:B,'🚛 FROTA'!A:A,"")</f>
        <v>7</v>
      </c>
      <c r="I176" s="119"/>
      <c r="J176" s="119" t="str">
        <f>IF(G176="","",_xlfn.XLOOKUP(G176,'🚛 FROTA'!B:B,'🚛 FROTA'!E:E,""))</f>
        <v>9.150 Delivery</v>
      </c>
      <c r="K176" s="119" t="str">
        <f>IF(G176="","",_xlfn.XLOOKUP(G176,'🚛 FROTA'!B:B,'🚛 FROTA'!K:K,""))</f>
        <v>Carroceria</v>
      </c>
      <c r="L176" s="143" t="s">
        <v>627</v>
      </c>
      <c r="M176" s="143" t="s">
        <v>892</v>
      </c>
      <c r="N176" s="145">
        <v>45838</v>
      </c>
      <c r="O176" s="143">
        <v>2</v>
      </c>
      <c r="P176" s="143">
        <v>3</v>
      </c>
      <c r="Q176" s="167">
        <v>537.30999999999995</v>
      </c>
      <c r="R176" s="143" t="s">
        <v>554</v>
      </c>
      <c r="S176" s="122" t="s">
        <v>560</v>
      </c>
      <c r="T176" s="120" t="s">
        <v>522</v>
      </c>
      <c r="U176" s="121" t="s">
        <v>555</v>
      </c>
      <c r="V176" s="119" t="s">
        <v>619</v>
      </c>
      <c r="W176" s="119" t="s">
        <v>893</v>
      </c>
      <c r="X176" s="123" t="s">
        <v>907</v>
      </c>
      <c r="Y176" s="119"/>
      <c r="Z176" s="130"/>
      <c r="AA176" s="125"/>
      <c r="AB176" s="126"/>
      <c r="AC176" s="127"/>
      <c r="AD176" s="127"/>
      <c r="AE176" s="127"/>
      <c r="AF176" s="127"/>
      <c r="AG176" s="125"/>
      <c r="AH176" s="128">
        <f t="shared" ca="1" si="11"/>
        <v>45808</v>
      </c>
      <c r="AI176" s="129" t="s">
        <v>631</v>
      </c>
      <c r="AJ176" s="129"/>
      <c r="AK176" s="129"/>
      <c r="AL176" s="129"/>
      <c r="AM176" s="129"/>
    </row>
    <row r="177" spans="1:39" ht="18" hidden="1" customHeight="1" x14ac:dyDescent="0.25">
      <c r="A177" s="117">
        <v>176</v>
      </c>
      <c r="B177" s="117"/>
      <c r="C177" s="118" t="s">
        <v>908</v>
      </c>
      <c r="D177" s="146">
        <f t="array" aca="1" ref="D177" ca="1">SUM(--(_xlfn.UNIQUE(_xlfn._xlws.FILTER($M$2:$M$1011 &amp; "", ($C$2:$C$1011 = C177) * ($M$2:$M$1011 &lt;&gt; ""))) &lt;&gt; ""))</f>
        <v>1</v>
      </c>
      <c r="E177" s="166">
        <f t="shared" ca="1" si="9"/>
        <v>390</v>
      </c>
      <c r="F177" s="143">
        <v>1</v>
      </c>
      <c r="G177" s="143" t="s">
        <v>165</v>
      </c>
      <c r="H177" s="119">
        <f>_xlfn.XLOOKUP(G177,'🚛 FROTA'!B:B,'🚛 FROTA'!A:A,"")</f>
        <v>40</v>
      </c>
      <c r="I177" s="119"/>
      <c r="J177" s="119" t="str">
        <f>IF(G177="","",_xlfn.XLOOKUP(G177,'🚛 FROTA'!B:B,'🚛 FROTA'!E:E,""))</f>
        <v>Express Delivery</v>
      </c>
      <c r="K177" s="119" t="str">
        <f>IF(G177="","",_xlfn.XLOOKUP(G177,'🚛 FROTA'!B:B,'🚛 FROTA'!K:K,""))</f>
        <v>Carroceria Cabinado</v>
      </c>
      <c r="L177" s="143" t="s">
        <v>909</v>
      </c>
      <c r="M177" s="143" t="s">
        <v>910</v>
      </c>
      <c r="N177" s="145">
        <v>45825</v>
      </c>
      <c r="O177" s="143">
        <v>1</v>
      </c>
      <c r="P177" s="143">
        <v>1</v>
      </c>
      <c r="Q177" s="167">
        <v>390</v>
      </c>
      <c r="R177" s="143" t="s">
        <v>651</v>
      </c>
      <c r="S177" s="122" t="s">
        <v>534</v>
      </c>
      <c r="T177" s="120" t="s">
        <v>522</v>
      </c>
      <c r="U177" s="121" t="s">
        <v>555</v>
      </c>
      <c r="V177" s="119" t="s">
        <v>670</v>
      </c>
      <c r="W177" s="119" t="s">
        <v>911</v>
      </c>
      <c r="X177" s="123" t="s">
        <v>912</v>
      </c>
      <c r="Y177" s="119"/>
      <c r="Z177" s="130"/>
      <c r="AA177" s="125"/>
      <c r="AB177" s="126"/>
      <c r="AC177" s="127"/>
      <c r="AD177" s="127"/>
      <c r="AE177" s="127"/>
      <c r="AF177" s="127"/>
      <c r="AG177" s="125"/>
      <c r="AH177" s="128">
        <f>IF(OR(R177="A Vista", R177="Crédito", R177="Adiantamento"), N177, IF(R177="Faturado", _xlfn.MINIFS(N:N, C:C, C177)-30, ""))</f>
        <v>45825</v>
      </c>
      <c r="AI177" s="129"/>
      <c r="AJ177" s="129"/>
      <c r="AK177" s="129"/>
      <c r="AL177" s="129"/>
      <c r="AM177" s="129"/>
    </row>
    <row r="178" spans="1:39" ht="18" hidden="1" customHeight="1" x14ac:dyDescent="0.25">
      <c r="A178" s="117">
        <v>177</v>
      </c>
      <c r="B178" s="117"/>
      <c r="C178" s="118" t="s">
        <v>913</v>
      </c>
      <c r="D178" s="146">
        <f t="array" aca="1" ref="D178" ca="1">SUM(--(_xlfn.UNIQUE(_xlfn._xlws.FILTER($M$2:$M$1011 &amp; "", ($C$2:$C$1011 = C178) * ($M$2:$M$1011 &lt;&gt; ""))) &lt;&gt; ""))</f>
        <v>1</v>
      </c>
      <c r="E178" s="166">
        <f t="shared" ca="1" si="9"/>
        <v>1366</v>
      </c>
      <c r="F178" s="143">
        <v>1</v>
      </c>
      <c r="G178" s="143" t="s">
        <v>174</v>
      </c>
      <c r="H178" s="119">
        <f>_xlfn.XLOOKUP(G178,'🚛 FROTA'!B:B,'🚛 FROTA'!A:A,"")</f>
        <v>47</v>
      </c>
      <c r="I178" s="119"/>
      <c r="J178" s="119" t="str">
        <f>IF(G178="","",_xlfn.XLOOKUP(G178,'🚛 FROTA'!B:B,'🚛 FROTA'!E:E,""))</f>
        <v>Atego 3026</v>
      </c>
      <c r="K178" s="119" t="str">
        <f>IF(G178="","",_xlfn.XLOOKUP(G178,'🚛 FROTA'!B:B,'🚛 FROTA'!K:K,""))</f>
        <v>Prancha</v>
      </c>
      <c r="L178" s="143" t="s">
        <v>914</v>
      </c>
      <c r="M178" s="143" t="s">
        <v>915</v>
      </c>
      <c r="N178" s="145">
        <v>45826</v>
      </c>
      <c r="O178" s="143">
        <v>1</v>
      </c>
      <c r="P178" s="143">
        <v>1</v>
      </c>
      <c r="Q178" s="167">
        <v>1366</v>
      </c>
      <c r="R178" s="143" t="s">
        <v>651</v>
      </c>
      <c r="S178" s="122" t="s">
        <v>534</v>
      </c>
      <c r="T178" s="120" t="s">
        <v>522</v>
      </c>
      <c r="U178" s="121" t="s">
        <v>597</v>
      </c>
      <c r="V178" s="119" t="s">
        <v>598</v>
      </c>
      <c r="W178" s="119" t="s">
        <v>916</v>
      </c>
      <c r="X178" s="123" t="s">
        <v>916</v>
      </c>
      <c r="Y178" s="119"/>
      <c r="Z178" s="124">
        <v>33097</v>
      </c>
      <c r="AA178" s="125"/>
      <c r="AB178" s="126"/>
      <c r="AC178" s="127"/>
      <c r="AD178" s="127"/>
      <c r="AE178" s="127"/>
      <c r="AF178" s="127"/>
      <c r="AG178" s="125"/>
      <c r="AH178" s="128">
        <f>IF(OR(R178="A Vista", R178="Crédito", R178="Adiantamento"), N178, IF(R178="Faturado", _xlfn.MINIFS(N:N, C:C, C178)-30, ""))</f>
        <v>45826</v>
      </c>
      <c r="AI178" s="129"/>
      <c r="AJ178" s="129"/>
      <c r="AK178" s="132">
        <f>IF(Z178="",0,Z178+10000)</f>
        <v>43097</v>
      </c>
      <c r="AL178" s="129"/>
      <c r="AM178" s="129"/>
    </row>
    <row r="179" spans="1:39" ht="18" hidden="1" customHeight="1" x14ac:dyDescent="0.25">
      <c r="A179" s="117">
        <v>178</v>
      </c>
      <c r="B179" s="117"/>
      <c r="C179" s="118" t="s">
        <v>917</v>
      </c>
      <c r="D179" s="146">
        <f t="array" aca="1" ref="D179" ca="1">SUM(--(_xlfn.UNIQUE(_xlfn._xlws.FILTER($M$2:$M$1011 &amp; "", ($C$2:$C$1011 = C179) * ($M$2:$M$1011 &lt;&gt; ""))) &lt;&gt; ""))</f>
        <v>1</v>
      </c>
      <c r="E179" s="166">
        <f t="shared" ca="1" si="9"/>
        <v>370</v>
      </c>
      <c r="F179" s="143">
        <v>1</v>
      </c>
      <c r="G179" s="143" t="s">
        <v>167</v>
      </c>
      <c r="H179" s="119">
        <f>_xlfn.XLOOKUP(G179,'🚛 FROTA'!B:B,'🚛 FROTA'!A:A,"")</f>
        <v>42</v>
      </c>
      <c r="I179" s="119"/>
      <c r="J179" s="119" t="str">
        <f>IF(G179="","",_xlfn.XLOOKUP(G179,'🚛 FROTA'!B:B,'🚛 FROTA'!E:E,""))</f>
        <v>Express Delivery</v>
      </c>
      <c r="K179" s="119" t="str">
        <f>IF(G179="","",_xlfn.XLOOKUP(G179,'🚛 FROTA'!B:B,'🚛 FROTA'!K:K,""))</f>
        <v>Carroceria</v>
      </c>
      <c r="L179" s="143" t="s">
        <v>729</v>
      </c>
      <c r="M179" s="143" t="s">
        <v>918</v>
      </c>
      <c r="N179" s="145">
        <v>45839</v>
      </c>
      <c r="O179" s="143">
        <v>1</v>
      </c>
      <c r="P179" s="143">
        <v>1</v>
      </c>
      <c r="Q179" s="167">
        <v>370</v>
      </c>
      <c r="R179" s="143" t="s">
        <v>554</v>
      </c>
      <c r="S179" s="122" t="s">
        <v>534</v>
      </c>
      <c r="T179" s="120" t="s">
        <v>522</v>
      </c>
      <c r="U179" s="121" t="s">
        <v>555</v>
      </c>
      <c r="V179" s="119" t="s">
        <v>670</v>
      </c>
      <c r="W179" s="119" t="s">
        <v>731</v>
      </c>
      <c r="X179" s="123" t="s">
        <v>732</v>
      </c>
      <c r="Y179" s="119"/>
      <c r="Z179" s="130"/>
      <c r="AA179" s="125"/>
      <c r="AB179" s="126"/>
      <c r="AC179" s="127"/>
      <c r="AD179" s="127"/>
      <c r="AE179" s="127"/>
      <c r="AF179" s="127"/>
      <c r="AG179" s="125"/>
      <c r="AH179" s="128">
        <f ca="1">IF(OR(R179="A VISTA", R179="C. CRÉDITO", R179="ADIANTAMENTO"), N179, IF(R179="Faturado", _xlfn.MINIFS(N:N, C:C, C179)-30, ""))</f>
        <v>45809</v>
      </c>
      <c r="AI179" s="129"/>
      <c r="AJ179" s="129"/>
      <c r="AK179" s="129"/>
      <c r="AL179" s="129"/>
      <c r="AM179" s="129"/>
    </row>
    <row r="180" spans="1:39" ht="18" hidden="1" customHeight="1" x14ac:dyDescent="0.25">
      <c r="A180" s="117">
        <v>179</v>
      </c>
      <c r="B180" s="117"/>
      <c r="C180" s="118" t="s">
        <v>464</v>
      </c>
      <c r="D180" s="146">
        <f t="array" aca="1" ref="D180" ca="1">SUM(--(_xlfn.UNIQUE(_xlfn._xlws.FILTER($M$2:$M$1011 &amp; "", ($C$2:$C$1011 = C180) * ($M$2:$M$1011 &lt;&gt; ""))) &lt;&gt; ""))</f>
        <v>1</v>
      </c>
      <c r="E180" s="166">
        <f t="shared" ca="1" si="9"/>
        <v>935.57500000000005</v>
      </c>
      <c r="F180" s="143">
        <v>1</v>
      </c>
      <c r="G180" s="143" t="s">
        <v>166</v>
      </c>
      <c r="H180" s="119">
        <f>_xlfn.XLOOKUP(G180,'🚛 FROTA'!B:B,'🚛 FROTA'!A:A,"")</f>
        <v>41</v>
      </c>
      <c r="I180" s="119"/>
      <c r="J180" s="119" t="str">
        <f>IF(G180="","",_xlfn.XLOOKUP(G180,'🚛 FROTA'!B:B,'🚛 FROTA'!E:E,""))</f>
        <v>Express Delivery</v>
      </c>
      <c r="K180" s="119" t="str">
        <f>IF(G180="","",_xlfn.XLOOKUP(G180,'🚛 FROTA'!B:B,'🚛 FROTA'!K:K,""))</f>
        <v>Carroceria Cabinado</v>
      </c>
      <c r="L180" s="143" t="s">
        <v>881</v>
      </c>
      <c r="M180" s="143" t="s">
        <v>919</v>
      </c>
      <c r="N180" s="145">
        <v>45840</v>
      </c>
      <c r="O180" s="143">
        <v>1</v>
      </c>
      <c r="P180" s="143">
        <v>2</v>
      </c>
      <c r="Q180" s="167">
        <v>935.57500000000005</v>
      </c>
      <c r="R180" s="143" t="s">
        <v>554</v>
      </c>
      <c r="S180" s="122" t="s">
        <v>534</v>
      </c>
      <c r="T180" s="120" t="s">
        <v>522</v>
      </c>
      <c r="U180" s="121" t="s">
        <v>555</v>
      </c>
      <c r="V180" s="119" t="s">
        <v>670</v>
      </c>
      <c r="W180" s="119" t="s">
        <v>920</v>
      </c>
      <c r="X180" s="123" t="s">
        <v>921</v>
      </c>
      <c r="Y180" s="119"/>
      <c r="Z180" s="130"/>
      <c r="AA180" s="125"/>
      <c r="AB180" s="126"/>
      <c r="AC180" s="127"/>
      <c r="AD180" s="127"/>
      <c r="AE180" s="127"/>
      <c r="AF180" s="127"/>
      <c r="AG180" s="125"/>
      <c r="AH180" s="128">
        <f ca="1">IF(OR(R180="A VISTA", R180="C. CRÉDITO", R180="ADIANTAMENTO"), N180, IF(R180="Faturado", _xlfn.MINIFS(N:N, C:C, C180)-30, ""))</f>
        <v>45810</v>
      </c>
      <c r="AI180" s="129"/>
      <c r="AJ180" s="129"/>
      <c r="AK180" s="129"/>
      <c r="AL180" s="129"/>
      <c r="AM180" s="129"/>
    </row>
    <row r="181" spans="1:39" ht="18" hidden="1" customHeight="1" x14ac:dyDescent="0.25">
      <c r="A181" s="117">
        <v>180</v>
      </c>
      <c r="B181" s="117"/>
      <c r="C181" s="118" t="s">
        <v>922</v>
      </c>
      <c r="D181" s="146">
        <f t="array" aca="1" ref="D181" ca="1">SUM(--(_xlfn.UNIQUE(_xlfn._xlws.FILTER($M$2:$M$1011 &amp; "", ($C$2:$C$1011 = C181) * ($M$2:$M$1011 &lt;&gt; ""))) &lt;&gt; ""))</f>
        <v>1</v>
      </c>
      <c r="E181" s="166">
        <f t="shared" ca="1" si="9"/>
        <v>624</v>
      </c>
      <c r="F181" s="143">
        <v>1</v>
      </c>
      <c r="G181" s="143" t="s">
        <v>91</v>
      </c>
      <c r="H181" s="119">
        <f>_xlfn.XLOOKUP(G181,'🚛 FROTA'!B:B,'🚛 FROTA'!A:A,"")</f>
        <v>7</v>
      </c>
      <c r="I181" s="119"/>
      <c r="J181" s="119" t="str">
        <f>IF(G181="","",_xlfn.XLOOKUP(G181,'🚛 FROTA'!B:B,'🚛 FROTA'!E:E,""))</f>
        <v>9.150 Delivery</v>
      </c>
      <c r="K181" s="119" t="str">
        <f>IF(G181="","",_xlfn.XLOOKUP(G181,'🚛 FROTA'!B:B,'🚛 FROTA'!K:K,""))</f>
        <v>Carroceria</v>
      </c>
      <c r="L181" s="143" t="s">
        <v>617</v>
      </c>
      <c r="M181" s="143" t="s">
        <v>923</v>
      </c>
      <c r="N181" s="145">
        <v>45840</v>
      </c>
      <c r="O181" s="143">
        <v>1</v>
      </c>
      <c r="P181" s="143">
        <v>1</v>
      </c>
      <c r="Q181" s="167">
        <v>624</v>
      </c>
      <c r="R181" s="143" t="s">
        <v>554</v>
      </c>
      <c r="S181" s="122" t="s">
        <v>534</v>
      </c>
      <c r="T181" s="120" t="s">
        <v>522</v>
      </c>
      <c r="U181" s="121" t="s">
        <v>555</v>
      </c>
      <c r="V181" s="119" t="s">
        <v>568</v>
      </c>
      <c r="W181" s="119" t="s">
        <v>924</v>
      </c>
      <c r="X181" s="123" t="s">
        <v>925</v>
      </c>
      <c r="Y181" s="119"/>
      <c r="Z181" s="130"/>
      <c r="AA181" s="125"/>
      <c r="AB181" s="126"/>
      <c r="AC181" s="127"/>
      <c r="AD181" s="127"/>
      <c r="AE181" s="127"/>
      <c r="AF181" s="127"/>
      <c r="AG181" s="125"/>
      <c r="AH181" s="128">
        <f ca="1">IF(OR(R181="A VISTA", R181="C. CRÉDITO", R181="ADIANTAMENTO"), N181, IF(R181="Faturado", _xlfn.MINIFS(N:N, C:C, C181)-30, ""))</f>
        <v>45810</v>
      </c>
      <c r="AI181" s="129" t="s">
        <v>622</v>
      </c>
      <c r="AJ181" s="129"/>
      <c r="AK181" s="129"/>
      <c r="AL181" s="129"/>
      <c r="AM181" s="129"/>
    </row>
    <row r="182" spans="1:39" ht="18" hidden="1" customHeight="1" x14ac:dyDescent="0.25">
      <c r="A182" s="117">
        <v>181</v>
      </c>
      <c r="B182" s="117"/>
      <c r="C182" s="118" t="s">
        <v>926</v>
      </c>
      <c r="D182" s="146">
        <f t="array" aca="1" ref="D182" ca="1">SUM(--(_xlfn.UNIQUE(_xlfn._xlws.FILTER($M$2:$M$1011 &amp; "", ($C$2:$C$1011 = C182) * ($M$2:$M$1011 &lt;&gt; ""))) &lt;&gt; ""))</f>
        <v>2</v>
      </c>
      <c r="E182" s="166">
        <f t="shared" ca="1" si="9"/>
        <v>4159.9800000000005</v>
      </c>
      <c r="F182" s="143">
        <v>1</v>
      </c>
      <c r="G182" s="143" t="s">
        <v>128</v>
      </c>
      <c r="H182" s="119">
        <f>_xlfn.XLOOKUP(G182,'🚛 FROTA'!B:B,'🚛 FROTA'!A:A,"")</f>
        <v>20</v>
      </c>
      <c r="I182" s="119"/>
      <c r="J182" s="119" t="str">
        <f>IF(G182="","",_xlfn.XLOOKUP(G182,'🚛 FROTA'!B:B,'🚛 FROTA'!E:E,""))</f>
        <v>3CX</v>
      </c>
      <c r="K182" s="119"/>
      <c r="L182" s="143" t="s">
        <v>773</v>
      </c>
      <c r="M182" s="143" t="s">
        <v>927</v>
      </c>
      <c r="N182" s="145">
        <v>45840</v>
      </c>
      <c r="O182" s="143">
        <v>1</v>
      </c>
      <c r="P182" s="143">
        <v>3</v>
      </c>
      <c r="Q182" s="167">
        <v>205</v>
      </c>
      <c r="R182" s="143" t="s">
        <v>554</v>
      </c>
      <c r="S182" s="122" t="s">
        <v>534</v>
      </c>
      <c r="T182" s="120" t="s">
        <v>522</v>
      </c>
      <c r="U182" s="121" t="s">
        <v>555</v>
      </c>
      <c r="V182" s="119" t="s">
        <v>568</v>
      </c>
      <c r="W182" s="119" t="s">
        <v>928</v>
      </c>
      <c r="X182" s="123" t="s">
        <v>929</v>
      </c>
      <c r="Y182" s="119"/>
      <c r="Z182" s="130"/>
      <c r="AA182" s="125"/>
      <c r="AB182" s="126"/>
      <c r="AC182" s="127"/>
      <c r="AD182" s="127"/>
      <c r="AE182" s="127"/>
      <c r="AF182" s="127"/>
      <c r="AG182" s="125"/>
      <c r="AH182" s="128">
        <f ca="1">IF(OR(R182="A VISTA", R182="C. CRÉDITO", R182="ADIANTAMENTO"), N182, IF(R182="Faturado", _xlfn.MINIFS(N:N, C:C, C182)-30, ""))</f>
        <v>45810</v>
      </c>
      <c r="AI182" s="129" t="s">
        <v>777</v>
      </c>
      <c r="AJ182" s="129"/>
      <c r="AK182" s="129"/>
      <c r="AL182" s="129"/>
      <c r="AM182" s="129"/>
    </row>
    <row r="183" spans="1:39" ht="18" hidden="1" customHeight="1" x14ac:dyDescent="0.25">
      <c r="A183" s="117">
        <v>182</v>
      </c>
      <c r="B183" s="117"/>
      <c r="C183" s="118" t="s">
        <v>926</v>
      </c>
      <c r="D183" s="146">
        <f t="array" aca="1" ref="D183" ca="1">SUM(--(_xlfn.UNIQUE(_xlfn._xlws.FILTER($M$2:$M$1011 &amp; "", ($C$2:$C$1011 = C183) * ($M$2:$M$1011 &lt;&gt; ""))) &lt;&gt; ""))</f>
        <v>2</v>
      </c>
      <c r="E183" s="166">
        <f t="shared" ca="1" si="9"/>
        <v>4159.9800000000005</v>
      </c>
      <c r="F183" s="143">
        <v>1</v>
      </c>
      <c r="G183" s="143" t="s">
        <v>128</v>
      </c>
      <c r="H183" s="119">
        <f>_xlfn.XLOOKUP(G183,'🚛 FROTA'!B:B,'🚛 FROTA'!A:A,"")</f>
        <v>20</v>
      </c>
      <c r="I183" s="119"/>
      <c r="J183" s="119" t="str">
        <f>IF(G183="","",_xlfn.XLOOKUP(G183,'🚛 FROTA'!B:B,'🚛 FROTA'!E:E,""))</f>
        <v>3CX</v>
      </c>
      <c r="K183" s="119"/>
      <c r="L183" s="143" t="s">
        <v>773</v>
      </c>
      <c r="M183" s="143" t="s">
        <v>927</v>
      </c>
      <c r="N183" s="145">
        <v>45840</v>
      </c>
      <c r="O183" s="143">
        <v>1</v>
      </c>
      <c r="P183" s="143">
        <v>3</v>
      </c>
      <c r="Q183" s="167">
        <v>1166.6600000000001</v>
      </c>
      <c r="R183" s="143" t="s">
        <v>554</v>
      </c>
      <c r="S183" s="122" t="s">
        <v>534</v>
      </c>
      <c r="T183" s="120" t="s">
        <v>522</v>
      </c>
      <c r="U183" s="121" t="s">
        <v>555</v>
      </c>
      <c r="V183" s="119" t="s">
        <v>568</v>
      </c>
      <c r="W183" s="119" t="s">
        <v>930</v>
      </c>
      <c r="X183" s="123" t="s">
        <v>931</v>
      </c>
      <c r="Y183" s="119"/>
      <c r="Z183" s="130"/>
      <c r="AA183" s="125"/>
      <c r="AB183" s="126"/>
      <c r="AC183" s="127"/>
      <c r="AD183" s="127"/>
      <c r="AE183" s="127"/>
      <c r="AF183" s="127"/>
      <c r="AG183" s="125"/>
      <c r="AH183" s="128">
        <f ca="1">IF(OR(R183="A VISTA", R183="C. CRÉDITO", R183="ADIANTAMENTO"), N183, IF(R183="Faturado", _xlfn.MINIFS(N:N, C:C, C183)-30, ""))</f>
        <v>45810</v>
      </c>
      <c r="AI183" s="129" t="s">
        <v>777</v>
      </c>
      <c r="AJ183" s="129"/>
      <c r="AK183" s="129"/>
      <c r="AL183" s="129"/>
      <c r="AM183" s="129"/>
    </row>
    <row r="184" spans="1:39" ht="18" hidden="1" customHeight="1" x14ac:dyDescent="0.25">
      <c r="A184" s="117">
        <v>183</v>
      </c>
      <c r="B184" s="117"/>
      <c r="C184" s="118" t="s">
        <v>926</v>
      </c>
      <c r="D184" s="146">
        <f t="array" aca="1" ref="D184" ca="1">SUM(--(_xlfn.UNIQUE(_xlfn._xlws.FILTER($M$2:$M$1011 &amp; "", ($C$2:$C$1011 = C184) * ($M$2:$M$1011 &lt;&gt; ""))) &lt;&gt; ""))</f>
        <v>2</v>
      </c>
      <c r="E184" s="166">
        <f t="shared" ca="1" si="9"/>
        <v>4159.9800000000005</v>
      </c>
      <c r="F184" s="143">
        <v>1</v>
      </c>
      <c r="G184" s="143" t="s">
        <v>128</v>
      </c>
      <c r="H184" s="119">
        <f>_xlfn.XLOOKUP(G184,'🚛 FROTA'!B:B,'🚛 FROTA'!A:A,"")</f>
        <v>20</v>
      </c>
      <c r="I184" s="119"/>
      <c r="J184" s="119" t="str">
        <f>IF(G184="","",_xlfn.XLOOKUP(G184,'🚛 FROTA'!B:B,'🚛 FROTA'!E:E,""))</f>
        <v>3CX</v>
      </c>
      <c r="K184" s="119"/>
      <c r="L184" s="143" t="s">
        <v>932</v>
      </c>
      <c r="M184" s="143" t="s">
        <v>933</v>
      </c>
      <c r="N184" s="145">
        <v>45845</v>
      </c>
      <c r="O184" s="143">
        <v>1</v>
      </c>
      <c r="P184" s="143">
        <v>1</v>
      </c>
      <c r="Q184" s="167">
        <v>45</v>
      </c>
      <c r="R184" s="143" t="s">
        <v>651</v>
      </c>
      <c r="S184" s="122" t="s">
        <v>534</v>
      </c>
      <c r="T184" s="120" t="s">
        <v>522</v>
      </c>
      <c r="U184" s="121" t="s">
        <v>555</v>
      </c>
      <c r="V184" s="119" t="s">
        <v>568</v>
      </c>
      <c r="W184" s="119" t="s">
        <v>934</v>
      </c>
      <c r="X184" s="123" t="s">
        <v>935</v>
      </c>
      <c r="Y184" s="119"/>
      <c r="Z184" s="130"/>
      <c r="AA184" s="125"/>
      <c r="AB184" s="126"/>
      <c r="AC184" s="127"/>
      <c r="AD184" s="127"/>
      <c r="AE184" s="127"/>
      <c r="AF184" s="127"/>
      <c r="AG184" s="125"/>
      <c r="AH184" s="128">
        <f>IF(OR(R184="A Vista", R184="Crédito", R184="Adiantamento"), N184, IF(R184="Faturado", _xlfn.MINIFS(N:N, C:C, C184)-30, ""))</f>
        <v>45845</v>
      </c>
      <c r="AI184" s="129"/>
      <c r="AJ184" s="129"/>
      <c r="AK184" s="129"/>
      <c r="AL184" s="129"/>
      <c r="AM184" s="129"/>
    </row>
    <row r="185" spans="1:39" ht="18" hidden="1" customHeight="1" x14ac:dyDescent="0.25">
      <c r="A185" s="117">
        <v>184</v>
      </c>
      <c r="B185" s="117"/>
      <c r="C185" s="118" t="s">
        <v>926</v>
      </c>
      <c r="D185" s="146">
        <f t="array" aca="1" ref="D185" ca="1">SUM(--(_xlfn.UNIQUE(_xlfn._xlws.FILTER($M$2:$M$1011 &amp; "", ($C$2:$C$1011 = C185) * ($M$2:$M$1011 &lt;&gt; ""))) &lt;&gt; ""))</f>
        <v>2</v>
      </c>
      <c r="E185" s="166">
        <f t="shared" ca="1" si="9"/>
        <v>4159.9800000000005</v>
      </c>
      <c r="F185" s="143">
        <v>1</v>
      </c>
      <c r="G185" s="143" t="s">
        <v>128</v>
      </c>
      <c r="H185" s="119">
        <f>_xlfn.XLOOKUP(G185,'🚛 FROTA'!B:B,'🚛 FROTA'!A:A,"")</f>
        <v>20</v>
      </c>
      <c r="I185" s="119"/>
      <c r="J185" s="119" t="str">
        <f>IF(G185="","",_xlfn.XLOOKUP(G185,'🚛 FROTA'!B:B,'🚛 FROTA'!E:E,""))</f>
        <v>3CX</v>
      </c>
      <c r="K185" s="119"/>
      <c r="L185" s="143" t="s">
        <v>773</v>
      </c>
      <c r="M185" s="143" t="s">
        <v>927</v>
      </c>
      <c r="N185" s="145">
        <v>45870</v>
      </c>
      <c r="O185" s="143">
        <v>2</v>
      </c>
      <c r="P185" s="143">
        <v>3</v>
      </c>
      <c r="Q185" s="167">
        <v>205</v>
      </c>
      <c r="R185" s="143" t="s">
        <v>554</v>
      </c>
      <c r="S185" s="122" t="s">
        <v>534</v>
      </c>
      <c r="T185" s="120" t="s">
        <v>522</v>
      </c>
      <c r="U185" s="121" t="s">
        <v>555</v>
      </c>
      <c r="V185" s="119" t="s">
        <v>568</v>
      </c>
      <c r="W185" s="119" t="s">
        <v>928</v>
      </c>
      <c r="X185" s="123" t="s">
        <v>929</v>
      </c>
      <c r="Y185" s="119"/>
      <c r="Z185" s="124">
        <v>5596</v>
      </c>
      <c r="AA185" s="125"/>
      <c r="AB185" s="126"/>
      <c r="AC185" s="127"/>
      <c r="AD185" s="127"/>
      <c r="AE185" s="127"/>
      <c r="AF185" s="127"/>
      <c r="AG185" s="125"/>
      <c r="AH185" s="128">
        <f t="shared" ref="AH185:AH216" ca="1" si="12">IF(OR(R185="A VISTA", R185="C. CRÉDITO", R185="ADIANTAMENTO"), N185, IF(R185="Faturado", _xlfn.MINIFS(N:N, C:C, C185)-30, ""))</f>
        <v>45810</v>
      </c>
      <c r="AI185" s="129" t="s">
        <v>777</v>
      </c>
      <c r="AJ185" s="129"/>
      <c r="AK185" s="129"/>
      <c r="AL185" s="129"/>
      <c r="AM185" s="129"/>
    </row>
    <row r="186" spans="1:39" ht="18" hidden="1" customHeight="1" x14ac:dyDescent="0.25">
      <c r="A186" s="117">
        <v>185</v>
      </c>
      <c r="B186" s="117"/>
      <c r="C186" s="118" t="s">
        <v>926</v>
      </c>
      <c r="D186" s="146">
        <f t="array" aca="1" ref="D186" ca="1">SUM(--(_xlfn.UNIQUE(_xlfn._xlws.FILTER($M$2:$M$1011 &amp; "", ($C$2:$C$1011 = C186) * ($M$2:$M$1011 &lt;&gt; ""))) &lt;&gt; ""))</f>
        <v>2</v>
      </c>
      <c r="E186" s="166">
        <f t="shared" ca="1" si="9"/>
        <v>4159.9800000000005</v>
      </c>
      <c r="F186" s="143">
        <v>1</v>
      </c>
      <c r="G186" s="143" t="s">
        <v>128</v>
      </c>
      <c r="H186" s="119">
        <f>_xlfn.XLOOKUP(G186,'🚛 FROTA'!B:B,'🚛 FROTA'!A:A,"")</f>
        <v>20</v>
      </c>
      <c r="I186" s="119"/>
      <c r="J186" s="119" t="str">
        <f>IF(G186="","",_xlfn.XLOOKUP(G186,'🚛 FROTA'!B:B,'🚛 FROTA'!E:E,""))</f>
        <v>3CX</v>
      </c>
      <c r="K186" s="119"/>
      <c r="L186" s="143" t="s">
        <v>773</v>
      </c>
      <c r="M186" s="143" t="s">
        <v>927</v>
      </c>
      <c r="N186" s="145">
        <v>45870</v>
      </c>
      <c r="O186" s="143">
        <v>2</v>
      </c>
      <c r="P186" s="143">
        <v>3</v>
      </c>
      <c r="Q186" s="167">
        <v>1166.6600000000001</v>
      </c>
      <c r="R186" s="143" t="s">
        <v>554</v>
      </c>
      <c r="S186" s="122" t="s">
        <v>534</v>
      </c>
      <c r="T186" s="120" t="s">
        <v>522</v>
      </c>
      <c r="U186" s="121" t="s">
        <v>555</v>
      </c>
      <c r="V186" s="119" t="s">
        <v>568</v>
      </c>
      <c r="W186" s="119" t="s">
        <v>930</v>
      </c>
      <c r="X186" s="123" t="s">
        <v>931</v>
      </c>
      <c r="Y186" s="119"/>
      <c r="Z186" s="124">
        <v>5596</v>
      </c>
      <c r="AA186" s="125"/>
      <c r="AB186" s="126"/>
      <c r="AC186" s="127"/>
      <c r="AD186" s="127"/>
      <c r="AE186" s="127"/>
      <c r="AF186" s="127"/>
      <c r="AG186" s="125"/>
      <c r="AH186" s="128">
        <f t="shared" ca="1" si="12"/>
        <v>45810</v>
      </c>
      <c r="AI186" s="129" t="s">
        <v>777</v>
      </c>
      <c r="AJ186" s="129"/>
      <c r="AK186" s="129"/>
      <c r="AL186" s="129"/>
      <c r="AM186" s="129"/>
    </row>
    <row r="187" spans="1:39" ht="18" hidden="1" customHeight="1" x14ac:dyDescent="0.25">
      <c r="A187" s="117">
        <v>186</v>
      </c>
      <c r="B187" s="117"/>
      <c r="C187" s="118" t="s">
        <v>926</v>
      </c>
      <c r="D187" s="146">
        <f t="array" aca="1" ref="D187" ca="1">SUM(--(_xlfn.UNIQUE(_xlfn._xlws.FILTER($M$2:$M$1011 &amp; "", ($C$2:$C$1011 = C187) * ($M$2:$M$1011 &lt;&gt; ""))) &lt;&gt; ""))</f>
        <v>2</v>
      </c>
      <c r="E187" s="166">
        <f t="shared" ca="1" si="9"/>
        <v>4159.9800000000005</v>
      </c>
      <c r="F187" s="143">
        <v>1</v>
      </c>
      <c r="G187" s="143" t="s">
        <v>128</v>
      </c>
      <c r="H187" s="119">
        <f>_xlfn.XLOOKUP(G187,'🚛 FROTA'!B:B,'🚛 FROTA'!A:A,"")</f>
        <v>20</v>
      </c>
      <c r="I187" s="119"/>
      <c r="J187" s="119" t="str">
        <f>IF(G187="","",_xlfn.XLOOKUP(G187,'🚛 FROTA'!B:B,'🚛 FROTA'!E:E,""))</f>
        <v>3CX</v>
      </c>
      <c r="K187" s="119"/>
      <c r="L187" s="143" t="s">
        <v>773</v>
      </c>
      <c r="M187" s="143" t="s">
        <v>927</v>
      </c>
      <c r="N187" s="145">
        <v>45894</v>
      </c>
      <c r="O187" s="143">
        <v>3</v>
      </c>
      <c r="P187" s="143">
        <v>3</v>
      </c>
      <c r="Q187" s="167">
        <v>205</v>
      </c>
      <c r="R187" s="143" t="s">
        <v>554</v>
      </c>
      <c r="S187" s="122" t="s">
        <v>534</v>
      </c>
      <c r="T187" s="120" t="s">
        <v>522</v>
      </c>
      <c r="U187" s="121" t="s">
        <v>555</v>
      </c>
      <c r="V187" s="119" t="s">
        <v>568</v>
      </c>
      <c r="W187" s="119" t="s">
        <v>928</v>
      </c>
      <c r="X187" s="123" t="s">
        <v>929</v>
      </c>
      <c r="Y187" s="119"/>
      <c r="Z187" s="130"/>
      <c r="AA187" s="125"/>
      <c r="AB187" s="126"/>
      <c r="AC187" s="127"/>
      <c r="AD187" s="127"/>
      <c r="AE187" s="127"/>
      <c r="AF187" s="127"/>
      <c r="AG187" s="125"/>
      <c r="AH187" s="128">
        <f t="shared" ca="1" si="12"/>
        <v>45810</v>
      </c>
      <c r="AI187" s="129" t="s">
        <v>777</v>
      </c>
      <c r="AJ187" s="129"/>
      <c r="AK187" s="129"/>
      <c r="AL187" s="129"/>
      <c r="AM187" s="129"/>
    </row>
    <row r="188" spans="1:39" ht="18" hidden="1" customHeight="1" x14ac:dyDescent="0.25">
      <c r="A188" s="117">
        <v>187</v>
      </c>
      <c r="B188" s="117"/>
      <c r="C188" s="118" t="s">
        <v>926</v>
      </c>
      <c r="D188" s="146">
        <f t="array" aca="1" ref="D188" ca="1">SUM(--(_xlfn.UNIQUE(_xlfn._xlws.FILTER($M$2:$M$1011 &amp; "", ($C$2:$C$1011 = C188) * ($M$2:$M$1011 &lt;&gt; ""))) &lt;&gt; ""))</f>
        <v>2</v>
      </c>
      <c r="E188" s="166">
        <f t="shared" ca="1" si="9"/>
        <v>4159.9800000000005</v>
      </c>
      <c r="F188" s="143">
        <v>1</v>
      </c>
      <c r="G188" s="143" t="s">
        <v>128</v>
      </c>
      <c r="H188" s="119">
        <f>_xlfn.XLOOKUP(G188,'🚛 FROTA'!B:B,'🚛 FROTA'!A:A,"")</f>
        <v>20</v>
      </c>
      <c r="I188" s="119"/>
      <c r="J188" s="119" t="str">
        <f>IF(G188="","",_xlfn.XLOOKUP(G188,'🚛 FROTA'!B:B,'🚛 FROTA'!E:E,""))</f>
        <v>3CX</v>
      </c>
      <c r="K188" s="119"/>
      <c r="L188" s="143" t="s">
        <v>773</v>
      </c>
      <c r="M188" s="143" t="s">
        <v>927</v>
      </c>
      <c r="N188" s="145">
        <v>45894</v>
      </c>
      <c r="O188" s="143">
        <v>3</v>
      </c>
      <c r="P188" s="143">
        <v>3</v>
      </c>
      <c r="Q188" s="167">
        <v>1166.6600000000001</v>
      </c>
      <c r="R188" s="143" t="s">
        <v>554</v>
      </c>
      <c r="S188" s="122" t="s">
        <v>534</v>
      </c>
      <c r="T188" s="120" t="s">
        <v>522</v>
      </c>
      <c r="U188" s="121" t="s">
        <v>555</v>
      </c>
      <c r="V188" s="119" t="s">
        <v>568</v>
      </c>
      <c r="W188" s="119" t="s">
        <v>930</v>
      </c>
      <c r="X188" s="123" t="s">
        <v>931</v>
      </c>
      <c r="Y188" s="119"/>
      <c r="Z188" s="130"/>
      <c r="AA188" s="125"/>
      <c r="AB188" s="126"/>
      <c r="AC188" s="127"/>
      <c r="AD188" s="127"/>
      <c r="AE188" s="127"/>
      <c r="AF188" s="127"/>
      <c r="AG188" s="125"/>
      <c r="AH188" s="128">
        <f t="shared" ca="1" si="12"/>
        <v>45810</v>
      </c>
      <c r="AI188" s="129" t="s">
        <v>777</v>
      </c>
      <c r="AJ188" s="129"/>
      <c r="AK188" s="129"/>
      <c r="AL188" s="129"/>
      <c r="AM188" s="129"/>
    </row>
    <row r="189" spans="1:39" ht="18" customHeight="1" x14ac:dyDescent="0.25">
      <c r="A189" s="117">
        <v>188</v>
      </c>
      <c r="B189" s="117"/>
      <c r="C189" s="118" t="s">
        <v>936</v>
      </c>
      <c r="D189" s="146">
        <f t="array" aca="1" ref="D189" ca="1">SUM(--(_xlfn.UNIQUE(_xlfn._xlws.FILTER($M$2:$M$1011 &amp; "", ($C$2:$C$1011 = C189) * ($M$2:$M$1011 &lt;&gt; ""))) &lt;&gt; ""))</f>
        <v>2</v>
      </c>
      <c r="E189" s="166">
        <f t="shared" ca="1" si="9"/>
        <v>3569.44</v>
      </c>
      <c r="F189" s="143">
        <v>1</v>
      </c>
      <c r="G189" s="143" t="s">
        <v>173</v>
      </c>
      <c r="H189" s="119">
        <f>_xlfn.XLOOKUP(G189,'🚛 FROTA'!B:B,'🚛 FROTA'!A:A,"")</f>
        <v>46</v>
      </c>
      <c r="I189" s="119"/>
      <c r="J189" s="119" t="str">
        <f>IF(G189="","",_xlfn.XLOOKUP(G189,'🚛 FROTA'!B:B,'🚛 FROTA'!E:E,""))</f>
        <v>Express Delivery</v>
      </c>
      <c r="K189" s="119" t="str">
        <f>IF(G189="","",_xlfn.XLOOKUP(G189,'🚛 FROTA'!B:B,'🚛 FROTA'!K:K,""))</f>
        <v>Carroceria</v>
      </c>
      <c r="L189" s="143" t="s">
        <v>571</v>
      </c>
      <c r="M189" s="143" t="s">
        <v>937</v>
      </c>
      <c r="N189" s="145">
        <v>45841</v>
      </c>
      <c r="O189" s="143">
        <v>1</v>
      </c>
      <c r="P189" s="143">
        <v>3</v>
      </c>
      <c r="Q189" s="167">
        <v>1104</v>
      </c>
      <c r="R189" s="143" t="s">
        <v>554</v>
      </c>
      <c r="S189" s="122" t="s">
        <v>560</v>
      </c>
      <c r="T189" s="120" t="s">
        <v>522</v>
      </c>
      <c r="U189" s="121" t="s">
        <v>555</v>
      </c>
      <c r="V189" s="119" t="s">
        <v>573</v>
      </c>
      <c r="W189" s="119" t="s">
        <v>574</v>
      </c>
      <c r="X189" s="123" t="s">
        <v>938</v>
      </c>
      <c r="Y189" s="119" t="s">
        <v>753</v>
      </c>
      <c r="Z189" s="124">
        <v>34665</v>
      </c>
      <c r="AA189" s="134" t="s">
        <v>759</v>
      </c>
      <c r="AB189" s="122">
        <v>4</v>
      </c>
      <c r="AC189" s="131" t="s">
        <v>578</v>
      </c>
      <c r="AD189" s="131" t="s">
        <v>579</v>
      </c>
      <c r="AE189" s="131" t="s">
        <v>580</v>
      </c>
      <c r="AF189" s="131" t="s">
        <v>581</v>
      </c>
      <c r="AG189" s="125" t="s">
        <v>582</v>
      </c>
      <c r="AH189" s="128">
        <f t="shared" ca="1" si="12"/>
        <v>45811</v>
      </c>
      <c r="AI189" s="129" t="s">
        <v>583</v>
      </c>
      <c r="AJ189" s="129"/>
      <c r="AK189" s="129"/>
      <c r="AL189" s="129"/>
      <c r="AM189" s="129"/>
    </row>
    <row r="190" spans="1:39" ht="18" hidden="1" customHeight="1" x14ac:dyDescent="0.25">
      <c r="A190" s="117">
        <v>189</v>
      </c>
      <c r="B190" s="117"/>
      <c r="C190" s="118" t="s">
        <v>936</v>
      </c>
      <c r="D190" s="146">
        <f t="array" aca="1" ref="D190" ca="1">SUM(--(_xlfn.UNIQUE(_xlfn._xlws.FILTER($M$2:$M$1011 &amp; "", ($C$2:$C$1011 = C190) * ($M$2:$M$1011 &lt;&gt; ""))) &lt;&gt; ""))</f>
        <v>2</v>
      </c>
      <c r="E190" s="166">
        <f t="shared" ca="1" si="9"/>
        <v>3569.44</v>
      </c>
      <c r="F190" s="143">
        <v>1</v>
      </c>
      <c r="G190" s="143" t="s">
        <v>173</v>
      </c>
      <c r="H190" s="119">
        <f>_xlfn.XLOOKUP(G190,'🚛 FROTA'!B:B,'🚛 FROTA'!A:A,"")</f>
        <v>46</v>
      </c>
      <c r="I190" s="119"/>
      <c r="J190" s="119" t="str">
        <f>IF(G190="","",_xlfn.XLOOKUP(G190,'🚛 FROTA'!B:B,'🚛 FROTA'!E:E,""))</f>
        <v>Express Delivery</v>
      </c>
      <c r="K190" s="119" t="str">
        <f>IF(G190="","",_xlfn.XLOOKUP(G190,'🚛 FROTA'!B:B,'🚛 FROTA'!K:K,""))</f>
        <v>Carroceria</v>
      </c>
      <c r="L190" s="143" t="s">
        <v>571</v>
      </c>
      <c r="M190" s="143" t="s">
        <v>939</v>
      </c>
      <c r="N190" s="145">
        <v>45845</v>
      </c>
      <c r="O190" s="143">
        <v>1</v>
      </c>
      <c r="P190" s="143">
        <v>1</v>
      </c>
      <c r="Q190" s="167">
        <v>257.44</v>
      </c>
      <c r="R190" s="143" t="s">
        <v>554</v>
      </c>
      <c r="S190" s="122" t="s">
        <v>534</v>
      </c>
      <c r="T190" s="120" t="s">
        <v>522</v>
      </c>
      <c r="U190" s="121" t="s">
        <v>597</v>
      </c>
      <c r="V190" s="119" t="s">
        <v>573</v>
      </c>
      <c r="W190" s="119" t="s">
        <v>585</v>
      </c>
      <c r="X190" s="123" t="s">
        <v>940</v>
      </c>
      <c r="Y190" s="119" t="s">
        <v>753</v>
      </c>
      <c r="Z190" s="124">
        <v>34665</v>
      </c>
      <c r="AA190" s="134" t="s">
        <v>759</v>
      </c>
      <c r="AB190" s="122">
        <v>4</v>
      </c>
      <c r="AC190" s="131" t="s">
        <v>578</v>
      </c>
      <c r="AD190" s="131" t="s">
        <v>579</v>
      </c>
      <c r="AE190" s="131" t="s">
        <v>580</v>
      </c>
      <c r="AF190" s="131"/>
      <c r="AG190" s="125" t="s">
        <v>582</v>
      </c>
      <c r="AH190" s="128">
        <f t="shared" ca="1" si="12"/>
        <v>45811</v>
      </c>
      <c r="AI190" s="129" t="s">
        <v>583</v>
      </c>
      <c r="AJ190" s="129"/>
      <c r="AK190" s="129"/>
      <c r="AL190" s="129"/>
      <c r="AM190" s="129"/>
    </row>
    <row r="191" spans="1:39" ht="18" customHeight="1" x14ac:dyDescent="0.25">
      <c r="A191" s="117">
        <v>190</v>
      </c>
      <c r="B191" s="117"/>
      <c r="C191" s="118" t="s">
        <v>936</v>
      </c>
      <c r="D191" s="146">
        <f t="array" aca="1" ref="D191" ca="1">SUM(--(_xlfn.UNIQUE(_xlfn._xlws.FILTER($M$2:$M$1011 &amp; "", ($C$2:$C$1011 = C191) * ($M$2:$M$1011 &lt;&gt; ""))) &lt;&gt; ""))</f>
        <v>2</v>
      </c>
      <c r="E191" s="166">
        <f t="shared" ca="1" si="9"/>
        <v>3569.44</v>
      </c>
      <c r="F191" s="143">
        <v>1</v>
      </c>
      <c r="G191" s="143" t="s">
        <v>173</v>
      </c>
      <c r="H191" s="119">
        <f>_xlfn.XLOOKUP(G191,'🚛 FROTA'!B:B,'🚛 FROTA'!A:A,"")</f>
        <v>46</v>
      </c>
      <c r="I191" s="119"/>
      <c r="J191" s="119" t="str">
        <f>IF(G191="","",_xlfn.XLOOKUP(G191,'🚛 FROTA'!B:B,'🚛 FROTA'!E:E,""))</f>
        <v>Express Delivery</v>
      </c>
      <c r="K191" s="119" t="str">
        <f>IF(G191="","",_xlfn.XLOOKUP(G191,'🚛 FROTA'!B:B,'🚛 FROTA'!K:K,""))</f>
        <v>Carroceria</v>
      </c>
      <c r="L191" s="143" t="s">
        <v>571</v>
      </c>
      <c r="M191" s="143" t="s">
        <v>937</v>
      </c>
      <c r="N191" s="145">
        <v>45873</v>
      </c>
      <c r="O191" s="143">
        <v>2</v>
      </c>
      <c r="P191" s="143">
        <v>3</v>
      </c>
      <c r="Q191" s="167">
        <v>1104</v>
      </c>
      <c r="R191" s="143" t="s">
        <v>554</v>
      </c>
      <c r="S191" s="122" t="s">
        <v>560</v>
      </c>
      <c r="T191" s="120" t="s">
        <v>522</v>
      </c>
      <c r="U191" s="121" t="s">
        <v>555</v>
      </c>
      <c r="V191" s="119" t="s">
        <v>573</v>
      </c>
      <c r="W191" s="119" t="s">
        <v>574</v>
      </c>
      <c r="X191" s="123" t="s">
        <v>938</v>
      </c>
      <c r="Y191" s="119" t="s">
        <v>753</v>
      </c>
      <c r="Z191" s="124">
        <v>34665</v>
      </c>
      <c r="AA191" s="134" t="s">
        <v>759</v>
      </c>
      <c r="AB191" s="122">
        <v>4</v>
      </c>
      <c r="AC191" s="131" t="s">
        <v>578</v>
      </c>
      <c r="AD191" s="131" t="s">
        <v>579</v>
      </c>
      <c r="AE191" s="131" t="s">
        <v>580</v>
      </c>
      <c r="AF191" s="131" t="s">
        <v>581</v>
      </c>
      <c r="AG191" s="125" t="s">
        <v>582</v>
      </c>
      <c r="AH191" s="128">
        <f t="shared" ca="1" si="12"/>
        <v>45811</v>
      </c>
      <c r="AI191" s="129" t="s">
        <v>583</v>
      </c>
      <c r="AJ191" s="129"/>
      <c r="AK191" s="129"/>
      <c r="AL191" s="129"/>
      <c r="AM191" s="129"/>
    </row>
    <row r="192" spans="1:39" ht="18" customHeight="1" x14ac:dyDescent="0.25">
      <c r="A192" s="117">
        <v>191</v>
      </c>
      <c r="B192" s="117"/>
      <c r="C192" s="118" t="s">
        <v>936</v>
      </c>
      <c r="D192" s="146">
        <f t="array" aca="1" ref="D192" ca="1">SUM(--(_xlfn.UNIQUE(_xlfn._xlws.FILTER($M$2:$M$1011 &amp; "", ($C$2:$C$1011 = C192) * ($M$2:$M$1011 &lt;&gt; ""))) &lt;&gt; ""))</f>
        <v>2</v>
      </c>
      <c r="E192" s="166">
        <f t="shared" ca="1" si="9"/>
        <v>3569.44</v>
      </c>
      <c r="F192" s="143">
        <v>1</v>
      </c>
      <c r="G192" s="143" t="s">
        <v>173</v>
      </c>
      <c r="H192" s="119">
        <f>_xlfn.XLOOKUP(G192,'🚛 FROTA'!B:B,'🚛 FROTA'!A:A,"")</f>
        <v>46</v>
      </c>
      <c r="I192" s="119"/>
      <c r="J192" s="119" t="str">
        <f>IF(G192="","",_xlfn.XLOOKUP(G192,'🚛 FROTA'!B:B,'🚛 FROTA'!E:E,""))</f>
        <v>Express Delivery</v>
      </c>
      <c r="K192" s="119" t="str">
        <f>IF(G192="","",_xlfn.XLOOKUP(G192,'🚛 FROTA'!B:B,'🚛 FROTA'!K:K,""))</f>
        <v>Carroceria</v>
      </c>
      <c r="L192" s="143" t="s">
        <v>571</v>
      </c>
      <c r="M192" s="143" t="s">
        <v>937</v>
      </c>
      <c r="N192" s="145">
        <v>45901</v>
      </c>
      <c r="O192" s="143">
        <v>3</v>
      </c>
      <c r="P192" s="143">
        <v>3</v>
      </c>
      <c r="Q192" s="167">
        <v>1104</v>
      </c>
      <c r="R192" s="143" t="s">
        <v>554</v>
      </c>
      <c r="S192" s="122" t="s">
        <v>560</v>
      </c>
      <c r="T192" s="120" t="s">
        <v>522</v>
      </c>
      <c r="U192" s="121" t="s">
        <v>555</v>
      </c>
      <c r="V192" s="119" t="s">
        <v>573</v>
      </c>
      <c r="W192" s="119" t="s">
        <v>574</v>
      </c>
      <c r="X192" s="123" t="s">
        <v>938</v>
      </c>
      <c r="Y192" s="119" t="s">
        <v>753</v>
      </c>
      <c r="Z192" s="124">
        <v>34665</v>
      </c>
      <c r="AA192" s="134" t="s">
        <v>759</v>
      </c>
      <c r="AB192" s="122">
        <v>4</v>
      </c>
      <c r="AC192" s="131" t="s">
        <v>578</v>
      </c>
      <c r="AD192" s="131" t="s">
        <v>579</v>
      </c>
      <c r="AE192" s="131" t="s">
        <v>580</v>
      </c>
      <c r="AF192" s="131" t="s">
        <v>581</v>
      </c>
      <c r="AG192" s="125" t="s">
        <v>582</v>
      </c>
      <c r="AH192" s="128">
        <f t="shared" ca="1" si="12"/>
        <v>45811</v>
      </c>
      <c r="AI192" s="129" t="s">
        <v>583</v>
      </c>
      <c r="AJ192" s="129"/>
      <c r="AK192" s="129"/>
      <c r="AL192" s="129"/>
      <c r="AM192" s="129"/>
    </row>
    <row r="193" spans="1:39" ht="18" customHeight="1" x14ac:dyDescent="0.25">
      <c r="A193" s="117">
        <v>192</v>
      </c>
      <c r="B193" s="117"/>
      <c r="C193" s="118" t="s">
        <v>463</v>
      </c>
      <c r="D193" s="146">
        <f t="array" aca="1" ref="D193" ca="1">SUM(--(_xlfn.UNIQUE(_xlfn._xlws.FILTER($M$2:$M$1011 &amp; "", ($C$2:$C$1011 = C193) * ($M$2:$M$1011 &lt;&gt; ""))) &lt;&gt; ""))</f>
        <v>1</v>
      </c>
      <c r="E193" s="166">
        <f t="shared" ca="1" si="9"/>
        <v>828</v>
      </c>
      <c r="F193" s="143">
        <v>1</v>
      </c>
      <c r="G193" s="143" t="s">
        <v>169</v>
      </c>
      <c r="H193" s="119">
        <f>_xlfn.XLOOKUP(G193,'🚛 FROTA'!B:B,'🚛 FROTA'!A:A,"")</f>
        <v>43</v>
      </c>
      <c r="I193" s="119"/>
      <c r="J193" s="119" t="str">
        <f>IF(G193="","",_xlfn.XLOOKUP(G193,'🚛 FROTA'!B:B,'🚛 FROTA'!E:E,""))</f>
        <v>Express Delivery</v>
      </c>
      <c r="K193" s="119" t="str">
        <f>IF(G193="","",_xlfn.XLOOKUP(G193,'🚛 FROTA'!B:B,'🚛 FROTA'!K:K,""))</f>
        <v>Carroceria</v>
      </c>
      <c r="L193" s="143" t="s">
        <v>571</v>
      </c>
      <c r="M193" s="143" t="s">
        <v>941</v>
      </c>
      <c r="N193" s="145">
        <v>45841</v>
      </c>
      <c r="O193" s="143">
        <v>1</v>
      </c>
      <c r="P193" s="143">
        <v>3</v>
      </c>
      <c r="Q193" s="167">
        <v>276</v>
      </c>
      <c r="R193" s="143" t="s">
        <v>554</v>
      </c>
      <c r="S193" s="122" t="s">
        <v>560</v>
      </c>
      <c r="T193" s="120" t="s">
        <v>522</v>
      </c>
      <c r="U193" s="121" t="s">
        <v>555</v>
      </c>
      <c r="V193" s="119" t="s">
        <v>573</v>
      </c>
      <c r="W193" s="119" t="s">
        <v>942</v>
      </c>
      <c r="X193" s="123" t="s">
        <v>943</v>
      </c>
      <c r="Y193" s="119" t="s">
        <v>944</v>
      </c>
      <c r="Z193" s="124">
        <v>47622</v>
      </c>
      <c r="AA193" s="122" t="s">
        <v>577</v>
      </c>
      <c r="AB193" s="122">
        <v>1</v>
      </c>
      <c r="AC193" s="131" t="s">
        <v>578</v>
      </c>
      <c r="AD193" s="131" t="s">
        <v>755</v>
      </c>
      <c r="AE193" s="131" t="s">
        <v>945</v>
      </c>
      <c r="AF193" s="131" t="s">
        <v>581</v>
      </c>
      <c r="AG193" s="125" t="s">
        <v>582</v>
      </c>
      <c r="AH193" s="128">
        <f t="shared" ca="1" si="12"/>
        <v>45811</v>
      </c>
      <c r="AI193" s="129" t="s">
        <v>583</v>
      </c>
      <c r="AJ193" s="129"/>
      <c r="AK193" s="129"/>
      <c r="AL193" s="129"/>
      <c r="AM193" s="129"/>
    </row>
    <row r="194" spans="1:39" ht="18" customHeight="1" x14ac:dyDescent="0.25">
      <c r="A194" s="117">
        <v>193</v>
      </c>
      <c r="B194" s="117"/>
      <c r="C194" s="118" t="s">
        <v>463</v>
      </c>
      <c r="D194" s="146">
        <f t="array" aca="1" ref="D194" ca="1">SUM(--(_xlfn.UNIQUE(_xlfn._xlws.FILTER($M$2:$M$1011 &amp; "", ($C$2:$C$1011 = C194) * ($M$2:$M$1011 &lt;&gt; ""))) &lt;&gt; ""))</f>
        <v>1</v>
      </c>
      <c r="E194" s="166">
        <f t="shared" ref="E194:E257" ca="1" si="13">SUMIF(C:C, C194, Q:Q)</f>
        <v>828</v>
      </c>
      <c r="F194" s="143">
        <v>1</v>
      </c>
      <c r="G194" s="143" t="s">
        <v>169</v>
      </c>
      <c r="H194" s="119">
        <f>_xlfn.XLOOKUP(G194,'🚛 FROTA'!B:B,'🚛 FROTA'!A:A,"")</f>
        <v>43</v>
      </c>
      <c r="I194" s="119"/>
      <c r="J194" s="119" t="str">
        <f>IF(G194="","",_xlfn.XLOOKUP(G194,'🚛 FROTA'!B:B,'🚛 FROTA'!E:E,""))</f>
        <v>Express Delivery</v>
      </c>
      <c r="K194" s="119" t="str">
        <f>IF(G194="","",_xlfn.XLOOKUP(G194,'🚛 FROTA'!B:B,'🚛 FROTA'!K:K,""))</f>
        <v>Carroceria</v>
      </c>
      <c r="L194" s="143" t="s">
        <v>571</v>
      </c>
      <c r="M194" s="143" t="s">
        <v>941</v>
      </c>
      <c r="N194" s="145">
        <v>45873</v>
      </c>
      <c r="O194" s="143">
        <v>2</v>
      </c>
      <c r="P194" s="143">
        <v>3</v>
      </c>
      <c r="Q194" s="167">
        <v>276</v>
      </c>
      <c r="R194" s="143" t="s">
        <v>554</v>
      </c>
      <c r="S194" s="122" t="s">
        <v>560</v>
      </c>
      <c r="T194" s="120" t="s">
        <v>522</v>
      </c>
      <c r="U194" s="121" t="s">
        <v>555</v>
      </c>
      <c r="V194" s="119" t="s">
        <v>573</v>
      </c>
      <c r="W194" s="119" t="s">
        <v>942</v>
      </c>
      <c r="X194" s="123" t="s">
        <v>943</v>
      </c>
      <c r="Y194" s="119" t="s">
        <v>944</v>
      </c>
      <c r="Z194" s="124">
        <v>47622</v>
      </c>
      <c r="AA194" s="122" t="s">
        <v>577</v>
      </c>
      <c r="AB194" s="122">
        <v>1</v>
      </c>
      <c r="AC194" s="131" t="s">
        <v>578</v>
      </c>
      <c r="AD194" s="131" t="s">
        <v>755</v>
      </c>
      <c r="AE194" s="131" t="s">
        <v>945</v>
      </c>
      <c r="AF194" s="131" t="s">
        <v>581</v>
      </c>
      <c r="AG194" s="125" t="s">
        <v>582</v>
      </c>
      <c r="AH194" s="128">
        <f t="shared" ca="1" si="12"/>
        <v>45811</v>
      </c>
      <c r="AI194" s="129" t="s">
        <v>583</v>
      </c>
      <c r="AJ194" s="129"/>
      <c r="AK194" s="129"/>
      <c r="AL194" s="129"/>
      <c r="AM194" s="129"/>
    </row>
    <row r="195" spans="1:39" ht="18" customHeight="1" x14ac:dyDescent="0.25">
      <c r="A195" s="117">
        <v>194</v>
      </c>
      <c r="B195" s="117"/>
      <c r="C195" s="118" t="s">
        <v>463</v>
      </c>
      <c r="D195" s="146">
        <f t="array" aca="1" ref="D195" ca="1">SUM(--(_xlfn.UNIQUE(_xlfn._xlws.FILTER($M$2:$M$1011 &amp; "", ($C$2:$C$1011 = C195) * ($M$2:$M$1011 &lt;&gt; ""))) &lt;&gt; ""))</f>
        <v>1</v>
      </c>
      <c r="E195" s="166">
        <f t="shared" ca="1" si="13"/>
        <v>828</v>
      </c>
      <c r="F195" s="143">
        <v>1</v>
      </c>
      <c r="G195" s="143" t="s">
        <v>169</v>
      </c>
      <c r="H195" s="119">
        <f>_xlfn.XLOOKUP(G195,'🚛 FROTA'!B:B,'🚛 FROTA'!A:A,"")</f>
        <v>43</v>
      </c>
      <c r="I195" s="119"/>
      <c r="J195" s="119" t="str">
        <f>IF(G195="","",_xlfn.XLOOKUP(G195,'🚛 FROTA'!B:B,'🚛 FROTA'!E:E,""))</f>
        <v>Express Delivery</v>
      </c>
      <c r="K195" s="119" t="str">
        <f>IF(G195="","",_xlfn.XLOOKUP(G195,'🚛 FROTA'!B:B,'🚛 FROTA'!K:K,""))</f>
        <v>Carroceria</v>
      </c>
      <c r="L195" s="143" t="s">
        <v>571</v>
      </c>
      <c r="M195" s="143" t="s">
        <v>941</v>
      </c>
      <c r="N195" s="145">
        <v>45901</v>
      </c>
      <c r="O195" s="143">
        <v>3</v>
      </c>
      <c r="P195" s="143">
        <v>3</v>
      </c>
      <c r="Q195" s="167">
        <v>276</v>
      </c>
      <c r="R195" s="143" t="s">
        <v>554</v>
      </c>
      <c r="S195" s="122" t="s">
        <v>560</v>
      </c>
      <c r="T195" s="120" t="s">
        <v>522</v>
      </c>
      <c r="U195" s="121" t="s">
        <v>555</v>
      </c>
      <c r="V195" s="119" t="s">
        <v>573</v>
      </c>
      <c r="W195" s="119" t="s">
        <v>942</v>
      </c>
      <c r="X195" s="123" t="s">
        <v>943</v>
      </c>
      <c r="Y195" s="119" t="s">
        <v>944</v>
      </c>
      <c r="Z195" s="124">
        <v>47622</v>
      </c>
      <c r="AA195" s="122" t="s">
        <v>577</v>
      </c>
      <c r="AB195" s="122">
        <v>1</v>
      </c>
      <c r="AC195" s="131" t="s">
        <v>578</v>
      </c>
      <c r="AD195" s="131" t="s">
        <v>755</v>
      </c>
      <c r="AE195" s="131" t="s">
        <v>945</v>
      </c>
      <c r="AF195" s="131" t="s">
        <v>581</v>
      </c>
      <c r="AG195" s="125" t="s">
        <v>582</v>
      </c>
      <c r="AH195" s="128">
        <f t="shared" ca="1" si="12"/>
        <v>45811</v>
      </c>
      <c r="AI195" s="129" t="s">
        <v>583</v>
      </c>
      <c r="AJ195" s="129"/>
      <c r="AK195" s="129"/>
      <c r="AL195" s="129"/>
      <c r="AM195" s="129"/>
    </row>
    <row r="196" spans="1:39" ht="18" hidden="1" customHeight="1" x14ac:dyDescent="0.25">
      <c r="A196" s="117">
        <v>195</v>
      </c>
      <c r="B196" s="117"/>
      <c r="C196" s="118" t="s">
        <v>946</v>
      </c>
      <c r="D196" s="146">
        <f t="array" aca="1" ref="D196" ca="1">SUM(--(_xlfn.UNIQUE(_xlfn._xlws.FILTER($M$2:$M$1011 &amp; "", ($C$2:$C$1011 = C196) * ($M$2:$M$1011 &lt;&gt; ""))) &lt;&gt; ""))</f>
        <v>1</v>
      </c>
      <c r="E196" s="166">
        <f t="shared" ca="1" si="13"/>
        <v>7826.7000000000007</v>
      </c>
      <c r="F196" s="143">
        <v>1</v>
      </c>
      <c r="G196" s="143" t="s">
        <v>85</v>
      </c>
      <c r="H196" s="119">
        <f>_xlfn.XLOOKUP(G196,'🚛 FROTA'!B:B,'🚛 FROTA'!A:A,"")</f>
        <v>6</v>
      </c>
      <c r="I196" s="119"/>
      <c r="J196" s="119" t="str">
        <f>IF(G196="","",_xlfn.XLOOKUP(G196,'🚛 FROTA'!B:B,'🚛 FROTA'!E:E,""))</f>
        <v>13.180 Constellation</v>
      </c>
      <c r="K196" s="119" t="str">
        <f>IF(G196="","",_xlfn.XLOOKUP(G196,'🚛 FROTA'!B:B,'🚛 FROTA'!K:K,""))</f>
        <v>Munck</v>
      </c>
      <c r="L196" s="143" t="s">
        <v>682</v>
      </c>
      <c r="M196" s="143" t="s">
        <v>947</v>
      </c>
      <c r="N196" s="145">
        <v>45841</v>
      </c>
      <c r="O196" s="143">
        <v>1</v>
      </c>
      <c r="P196" s="143">
        <v>3</v>
      </c>
      <c r="Q196" s="167">
        <v>2608.9</v>
      </c>
      <c r="R196" s="143" t="s">
        <v>554</v>
      </c>
      <c r="S196" s="122" t="s">
        <v>560</v>
      </c>
      <c r="T196" s="120" t="s">
        <v>522</v>
      </c>
      <c r="U196" s="121" t="s">
        <v>555</v>
      </c>
      <c r="V196" s="119" t="s">
        <v>670</v>
      </c>
      <c r="W196" s="119" t="s">
        <v>948</v>
      </c>
      <c r="X196" s="123" t="s">
        <v>949</v>
      </c>
      <c r="Y196" s="119"/>
      <c r="Z196" s="130"/>
      <c r="AA196" s="125"/>
      <c r="AB196" s="126"/>
      <c r="AC196" s="127"/>
      <c r="AD196" s="127"/>
      <c r="AE196" s="127"/>
      <c r="AF196" s="127"/>
      <c r="AG196" s="125"/>
      <c r="AH196" s="128">
        <f t="shared" ca="1" si="12"/>
        <v>45811</v>
      </c>
      <c r="AI196" s="129" t="s">
        <v>686</v>
      </c>
      <c r="AJ196" s="129"/>
      <c r="AK196" s="129"/>
      <c r="AL196" s="129"/>
      <c r="AM196" s="129"/>
    </row>
    <row r="197" spans="1:39" ht="18" hidden="1" customHeight="1" x14ac:dyDescent="0.25">
      <c r="A197" s="117">
        <v>196</v>
      </c>
      <c r="B197" s="117"/>
      <c r="C197" s="118" t="s">
        <v>946</v>
      </c>
      <c r="D197" s="146">
        <f t="array" aca="1" ref="D197" ca="1">SUM(--(_xlfn.UNIQUE(_xlfn._xlws.FILTER($M$2:$M$1011 &amp; "", ($C$2:$C$1011 = C197) * ($M$2:$M$1011 &lt;&gt; ""))) &lt;&gt; ""))</f>
        <v>1</v>
      </c>
      <c r="E197" s="166">
        <f t="shared" ca="1" si="13"/>
        <v>7826.7000000000007</v>
      </c>
      <c r="F197" s="143">
        <v>1</v>
      </c>
      <c r="G197" s="143" t="s">
        <v>85</v>
      </c>
      <c r="H197" s="119">
        <f>_xlfn.XLOOKUP(G197,'🚛 FROTA'!B:B,'🚛 FROTA'!A:A,"")</f>
        <v>6</v>
      </c>
      <c r="I197" s="119"/>
      <c r="J197" s="119" t="str">
        <f>IF(G197="","",_xlfn.XLOOKUP(G197,'🚛 FROTA'!B:B,'🚛 FROTA'!E:E,""))</f>
        <v>13.180 Constellation</v>
      </c>
      <c r="K197" s="119" t="str">
        <f>IF(G197="","",_xlfn.XLOOKUP(G197,'🚛 FROTA'!B:B,'🚛 FROTA'!K:K,""))</f>
        <v>Munck</v>
      </c>
      <c r="L197" s="143" t="s">
        <v>682</v>
      </c>
      <c r="M197" s="143" t="s">
        <v>947</v>
      </c>
      <c r="N197" s="145">
        <v>45869</v>
      </c>
      <c r="O197" s="143">
        <v>2</v>
      </c>
      <c r="P197" s="143">
        <v>3</v>
      </c>
      <c r="Q197" s="167">
        <v>2608.9</v>
      </c>
      <c r="R197" s="143" t="s">
        <v>554</v>
      </c>
      <c r="S197" s="122" t="s">
        <v>560</v>
      </c>
      <c r="T197" s="120" t="s">
        <v>522</v>
      </c>
      <c r="U197" s="121" t="s">
        <v>555</v>
      </c>
      <c r="V197" s="119" t="s">
        <v>670</v>
      </c>
      <c r="W197" s="119" t="s">
        <v>948</v>
      </c>
      <c r="X197" s="123" t="s">
        <v>949</v>
      </c>
      <c r="Y197" s="119"/>
      <c r="Z197" s="130"/>
      <c r="AA197" s="125"/>
      <c r="AB197" s="126"/>
      <c r="AC197" s="127"/>
      <c r="AD197" s="127"/>
      <c r="AE197" s="127"/>
      <c r="AF197" s="127"/>
      <c r="AG197" s="125"/>
      <c r="AH197" s="128">
        <f t="shared" ca="1" si="12"/>
        <v>45811</v>
      </c>
      <c r="AI197" s="129" t="s">
        <v>686</v>
      </c>
      <c r="AJ197" s="129"/>
      <c r="AK197" s="129"/>
      <c r="AL197" s="129"/>
      <c r="AM197" s="129"/>
    </row>
    <row r="198" spans="1:39" ht="18" hidden="1" customHeight="1" x14ac:dyDescent="0.25">
      <c r="A198" s="117">
        <v>197</v>
      </c>
      <c r="B198" s="117"/>
      <c r="C198" s="118" t="s">
        <v>946</v>
      </c>
      <c r="D198" s="146">
        <f t="array" aca="1" ref="D198" ca="1">SUM(--(_xlfn.UNIQUE(_xlfn._xlws.FILTER($M$2:$M$1011 &amp; "", ($C$2:$C$1011 = C198) * ($M$2:$M$1011 &lt;&gt; ""))) &lt;&gt; ""))</f>
        <v>1</v>
      </c>
      <c r="E198" s="166">
        <f t="shared" ca="1" si="13"/>
        <v>7826.7000000000007</v>
      </c>
      <c r="F198" s="143">
        <v>1</v>
      </c>
      <c r="G198" s="143" t="s">
        <v>85</v>
      </c>
      <c r="H198" s="119">
        <f>_xlfn.XLOOKUP(G198,'🚛 FROTA'!B:B,'🚛 FROTA'!A:A,"")</f>
        <v>6</v>
      </c>
      <c r="I198" s="119"/>
      <c r="J198" s="119" t="str">
        <f>IF(G198="","",_xlfn.XLOOKUP(G198,'🚛 FROTA'!B:B,'🚛 FROTA'!E:E,""))</f>
        <v>13.180 Constellation</v>
      </c>
      <c r="K198" s="119" t="str">
        <f>IF(G198="","",_xlfn.XLOOKUP(G198,'🚛 FROTA'!B:B,'🚛 FROTA'!K:K,""))</f>
        <v>Munck</v>
      </c>
      <c r="L198" s="143" t="s">
        <v>682</v>
      </c>
      <c r="M198" s="143" t="s">
        <v>947</v>
      </c>
      <c r="N198" s="145">
        <v>45897</v>
      </c>
      <c r="O198" s="143">
        <v>3</v>
      </c>
      <c r="P198" s="143">
        <v>3</v>
      </c>
      <c r="Q198" s="167">
        <v>2608.9</v>
      </c>
      <c r="R198" s="143" t="s">
        <v>554</v>
      </c>
      <c r="S198" s="122" t="s">
        <v>560</v>
      </c>
      <c r="T198" s="120" t="s">
        <v>522</v>
      </c>
      <c r="U198" s="121" t="s">
        <v>555</v>
      </c>
      <c r="V198" s="119" t="s">
        <v>670</v>
      </c>
      <c r="W198" s="119" t="s">
        <v>948</v>
      </c>
      <c r="X198" s="123" t="s">
        <v>949</v>
      </c>
      <c r="Y198" s="119"/>
      <c r="Z198" s="130"/>
      <c r="AA198" s="125"/>
      <c r="AB198" s="126"/>
      <c r="AC198" s="127"/>
      <c r="AD198" s="127"/>
      <c r="AE198" s="127"/>
      <c r="AF198" s="127"/>
      <c r="AG198" s="125"/>
      <c r="AH198" s="128">
        <f t="shared" ca="1" si="12"/>
        <v>45811</v>
      </c>
      <c r="AI198" s="129" t="s">
        <v>686</v>
      </c>
      <c r="AJ198" s="129"/>
      <c r="AK198" s="129"/>
      <c r="AL198" s="129"/>
      <c r="AM198" s="129"/>
    </row>
    <row r="199" spans="1:39" ht="18" hidden="1" customHeight="1" x14ac:dyDescent="0.25">
      <c r="A199" s="117">
        <v>198</v>
      </c>
      <c r="B199" s="117"/>
      <c r="C199" s="118" t="s">
        <v>950</v>
      </c>
      <c r="D199" s="146">
        <f t="array" aca="1" ref="D199" ca="1">SUM(--(_xlfn.UNIQUE(_xlfn._xlws.FILTER($M$2:$M$1011 &amp; "", ($C$2:$C$1011 = C199) * ($M$2:$M$1011 &lt;&gt; ""))) &lt;&gt; ""))</f>
        <v>1</v>
      </c>
      <c r="E199" s="166">
        <f t="shared" ca="1" si="13"/>
        <v>44</v>
      </c>
      <c r="F199" s="143">
        <v>1</v>
      </c>
      <c r="G199" s="143" t="s">
        <v>155</v>
      </c>
      <c r="H199" s="119">
        <f>_xlfn.XLOOKUP(G199,'🚛 FROTA'!B:B,'🚛 FROTA'!A:A,"")</f>
        <v>34</v>
      </c>
      <c r="I199" s="119"/>
      <c r="J199" s="119" t="str">
        <f>IF(G199="","",_xlfn.XLOOKUP(G199,'🚛 FROTA'!B:B,'🚛 FROTA'!E:E,""))</f>
        <v>9.170 Delivery</v>
      </c>
      <c r="K199" s="119" t="str">
        <f>IF(G199="","",_xlfn.XLOOKUP(G199,'🚛 FROTA'!B:B,'🚛 FROTA'!K:K,""))</f>
        <v>Basculante</v>
      </c>
      <c r="L199" s="143" t="s">
        <v>729</v>
      </c>
      <c r="M199" s="143" t="s">
        <v>951</v>
      </c>
      <c r="N199" s="145">
        <v>45845</v>
      </c>
      <c r="O199" s="143">
        <v>1</v>
      </c>
      <c r="P199" s="143">
        <v>1</v>
      </c>
      <c r="Q199" s="167">
        <v>44</v>
      </c>
      <c r="R199" s="143" t="s">
        <v>554</v>
      </c>
      <c r="S199" s="122" t="s">
        <v>534</v>
      </c>
      <c r="T199" s="120" t="s">
        <v>522</v>
      </c>
      <c r="U199" s="121" t="s">
        <v>555</v>
      </c>
      <c r="V199" s="119" t="s">
        <v>670</v>
      </c>
      <c r="W199" s="119" t="s">
        <v>731</v>
      </c>
      <c r="X199" s="123" t="s">
        <v>732</v>
      </c>
      <c r="Y199" s="119"/>
      <c r="Z199" s="130"/>
      <c r="AA199" s="125"/>
      <c r="AB199" s="126"/>
      <c r="AC199" s="127"/>
      <c r="AD199" s="127"/>
      <c r="AE199" s="127"/>
      <c r="AF199" s="127"/>
      <c r="AG199" s="125"/>
      <c r="AH199" s="128">
        <f t="shared" ca="1" si="12"/>
        <v>45815</v>
      </c>
      <c r="AI199" s="129"/>
      <c r="AJ199" s="129"/>
      <c r="AK199" s="129"/>
      <c r="AL199" s="129"/>
      <c r="AM199" s="129"/>
    </row>
    <row r="200" spans="1:39" ht="18" hidden="1" customHeight="1" x14ac:dyDescent="0.25">
      <c r="A200" s="117">
        <v>199</v>
      </c>
      <c r="B200" s="117"/>
      <c r="C200" s="118" t="s">
        <v>952</v>
      </c>
      <c r="D200" s="146">
        <f t="array" aca="1" ref="D200" ca="1">SUM(--(_xlfn.UNIQUE(_xlfn._xlws.FILTER($M$2:$M$1011 &amp; "", ($C$2:$C$1011 = C200) * ($M$2:$M$1011 &lt;&gt; ""))) &lt;&gt; ""))</f>
        <v>1</v>
      </c>
      <c r="E200" s="166">
        <f t="shared" ca="1" si="13"/>
        <v>620</v>
      </c>
      <c r="F200" s="143">
        <v>1</v>
      </c>
      <c r="G200" s="143" t="s">
        <v>155</v>
      </c>
      <c r="H200" s="119">
        <f>_xlfn.XLOOKUP(G200,'🚛 FROTA'!B:B,'🚛 FROTA'!A:A,"")</f>
        <v>34</v>
      </c>
      <c r="I200" s="119"/>
      <c r="J200" s="119" t="str">
        <f>IF(G200="","",_xlfn.XLOOKUP(G200,'🚛 FROTA'!B:B,'🚛 FROTA'!E:E,""))</f>
        <v>9.170 Delivery</v>
      </c>
      <c r="K200" s="119" t="str">
        <f>IF(G200="","",_xlfn.XLOOKUP(G200,'🚛 FROTA'!B:B,'🚛 FROTA'!K:K,""))</f>
        <v>Basculante</v>
      </c>
      <c r="L200" s="143" t="s">
        <v>552</v>
      </c>
      <c r="M200" s="143" t="s">
        <v>918</v>
      </c>
      <c r="N200" s="145">
        <v>45845</v>
      </c>
      <c r="O200" s="143">
        <v>1</v>
      </c>
      <c r="P200" s="143">
        <v>2</v>
      </c>
      <c r="Q200" s="167">
        <v>310</v>
      </c>
      <c r="R200" s="143" t="s">
        <v>554</v>
      </c>
      <c r="S200" s="122" t="s">
        <v>534</v>
      </c>
      <c r="T200" s="120" t="s">
        <v>522</v>
      </c>
      <c r="U200" s="121" t="s">
        <v>555</v>
      </c>
      <c r="V200" s="119" t="s">
        <v>556</v>
      </c>
      <c r="W200" s="119" t="s">
        <v>953</v>
      </c>
      <c r="X200" s="123" t="s">
        <v>954</v>
      </c>
      <c r="Y200" s="119"/>
      <c r="Z200" s="124">
        <v>72154</v>
      </c>
      <c r="AA200" s="125"/>
      <c r="AB200" s="126"/>
      <c r="AC200" s="127"/>
      <c r="AD200" s="127"/>
      <c r="AE200" s="127"/>
      <c r="AF200" s="127"/>
      <c r="AG200" s="125"/>
      <c r="AH200" s="128">
        <f t="shared" ca="1" si="12"/>
        <v>45815</v>
      </c>
      <c r="AI200" s="129" t="s">
        <v>559</v>
      </c>
      <c r="AJ200" s="129"/>
      <c r="AK200" s="129"/>
      <c r="AL200" s="129"/>
      <c r="AM200" s="129"/>
    </row>
    <row r="201" spans="1:39" ht="18" hidden="1" customHeight="1" x14ac:dyDescent="0.25">
      <c r="A201" s="117">
        <v>200</v>
      </c>
      <c r="B201" s="117"/>
      <c r="C201" s="118" t="s">
        <v>952</v>
      </c>
      <c r="D201" s="146">
        <f t="array" aca="1" ref="D201" ca="1">SUM(--(_xlfn.UNIQUE(_xlfn._xlws.FILTER($M$2:$M$1011 &amp; "", ($C$2:$C$1011 = C201) * ($M$2:$M$1011 &lt;&gt; ""))) &lt;&gt; ""))</f>
        <v>1</v>
      </c>
      <c r="E201" s="166">
        <f t="shared" ca="1" si="13"/>
        <v>620</v>
      </c>
      <c r="F201" s="143">
        <v>1</v>
      </c>
      <c r="G201" s="143" t="s">
        <v>155</v>
      </c>
      <c r="H201" s="119">
        <f>_xlfn.XLOOKUP(G201,'🚛 FROTA'!B:B,'🚛 FROTA'!A:A,"")</f>
        <v>34</v>
      </c>
      <c r="I201" s="119"/>
      <c r="J201" s="119" t="str">
        <f>IF(G201="","",_xlfn.XLOOKUP(G201,'🚛 FROTA'!B:B,'🚛 FROTA'!E:E,""))</f>
        <v>9.170 Delivery</v>
      </c>
      <c r="K201" s="119" t="str">
        <f>IF(G201="","",_xlfn.XLOOKUP(G201,'🚛 FROTA'!B:B,'🚛 FROTA'!K:K,""))</f>
        <v>Basculante</v>
      </c>
      <c r="L201" s="143" t="s">
        <v>552</v>
      </c>
      <c r="M201" s="143" t="s">
        <v>918</v>
      </c>
      <c r="N201" s="145">
        <v>45875</v>
      </c>
      <c r="O201" s="143">
        <v>2</v>
      </c>
      <c r="P201" s="143">
        <v>2</v>
      </c>
      <c r="Q201" s="167">
        <v>310</v>
      </c>
      <c r="R201" s="143" t="s">
        <v>554</v>
      </c>
      <c r="S201" s="122" t="s">
        <v>534</v>
      </c>
      <c r="T201" s="120" t="s">
        <v>522</v>
      </c>
      <c r="U201" s="121" t="s">
        <v>555</v>
      </c>
      <c r="V201" s="119" t="s">
        <v>556</v>
      </c>
      <c r="W201" s="119" t="s">
        <v>953</v>
      </c>
      <c r="X201" s="123" t="s">
        <v>954</v>
      </c>
      <c r="Y201" s="119"/>
      <c r="Z201" s="124">
        <v>72154</v>
      </c>
      <c r="AA201" s="125"/>
      <c r="AB201" s="126"/>
      <c r="AC201" s="127"/>
      <c r="AD201" s="127"/>
      <c r="AE201" s="127"/>
      <c r="AF201" s="127"/>
      <c r="AG201" s="125"/>
      <c r="AH201" s="128">
        <f t="shared" ca="1" si="12"/>
        <v>45815</v>
      </c>
      <c r="AI201" s="129" t="s">
        <v>559</v>
      </c>
      <c r="AJ201" s="129"/>
      <c r="AK201" s="129"/>
      <c r="AL201" s="129"/>
      <c r="AM201" s="129"/>
    </row>
    <row r="202" spans="1:39" ht="18" hidden="1" customHeight="1" x14ac:dyDescent="0.25">
      <c r="A202" s="117">
        <v>201</v>
      </c>
      <c r="B202" s="117"/>
      <c r="C202" s="118" t="s">
        <v>955</v>
      </c>
      <c r="D202" s="146">
        <f t="array" aca="1" ref="D202" ca="1">SUM(--(_xlfn.UNIQUE(_xlfn._xlws.FILTER($M$2:$M$1011 &amp; "", ($C$2:$C$1011 = C202) * ($M$2:$M$1011 &lt;&gt; ""))) &lt;&gt; ""))</f>
        <v>1</v>
      </c>
      <c r="E202" s="166">
        <f t="shared" ca="1" si="13"/>
        <v>583</v>
      </c>
      <c r="F202" s="143">
        <v>1</v>
      </c>
      <c r="G202" s="143" t="s">
        <v>169</v>
      </c>
      <c r="H202" s="119">
        <f>_xlfn.XLOOKUP(G202,'🚛 FROTA'!B:B,'🚛 FROTA'!A:A,"")</f>
        <v>43</v>
      </c>
      <c r="I202" s="119"/>
      <c r="J202" s="119" t="str">
        <f>IF(G202="","",_xlfn.XLOOKUP(G202,'🚛 FROTA'!B:B,'🚛 FROTA'!E:E,""))</f>
        <v>Express Delivery</v>
      </c>
      <c r="K202" s="119" t="str">
        <f>IF(G202="","",_xlfn.XLOOKUP(G202,'🚛 FROTA'!B:B,'🚛 FROTA'!K:K,""))</f>
        <v>Carroceria</v>
      </c>
      <c r="L202" s="143" t="s">
        <v>552</v>
      </c>
      <c r="M202" s="143" t="s">
        <v>956</v>
      </c>
      <c r="N202" s="145">
        <v>45850</v>
      </c>
      <c r="O202" s="143">
        <v>1</v>
      </c>
      <c r="P202" s="143">
        <v>4</v>
      </c>
      <c r="Q202" s="167">
        <v>145.75</v>
      </c>
      <c r="R202" s="143" t="s">
        <v>554</v>
      </c>
      <c r="S202" s="122" t="s">
        <v>534</v>
      </c>
      <c r="T202" s="120" t="s">
        <v>522</v>
      </c>
      <c r="U202" s="121" t="s">
        <v>555</v>
      </c>
      <c r="V202" s="119" t="s">
        <v>556</v>
      </c>
      <c r="W202" s="119" t="s">
        <v>699</v>
      </c>
      <c r="X202" s="123" t="s">
        <v>957</v>
      </c>
      <c r="Y202" s="119"/>
      <c r="Z202" s="124">
        <v>47989</v>
      </c>
      <c r="AA202" s="125"/>
      <c r="AB202" s="126"/>
      <c r="AC202" s="127"/>
      <c r="AD202" s="127"/>
      <c r="AE202" s="127"/>
      <c r="AF202" s="127"/>
      <c r="AG202" s="125"/>
      <c r="AH202" s="128">
        <f t="shared" ca="1" si="12"/>
        <v>45820</v>
      </c>
      <c r="AI202" s="129" t="s">
        <v>559</v>
      </c>
      <c r="AJ202" s="129"/>
      <c r="AK202" s="129"/>
      <c r="AL202" s="129"/>
      <c r="AM202" s="129"/>
    </row>
    <row r="203" spans="1:39" ht="18" hidden="1" customHeight="1" x14ac:dyDescent="0.25">
      <c r="A203" s="117">
        <v>202</v>
      </c>
      <c r="B203" s="117"/>
      <c r="C203" s="118" t="s">
        <v>955</v>
      </c>
      <c r="D203" s="146">
        <f t="array" aca="1" ref="D203" ca="1">SUM(--(_xlfn.UNIQUE(_xlfn._xlws.FILTER($M$2:$M$1011 &amp; "", ($C$2:$C$1011 = C203) * ($M$2:$M$1011 &lt;&gt; ""))) &lt;&gt; ""))</f>
        <v>1</v>
      </c>
      <c r="E203" s="166">
        <f t="shared" ca="1" si="13"/>
        <v>583</v>
      </c>
      <c r="F203" s="143">
        <v>1</v>
      </c>
      <c r="G203" s="143" t="s">
        <v>169</v>
      </c>
      <c r="H203" s="119">
        <f>_xlfn.XLOOKUP(G203,'🚛 FROTA'!B:B,'🚛 FROTA'!A:A,"")</f>
        <v>43</v>
      </c>
      <c r="I203" s="119"/>
      <c r="J203" s="119" t="str">
        <f>IF(G203="","",_xlfn.XLOOKUP(G203,'🚛 FROTA'!B:B,'🚛 FROTA'!E:E,""))</f>
        <v>Express Delivery</v>
      </c>
      <c r="K203" s="119" t="str">
        <f>IF(G203="","",_xlfn.XLOOKUP(G203,'🚛 FROTA'!B:B,'🚛 FROTA'!K:K,""))</f>
        <v>Carroceria</v>
      </c>
      <c r="L203" s="143" t="s">
        <v>552</v>
      </c>
      <c r="M203" s="143" t="s">
        <v>956</v>
      </c>
      <c r="N203" s="145">
        <v>45880</v>
      </c>
      <c r="O203" s="143">
        <v>2</v>
      </c>
      <c r="P203" s="143">
        <v>4</v>
      </c>
      <c r="Q203" s="167">
        <v>145.75</v>
      </c>
      <c r="R203" s="143" t="s">
        <v>554</v>
      </c>
      <c r="S203" s="122" t="s">
        <v>534</v>
      </c>
      <c r="T203" s="120" t="s">
        <v>522</v>
      </c>
      <c r="U203" s="121" t="s">
        <v>555</v>
      </c>
      <c r="V203" s="119" t="s">
        <v>556</v>
      </c>
      <c r="W203" s="119" t="s">
        <v>699</v>
      </c>
      <c r="X203" s="123" t="s">
        <v>957</v>
      </c>
      <c r="Y203" s="119"/>
      <c r="Z203" s="124">
        <v>47989</v>
      </c>
      <c r="AA203" s="125"/>
      <c r="AB203" s="126"/>
      <c r="AC203" s="127"/>
      <c r="AD203" s="127"/>
      <c r="AE203" s="127"/>
      <c r="AF203" s="127"/>
      <c r="AG203" s="125"/>
      <c r="AH203" s="128">
        <f t="shared" ca="1" si="12"/>
        <v>45820</v>
      </c>
      <c r="AI203" s="129" t="s">
        <v>559</v>
      </c>
      <c r="AJ203" s="129"/>
      <c r="AK203" s="129"/>
      <c r="AL203" s="129"/>
      <c r="AM203" s="129"/>
    </row>
    <row r="204" spans="1:39" ht="18" hidden="1" customHeight="1" x14ac:dyDescent="0.25">
      <c r="A204" s="117">
        <v>203</v>
      </c>
      <c r="B204" s="117"/>
      <c r="C204" s="118" t="s">
        <v>955</v>
      </c>
      <c r="D204" s="146">
        <f t="array" aca="1" ref="D204" ca="1">SUM(--(_xlfn.UNIQUE(_xlfn._xlws.FILTER($M$2:$M$1011 &amp; "", ($C$2:$C$1011 = C204) * ($M$2:$M$1011 &lt;&gt; ""))) &lt;&gt; ""))</f>
        <v>1</v>
      </c>
      <c r="E204" s="166">
        <f t="shared" ca="1" si="13"/>
        <v>583</v>
      </c>
      <c r="F204" s="143">
        <v>1</v>
      </c>
      <c r="G204" s="143" t="s">
        <v>169</v>
      </c>
      <c r="H204" s="119">
        <f>_xlfn.XLOOKUP(G204,'🚛 FROTA'!B:B,'🚛 FROTA'!A:A,"")</f>
        <v>43</v>
      </c>
      <c r="I204" s="119"/>
      <c r="J204" s="119" t="str">
        <f>IF(G204="","",_xlfn.XLOOKUP(G204,'🚛 FROTA'!B:B,'🚛 FROTA'!E:E,""))</f>
        <v>Express Delivery</v>
      </c>
      <c r="K204" s="119" t="str">
        <f>IF(G204="","",_xlfn.XLOOKUP(G204,'🚛 FROTA'!B:B,'🚛 FROTA'!K:K,""))</f>
        <v>Carroceria</v>
      </c>
      <c r="L204" s="143" t="s">
        <v>552</v>
      </c>
      <c r="M204" s="143" t="s">
        <v>956</v>
      </c>
      <c r="N204" s="145">
        <v>45910</v>
      </c>
      <c r="O204" s="143">
        <v>3</v>
      </c>
      <c r="P204" s="143">
        <v>4</v>
      </c>
      <c r="Q204" s="167">
        <v>145.75</v>
      </c>
      <c r="R204" s="143" t="s">
        <v>554</v>
      </c>
      <c r="S204" s="122" t="s">
        <v>534</v>
      </c>
      <c r="T204" s="120" t="s">
        <v>522</v>
      </c>
      <c r="U204" s="121" t="s">
        <v>555</v>
      </c>
      <c r="V204" s="119" t="s">
        <v>556</v>
      </c>
      <c r="W204" s="119" t="s">
        <v>699</v>
      </c>
      <c r="X204" s="123" t="s">
        <v>957</v>
      </c>
      <c r="Y204" s="119"/>
      <c r="Z204" s="124">
        <v>47989</v>
      </c>
      <c r="AA204" s="125"/>
      <c r="AB204" s="126"/>
      <c r="AC204" s="127"/>
      <c r="AD204" s="127"/>
      <c r="AE204" s="127"/>
      <c r="AF204" s="127"/>
      <c r="AG204" s="125"/>
      <c r="AH204" s="128">
        <f t="shared" ca="1" si="12"/>
        <v>45820</v>
      </c>
      <c r="AI204" s="129" t="s">
        <v>559</v>
      </c>
      <c r="AJ204" s="129"/>
      <c r="AK204" s="129"/>
      <c r="AL204" s="129"/>
      <c r="AM204" s="129"/>
    </row>
    <row r="205" spans="1:39" ht="18" hidden="1" customHeight="1" x14ac:dyDescent="0.25">
      <c r="A205" s="117">
        <v>204</v>
      </c>
      <c r="B205" s="117"/>
      <c r="C205" s="118" t="s">
        <v>955</v>
      </c>
      <c r="D205" s="146">
        <f t="array" aca="1" ref="D205" ca="1">SUM(--(_xlfn.UNIQUE(_xlfn._xlws.FILTER($M$2:$M$1011 &amp; "", ($C$2:$C$1011 = C205) * ($M$2:$M$1011 &lt;&gt; ""))) &lt;&gt; ""))</f>
        <v>1</v>
      </c>
      <c r="E205" s="166">
        <f t="shared" ca="1" si="13"/>
        <v>583</v>
      </c>
      <c r="F205" s="143">
        <v>1</v>
      </c>
      <c r="G205" s="143" t="s">
        <v>169</v>
      </c>
      <c r="H205" s="119">
        <f>_xlfn.XLOOKUP(G205,'🚛 FROTA'!B:B,'🚛 FROTA'!A:A,"")</f>
        <v>43</v>
      </c>
      <c r="I205" s="119"/>
      <c r="J205" s="119" t="str">
        <f>IF(G205="","",_xlfn.XLOOKUP(G205,'🚛 FROTA'!B:B,'🚛 FROTA'!E:E,""))</f>
        <v>Express Delivery</v>
      </c>
      <c r="K205" s="119" t="str">
        <f>IF(G205="","",_xlfn.XLOOKUP(G205,'🚛 FROTA'!B:B,'🚛 FROTA'!K:K,""))</f>
        <v>Carroceria</v>
      </c>
      <c r="L205" s="143" t="s">
        <v>552</v>
      </c>
      <c r="M205" s="143" t="s">
        <v>956</v>
      </c>
      <c r="N205" s="145">
        <v>45940</v>
      </c>
      <c r="O205" s="143">
        <v>4</v>
      </c>
      <c r="P205" s="143">
        <v>4</v>
      </c>
      <c r="Q205" s="167">
        <v>145.75</v>
      </c>
      <c r="R205" s="143" t="s">
        <v>554</v>
      </c>
      <c r="S205" s="122" t="s">
        <v>534</v>
      </c>
      <c r="T205" s="120" t="s">
        <v>522</v>
      </c>
      <c r="U205" s="121" t="s">
        <v>555</v>
      </c>
      <c r="V205" s="119" t="s">
        <v>556</v>
      </c>
      <c r="W205" s="119" t="s">
        <v>699</v>
      </c>
      <c r="X205" s="123" t="s">
        <v>957</v>
      </c>
      <c r="Y205" s="119"/>
      <c r="Z205" s="124">
        <v>47989</v>
      </c>
      <c r="AA205" s="125"/>
      <c r="AB205" s="126"/>
      <c r="AC205" s="127"/>
      <c r="AD205" s="127"/>
      <c r="AE205" s="127"/>
      <c r="AF205" s="127"/>
      <c r="AG205" s="125"/>
      <c r="AH205" s="128">
        <f t="shared" ca="1" si="12"/>
        <v>45820</v>
      </c>
      <c r="AI205" s="129" t="s">
        <v>559</v>
      </c>
      <c r="AJ205" s="129"/>
      <c r="AK205" s="129"/>
      <c r="AL205" s="129"/>
      <c r="AM205" s="129"/>
    </row>
    <row r="206" spans="1:39" ht="18" hidden="1" customHeight="1" x14ac:dyDescent="0.25">
      <c r="A206" s="117">
        <v>205</v>
      </c>
      <c r="B206" s="117"/>
      <c r="C206" s="118" t="s">
        <v>958</v>
      </c>
      <c r="D206" s="146">
        <f t="array" aca="1" ref="D206" ca="1">SUM(--(_xlfn.UNIQUE(_xlfn._xlws.FILTER($M$2:$M$1011 &amp; "", ($C$2:$C$1011 = C206) * ($M$2:$M$1011 &lt;&gt; ""))) &lt;&gt; ""))</f>
        <v>1</v>
      </c>
      <c r="E206" s="166">
        <f t="shared" ca="1" si="13"/>
        <v>1520</v>
      </c>
      <c r="F206" s="143">
        <v>1</v>
      </c>
      <c r="G206" s="143" t="s">
        <v>169</v>
      </c>
      <c r="H206" s="119">
        <f>_xlfn.XLOOKUP(G206,'🚛 FROTA'!B:B,'🚛 FROTA'!A:A,"")</f>
        <v>43</v>
      </c>
      <c r="I206" s="119"/>
      <c r="J206" s="119" t="str">
        <f>IF(G206="","",_xlfn.XLOOKUP(G206,'🚛 FROTA'!B:B,'🚛 FROTA'!E:E,""))</f>
        <v>Express Delivery</v>
      </c>
      <c r="K206" s="119" t="str">
        <f>IF(G206="","",_xlfn.XLOOKUP(G206,'🚛 FROTA'!B:B,'🚛 FROTA'!K:K,""))</f>
        <v>Carroceria</v>
      </c>
      <c r="L206" s="143" t="s">
        <v>552</v>
      </c>
      <c r="M206" s="143" t="s">
        <v>956</v>
      </c>
      <c r="N206" s="145">
        <v>45850</v>
      </c>
      <c r="O206" s="143">
        <v>1</v>
      </c>
      <c r="P206" s="143">
        <v>4</v>
      </c>
      <c r="Q206" s="167">
        <v>380</v>
      </c>
      <c r="R206" s="143" t="s">
        <v>554</v>
      </c>
      <c r="S206" s="122" t="s">
        <v>534</v>
      </c>
      <c r="T206" s="120" t="s">
        <v>522</v>
      </c>
      <c r="U206" s="121" t="s">
        <v>597</v>
      </c>
      <c r="V206" s="119" t="s">
        <v>598</v>
      </c>
      <c r="W206" s="119" t="s">
        <v>679</v>
      </c>
      <c r="X206" s="123" t="s">
        <v>959</v>
      </c>
      <c r="Y206" s="119"/>
      <c r="Z206" s="124">
        <v>47989</v>
      </c>
      <c r="AA206" s="125"/>
      <c r="AB206" s="126"/>
      <c r="AC206" s="127"/>
      <c r="AD206" s="127"/>
      <c r="AE206" s="127"/>
      <c r="AF206" s="127"/>
      <c r="AG206" s="125"/>
      <c r="AH206" s="128">
        <f t="shared" ca="1" si="12"/>
        <v>45820</v>
      </c>
      <c r="AI206" s="129" t="s">
        <v>559</v>
      </c>
      <c r="AJ206" s="129"/>
      <c r="AK206" s="132">
        <f>IF(Z206="",0,Z206+10000)</f>
        <v>57989</v>
      </c>
      <c r="AL206" s="129"/>
      <c r="AM206" s="129"/>
    </row>
    <row r="207" spans="1:39" ht="18" hidden="1" customHeight="1" x14ac:dyDescent="0.25">
      <c r="A207" s="117">
        <v>206</v>
      </c>
      <c r="B207" s="117"/>
      <c r="C207" s="118" t="s">
        <v>958</v>
      </c>
      <c r="D207" s="146">
        <f t="array" aca="1" ref="D207" ca="1">SUM(--(_xlfn.UNIQUE(_xlfn._xlws.FILTER($M$2:$M$1011 &amp; "", ($C$2:$C$1011 = C207) * ($M$2:$M$1011 &lt;&gt; ""))) &lt;&gt; ""))</f>
        <v>1</v>
      </c>
      <c r="E207" s="166">
        <f t="shared" ca="1" si="13"/>
        <v>1520</v>
      </c>
      <c r="F207" s="143">
        <v>1</v>
      </c>
      <c r="G207" s="143" t="s">
        <v>169</v>
      </c>
      <c r="H207" s="119">
        <f>_xlfn.XLOOKUP(G207,'🚛 FROTA'!B:B,'🚛 FROTA'!A:A,"")</f>
        <v>43</v>
      </c>
      <c r="I207" s="119"/>
      <c r="J207" s="119" t="str">
        <f>IF(G207="","",_xlfn.XLOOKUP(G207,'🚛 FROTA'!B:B,'🚛 FROTA'!E:E,""))</f>
        <v>Express Delivery</v>
      </c>
      <c r="K207" s="119" t="str">
        <f>IF(G207="","",_xlfn.XLOOKUP(G207,'🚛 FROTA'!B:B,'🚛 FROTA'!K:K,""))</f>
        <v>Carroceria</v>
      </c>
      <c r="L207" s="143" t="s">
        <v>552</v>
      </c>
      <c r="M207" s="143" t="s">
        <v>956</v>
      </c>
      <c r="N207" s="145">
        <v>45880</v>
      </c>
      <c r="O207" s="143">
        <v>2</v>
      </c>
      <c r="P207" s="143">
        <v>4</v>
      </c>
      <c r="Q207" s="167">
        <v>380</v>
      </c>
      <c r="R207" s="143" t="s">
        <v>554</v>
      </c>
      <c r="S207" s="122" t="s">
        <v>534</v>
      </c>
      <c r="T207" s="120" t="s">
        <v>522</v>
      </c>
      <c r="U207" s="121" t="s">
        <v>597</v>
      </c>
      <c r="V207" s="119" t="s">
        <v>598</v>
      </c>
      <c r="W207" s="119" t="s">
        <v>679</v>
      </c>
      <c r="X207" s="123" t="s">
        <v>959</v>
      </c>
      <c r="Y207" s="119"/>
      <c r="Z207" s="124">
        <v>47989</v>
      </c>
      <c r="AA207" s="125"/>
      <c r="AB207" s="126"/>
      <c r="AC207" s="127"/>
      <c r="AD207" s="127"/>
      <c r="AE207" s="127"/>
      <c r="AF207" s="127"/>
      <c r="AG207" s="125"/>
      <c r="AH207" s="128">
        <f t="shared" ca="1" si="12"/>
        <v>45820</v>
      </c>
      <c r="AI207" s="129" t="s">
        <v>559</v>
      </c>
      <c r="AJ207" s="129"/>
      <c r="AK207" s="132">
        <f>IF(Z207="",0,Z207+10000)</f>
        <v>57989</v>
      </c>
      <c r="AL207" s="129"/>
      <c r="AM207" s="129"/>
    </row>
    <row r="208" spans="1:39" ht="18" hidden="1" customHeight="1" x14ac:dyDescent="0.25">
      <c r="A208" s="117">
        <v>207</v>
      </c>
      <c r="B208" s="117"/>
      <c r="C208" s="118" t="s">
        <v>958</v>
      </c>
      <c r="D208" s="146">
        <f t="array" aca="1" ref="D208" ca="1">SUM(--(_xlfn.UNIQUE(_xlfn._xlws.FILTER($M$2:$M$1011 &amp; "", ($C$2:$C$1011 = C208) * ($M$2:$M$1011 &lt;&gt; ""))) &lt;&gt; ""))</f>
        <v>1</v>
      </c>
      <c r="E208" s="166">
        <f t="shared" ca="1" si="13"/>
        <v>1520</v>
      </c>
      <c r="F208" s="143">
        <v>1</v>
      </c>
      <c r="G208" s="143" t="s">
        <v>169</v>
      </c>
      <c r="H208" s="119">
        <f>_xlfn.XLOOKUP(G208,'🚛 FROTA'!B:B,'🚛 FROTA'!A:A,"")</f>
        <v>43</v>
      </c>
      <c r="I208" s="119"/>
      <c r="J208" s="119" t="str">
        <f>IF(G208="","",_xlfn.XLOOKUP(G208,'🚛 FROTA'!B:B,'🚛 FROTA'!E:E,""))</f>
        <v>Express Delivery</v>
      </c>
      <c r="K208" s="119" t="str">
        <f>IF(G208="","",_xlfn.XLOOKUP(G208,'🚛 FROTA'!B:B,'🚛 FROTA'!K:K,""))</f>
        <v>Carroceria</v>
      </c>
      <c r="L208" s="143" t="s">
        <v>552</v>
      </c>
      <c r="M208" s="143" t="s">
        <v>956</v>
      </c>
      <c r="N208" s="145">
        <v>45910</v>
      </c>
      <c r="O208" s="143">
        <v>3</v>
      </c>
      <c r="P208" s="143">
        <v>4</v>
      </c>
      <c r="Q208" s="167">
        <v>380</v>
      </c>
      <c r="R208" s="143" t="s">
        <v>554</v>
      </c>
      <c r="S208" s="122" t="s">
        <v>534</v>
      </c>
      <c r="T208" s="120" t="s">
        <v>522</v>
      </c>
      <c r="U208" s="121" t="s">
        <v>597</v>
      </c>
      <c r="V208" s="119" t="s">
        <v>598</v>
      </c>
      <c r="W208" s="119" t="s">
        <v>679</v>
      </c>
      <c r="X208" s="123" t="s">
        <v>959</v>
      </c>
      <c r="Y208" s="119"/>
      <c r="Z208" s="124">
        <v>47989</v>
      </c>
      <c r="AA208" s="125"/>
      <c r="AB208" s="126"/>
      <c r="AC208" s="127"/>
      <c r="AD208" s="127"/>
      <c r="AE208" s="127"/>
      <c r="AF208" s="127"/>
      <c r="AG208" s="125"/>
      <c r="AH208" s="128">
        <f t="shared" ca="1" si="12"/>
        <v>45820</v>
      </c>
      <c r="AI208" s="129" t="s">
        <v>559</v>
      </c>
      <c r="AJ208" s="129"/>
      <c r="AK208" s="132">
        <f>IF(Z208="",0,Z208+10000)</f>
        <v>57989</v>
      </c>
      <c r="AL208" s="129"/>
      <c r="AM208" s="129"/>
    </row>
    <row r="209" spans="1:39" ht="18" hidden="1" customHeight="1" x14ac:dyDescent="0.25">
      <c r="A209" s="117">
        <v>208</v>
      </c>
      <c r="B209" s="117"/>
      <c r="C209" s="118" t="s">
        <v>958</v>
      </c>
      <c r="D209" s="146">
        <f t="array" aca="1" ref="D209" ca="1">SUM(--(_xlfn.UNIQUE(_xlfn._xlws.FILTER($M$2:$M$1011 &amp; "", ($C$2:$C$1011 = C209) * ($M$2:$M$1011 &lt;&gt; ""))) &lt;&gt; ""))</f>
        <v>1</v>
      </c>
      <c r="E209" s="166">
        <f t="shared" ca="1" si="13"/>
        <v>1520</v>
      </c>
      <c r="F209" s="143">
        <v>1</v>
      </c>
      <c r="G209" s="143" t="s">
        <v>169</v>
      </c>
      <c r="H209" s="119">
        <f>_xlfn.XLOOKUP(G209,'🚛 FROTA'!B:B,'🚛 FROTA'!A:A,"")</f>
        <v>43</v>
      </c>
      <c r="I209" s="119"/>
      <c r="J209" s="119" t="str">
        <f>IF(G209="","",_xlfn.XLOOKUP(G209,'🚛 FROTA'!B:B,'🚛 FROTA'!E:E,""))</f>
        <v>Express Delivery</v>
      </c>
      <c r="K209" s="119" t="str">
        <f>IF(G209="","",_xlfn.XLOOKUP(G209,'🚛 FROTA'!B:B,'🚛 FROTA'!K:K,""))</f>
        <v>Carroceria</v>
      </c>
      <c r="L209" s="143" t="s">
        <v>552</v>
      </c>
      <c r="M209" s="143" t="s">
        <v>956</v>
      </c>
      <c r="N209" s="145">
        <v>45940</v>
      </c>
      <c r="O209" s="143">
        <v>4</v>
      </c>
      <c r="P209" s="143">
        <v>4</v>
      </c>
      <c r="Q209" s="167">
        <v>380</v>
      </c>
      <c r="R209" s="143" t="s">
        <v>554</v>
      </c>
      <c r="S209" s="122" t="s">
        <v>534</v>
      </c>
      <c r="T209" s="120" t="s">
        <v>522</v>
      </c>
      <c r="U209" s="121" t="s">
        <v>597</v>
      </c>
      <c r="V209" s="119" t="s">
        <v>598</v>
      </c>
      <c r="W209" s="119" t="s">
        <v>679</v>
      </c>
      <c r="X209" s="123" t="s">
        <v>959</v>
      </c>
      <c r="Y209" s="119"/>
      <c r="Z209" s="124">
        <v>47989</v>
      </c>
      <c r="AA209" s="125"/>
      <c r="AB209" s="126"/>
      <c r="AC209" s="127"/>
      <c r="AD209" s="127"/>
      <c r="AE209" s="127"/>
      <c r="AF209" s="127"/>
      <c r="AG209" s="125"/>
      <c r="AH209" s="128">
        <f t="shared" ca="1" si="12"/>
        <v>45820</v>
      </c>
      <c r="AI209" s="129" t="s">
        <v>559</v>
      </c>
      <c r="AJ209" s="129"/>
      <c r="AK209" s="132">
        <f>IF(Z209="",0,Z209+10000)</f>
        <v>57989</v>
      </c>
      <c r="AL209" s="129"/>
      <c r="AM209" s="129"/>
    </row>
    <row r="210" spans="1:39" ht="18" hidden="1" customHeight="1" x14ac:dyDescent="0.25">
      <c r="A210" s="117">
        <v>209</v>
      </c>
      <c r="B210" s="117"/>
      <c r="C210" s="118" t="s">
        <v>960</v>
      </c>
      <c r="D210" s="146">
        <f t="array" aca="1" ref="D210" ca="1">SUM(--(_xlfn.UNIQUE(_xlfn._xlws.FILTER($M$2:$M$1011 &amp; "", ($C$2:$C$1011 = C210) * ($M$2:$M$1011 &lt;&gt; ""))) &lt;&gt; ""))</f>
        <v>1</v>
      </c>
      <c r="E210" s="166">
        <f t="shared" ca="1" si="13"/>
        <v>2000</v>
      </c>
      <c r="F210" s="143">
        <v>1</v>
      </c>
      <c r="G210" s="143" t="s">
        <v>141</v>
      </c>
      <c r="H210" s="119">
        <f>_xlfn.XLOOKUP(G210,'🚛 FROTA'!B:B,'🚛 FROTA'!A:A,"")</f>
        <v>24</v>
      </c>
      <c r="I210" s="119"/>
      <c r="J210" s="119" t="str">
        <f>IF(G210="","",_xlfn.XLOOKUP(G210,'🚛 FROTA'!B:B,'🚛 FROTA'!E:E,""))</f>
        <v>14.190 Constellation</v>
      </c>
      <c r="K210" s="119" t="str">
        <f>IF(G210="","",_xlfn.XLOOKUP(G210,'🚛 FROTA'!B:B,'🚛 FROTA'!K:K,""))</f>
        <v>Munck</v>
      </c>
      <c r="L210" s="143" t="s">
        <v>961</v>
      </c>
      <c r="M210" s="143" t="s">
        <v>962</v>
      </c>
      <c r="N210" s="145">
        <v>45856</v>
      </c>
      <c r="O210" s="143">
        <v>1</v>
      </c>
      <c r="P210" s="143">
        <v>1</v>
      </c>
      <c r="Q210" s="167">
        <v>2000</v>
      </c>
      <c r="R210" s="143" t="s">
        <v>554</v>
      </c>
      <c r="S210" s="122" t="s">
        <v>560</v>
      </c>
      <c r="T210" s="120" t="s">
        <v>522</v>
      </c>
      <c r="U210" s="121" t="s">
        <v>555</v>
      </c>
      <c r="V210" s="119" t="s">
        <v>619</v>
      </c>
      <c r="W210" s="119" t="s">
        <v>963</v>
      </c>
      <c r="X210" s="123" t="s">
        <v>964</v>
      </c>
      <c r="Y210" s="119"/>
      <c r="Z210" s="124">
        <v>119806</v>
      </c>
      <c r="AA210" s="125"/>
      <c r="AB210" s="126"/>
      <c r="AC210" s="127"/>
      <c r="AD210" s="127"/>
      <c r="AE210" s="127"/>
      <c r="AF210" s="127"/>
      <c r="AG210" s="125"/>
      <c r="AH210" s="128">
        <f t="shared" ca="1" si="12"/>
        <v>45826</v>
      </c>
      <c r="AI210" s="129"/>
      <c r="AJ210" s="129"/>
      <c r="AK210" s="129"/>
      <c r="AL210" s="129"/>
      <c r="AM210" s="129"/>
    </row>
    <row r="211" spans="1:39" ht="18" hidden="1" customHeight="1" x14ac:dyDescent="0.25">
      <c r="A211" s="117">
        <v>210</v>
      </c>
      <c r="B211" s="117"/>
      <c r="C211" s="118" t="s">
        <v>465</v>
      </c>
      <c r="D211" s="146">
        <f t="array" aca="1" ref="D211" ca="1">SUM(--(_xlfn.UNIQUE(_xlfn._xlws.FILTER($M$2:$M$1011 &amp; "", ($C$2:$C$1011 = C211) * ($M$2:$M$1011 &lt;&gt; ""))) &lt;&gt; ""))</f>
        <v>2</v>
      </c>
      <c r="E211" s="166">
        <f t="shared" ca="1" si="13"/>
        <v>2615.29</v>
      </c>
      <c r="F211" s="143">
        <v>1</v>
      </c>
      <c r="G211" s="143" t="s">
        <v>166</v>
      </c>
      <c r="H211" s="119">
        <f>_xlfn.XLOOKUP(G211,'🚛 FROTA'!B:B,'🚛 FROTA'!A:A,"")</f>
        <v>41</v>
      </c>
      <c r="I211" s="119"/>
      <c r="J211" s="119" t="str">
        <f>IF(G211="","",_xlfn.XLOOKUP(G211,'🚛 FROTA'!B:B,'🚛 FROTA'!E:E,""))</f>
        <v>Express Delivery</v>
      </c>
      <c r="K211" s="119" t="str">
        <f>IF(G211="","",_xlfn.XLOOKUP(G211,'🚛 FROTA'!B:B,'🚛 FROTA'!K:K,""))</f>
        <v>Carroceria Cabinado</v>
      </c>
      <c r="L211" s="143" t="s">
        <v>627</v>
      </c>
      <c r="M211" s="143" t="s">
        <v>965</v>
      </c>
      <c r="N211" s="145">
        <v>45860</v>
      </c>
      <c r="O211" s="143">
        <v>1</v>
      </c>
      <c r="P211" s="143">
        <v>2</v>
      </c>
      <c r="Q211" s="167">
        <v>344.19</v>
      </c>
      <c r="R211" s="143" t="s">
        <v>554</v>
      </c>
      <c r="S211" s="122" t="s">
        <v>560</v>
      </c>
      <c r="T211" s="120" t="s">
        <v>522</v>
      </c>
      <c r="U211" s="121" t="s">
        <v>555</v>
      </c>
      <c r="V211" s="119" t="s">
        <v>556</v>
      </c>
      <c r="W211" s="119" t="s">
        <v>966</v>
      </c>
      <c r="X211" s="123" t="s">
        <v>967</v>
      </c>
      <c r="Y211" s="119"/>
      <c r="Z211" s="124">
        <v>68370</v>
      </c>
      <c r="AA211" s="125"/>
      <c r="AB211" s="126"/>
      <c r="AC211" s="127"/>
      <c r="AD211" s="127"/>
      <c r="AE211" s="127"/>
      <c r="AF211" s="127"/>
      <c r="AG211" s="125"/>
      <c r="AH211" s="128">
        <f t="shared" ca="1" si="12"/>
        <v>45830</v>
      </c>
      <c r="AI211" s="129" t="s">
        <v>631</v>
      </c>
      <c r="AJ211" s="129"/>
      <c r="AK211" s="129"/>
      <c r="AL211" s="129"/>
      <c r="AM211" s="129"/>
    </row>
    <row r="212" spans="1:39" ht="18" hidden="1" customHeight="1" x14ac:dyDescent="0.25">
      <c r="A212" s="117">
        <v>211</v>
      </c>
      <c r="B212" s="117"/>
      <c r="C212" s="118" t="s">
        <v>465</v>
      </c>
      <c r="D212" s="146">
        <f t="array" aca="1" ref="D212" ca="1">SUM(--(_xlfn.UNIQUE(_xlfn._xlws.FILTER($M$2:$M$1011 &amp; "", ($C$2:$C$1011 = C212) * ($M$2:$M$1011 &lt;&gt; ""))) &lt;&gt; ""))</f>
        <v>2</v>
      </c>
      <c r="E212" s="166">
        <f t="shared" ca="1" si="13"/>
        <v>2615.29</v>
      </c>
      <c r="F212" s="143">
        <v>1</v>
      </c>
      <c r="G212" s="143" t="s">
        <v>166</v>
      </c>
      <c r="H212" s="119">
        <f>_xlfn.XLOOKUP(G212,'🚛 FROTA'!B:B,'🚛 FROTA'!A:A,"")</f>
        <v>41</v>
      </c>
      <c r="I212" s="119"/>
      <c r="J212" s="119" t="str">
        <f>IF(G212="","",_xlfn.XLOOKUP(G212,'🚛 FROTA'!B:B,'🚛 FROTA'!E:E,""))</f>
        <v>Express Delivery</v>
      </c>
      <c r="K212" s="119" t="str">
        <f>IF(G212="","",_xlfn.XLOOKUP(G212,'🚛 FROTA'!B:B,'🚛 FROTA'!K:K,""))</f>
        <v>Carroceria Cabinado</v>
      </c>
      <c r="L212" s="143" t="s">
        <v>595</v>
      </c>
      <c r="M212" s="143" t="s">
        <v>968</v>
      </c>
      <c r="N212" s="145">
        <v>45863</v>
      </c>
      <c r="O212" s="143">
        <v>1</v>
      </c>
      <c r="P212" s="143">
        <v>3</v>
      </c>
      <c r="Q212" s="167">
        <v>642.25</v>
      </c>
      <c r="R212" s="143" t="s">
        <v>554</v>
      </c>
      <c r="S212" s="122" t="s">
        <v>560</v>
      </c>
      <c r="T212" s="120" t="s">
        <v>522</v>
      </c>
      <c r="U212" s="121" t="s">
        <v>555</v>
      </c>
      <c r="V212" s="119" t="s">
        <v>556</v>
      </c>
      <c r="W212" s="119" t="s">
        <v>969</v>
      </c>
      <c r="X212" s="123" t="s">
        <v>970</v>
      </c>
      <c r="Y212" s="119" t="s">
        <v>971</v>
      </c>
      <c r="Z212" s="124">
        <v>68370</v>
      </c>
      <c r="AA212" s="125"/>
      <c r="AB212" s="126"/>
      <c r="AC212" s="127"/>
      <c r="AD212" s="127"/>
      <c r="AE212" s="127"/>
      <c r="AF212" s="127"/>
      <c r="AG212" s="125"/>
      <c r="AH212" s="128">
        <f t="shared" ca="1" si="12"/>
        <v>45830</v>
      </c>
      <c r="AI212" s="129" t="s">
        <v>602</v>
      </c>
      <c r="AJ212" s="129"/>
      <c r="AK212" s="129"/>
      <c r="AL212" s="129"/>
      <c r="AM212" s="129"/>
    </row>
    <row r="213" spans="1:39" ht="18" hidden="1" customHeight="1" x14ac:dyDescent="0.25">
      <c r="A213" s="117">
        <v>212</v>
      </c>
      <c r="B213" s="117"/>
      <c r="C213" s="118" t="s">
        <v>972</v>
      </c>
      <c r="D213" s="146">
        <f t="array" aca="1" ref="D213" ca="1">SUM(--(_xlfn.UNIQUE(_xlfn._xlws.FILTER($M$2:$M$1011 &amp; "", ($C$2:$C$1011 = C213) * ($M$2:$M$1011 &lt;&gt; ""))) &lt;&gt; ""))</f>
        <v>1</v>
      </c>
      <c r="E213" s="166">
        <f t="shared" ca="1" si="13"/>
        <v>3230</v>
      </c>
      <c r="F213" s="143">
        <v>1</v>
      </c>
      <c r="G213" s="143" t="s">
        <v>166</v>
      </c>
      <c r="H213" s="119">
        <f>_xlfn.XLOOKUP(G213,'🚛 FROTA'!B:B,'🚛 FROTA'!A:A,"")</f>
        <v>41</v>
      </c>
      <c r="I213" s="119"/>
      <c r="J213" s="119" t="str">
        <f>IF(G213="","",_xlfn.XLOOKUP(G213,'🚛 FROTA'!B:B,'🚛 FROTA'!E:E,""))</f>
        <v>Express Delivery</v>
      </c>
      <c r="K213" s="119" t="str">
        <f>IF(G213="","",_xlfn.XLOOKUP(G213,'🚛 FROTA'!B:B,'🚛 FROTA'!K:K,""))</f>
        <v>Carroceria Cabinado</v>
      </c>
      <c r="L213" s="143" t="s">
        <v>876</v>
      </c>
      <c r="M213" s="143" t="s">
        <v>973</v>
      </c>
      <c r="N213" s="145">
        <v>45863</v>
      </c>
      <c r="O213" s="143">
        <v>1</v>
      </c>
      <c r="P213" s="143">
        <v>3</v>
      </c>
      <c r="Q213" s="167">
        <v>500</v>
      </c>
      <c r="R213" s="143" t="s">
        <v>554</v>
      </c>
      <c r="S213" s="122" t="s">
        <v>534</v>
      </c>
      <c r="T213" s="120" t="s">
        <v>522</v>
      </c>
      <c r="U213" s="121" t="s">
        <v>555</v>
      </c>
      <c r="V213" s="119" t="s">
        <v>689</v>
      </c>
      <c r="W213" s="119" t="s">
        <v>974</v>
      </c>
      <c r="X213" s="123" t="s">
        <v>974</v>
      </c>
      <c r="Y213" s="119"/>
      <c r="Z213" s="130"/>
      <c r="AA213" s="125"/>
      <c r="AB213" s="126"/>
      <c r="AC213" s="127"/>
      <c r="AD213" s="127"/>
      <c r="AE213" s="127"/>
      <c r="AF213" s="127"/>
      <c r="AG213" s="125"/>
      <c r="AH213" s="128">
        <f t="shared" ca="1" si="12"/>
        <v>45833</v>
      </c>
      <c r="AI213" s="129" t="s">
        <v>880</v>
      </c>
      <c r="AJ213" s="129"/>
      <c r="AK213" s="129"/>
      <c r="AL213" s="129"/>
      <c r="AM213" s="129"/>
    </row>
    <row r="214" spans="1:39" ht="18" hidden="1" customHeight="1" x14ac:dyDescent="0.25">
      <c r="A214" s="117">
        <v>213</v>
      </c>
      <c r="B214" s="117"/>
      <c r="C214" s="118" t="s">
        <v>975</v>
      </c>
      <c r="D214" s="146">
        <f t="array" aca="1" ref="D214" ca="1">SUM(--(_xlfn.UNIQUE(_xlfn._xlws.FILTER($M$2:$M$1011 &amp; "", ($C$2:$C$1011 = C214) * ($M$2:$M$1011 &lt;&gt; ""))) &lt;&gt; ""))</f>
        <v>1</v>
      </c>
      <c r="E214" s="166">
        <f t="shared" ca="1" si="13"/>
        <v>800</v>
      </c>
      <c r="F214" s="143">
        <v>1</v>
      </c>
      <c r="G214" s="143" t="s">
        <v>166</v>
      </c>
      <c r="H214" s="119">
        <f>_xlfn.XLOOKUP(G214,'🚛 FROTA'!B:B,'🚛 FROTA'!A:A,"")</f>
        <v>41</v>
      </c>
      <c r="I214" s="119"/>
      <c r="J214" s="119" t="str">
        <f>IF(G214="","",_xlfn.XLOOKUP(G214,'🚛 FROTA'!B:B,'🚛 FROTA'!E:E,""))</f>
        <v>Express Delivery</v>
      </c>
      <c r="K214" s="119" t="str">
        <f>IF(G214="","",_xlfn.XLOOKUP(G214,'🚛 FROTA'!B:B,'🚛 FROTA'!K:K,""))</f>
        <v>Carroceria Cabinado</v>
      </c>
      <c r="L214" s="143" t="s">
        <v>976</v>
      </c>
      <c r="M214" s="143" t="s">
        <v>977</v>
      </c>
      <c r="N214" s="145">
        <v>45870</v>
      </c>
      <c r="O214" s="143">
        <v>1</v>
      </c>
      <c r="P214" s="143">
        <v>1</v>
      </c>
      <c r="Q214" s="167">
        <v>800</v>
      </c>
      <c r="R214" s="143" t="s">
        <v>554</v>
      </c>
      <c r="S214" s="122" t="s">
        <v>534</v>
      </c>
      <c r="T214" s="120" t="s">
        <v>522</v>
      </c>
      <c r="U214" s="121" t="s">
        <v>555</v>
      </c>
      <c r="V214" s="119" t="s">
        <v>978</v>
      </c>
      <c r="W214" s="119" t="s">
        <v>979</v>
      </c>
      <c r="X214" s="123" t="s">
        <v>980</v>
      </c>
      <c r="Y214" s="119"/>
      <c r="Z214" s="130"/>
      <c r="AA214" s="125"/>
      <c r="AB214" s="126"/>
      <c r="AC214" s="127"/>
      <c r="AD214" s="127"/>
      <c r="AE214" s="127"/>
      <c r="AF214" s="127"/>
      <c r="AG214" s="125"/>
      <c r="AH214" s="128">
        <f t="shared" ca="1" si="12"/>
        <v>45840</v>
      </c>
      <c r="AI214" s="129" t="s">
        <v>981</v>
      </c>
      <c r="AJ214" s="129"/>
      <c r="AK214" s="129"/>
      <c r="AL214" s="129"/>
      <c r="AM214" s="129"/>
    </row>
    <row r="215" spans="1:39" ht="18" hidden="1" customHeight="1" x14ac:dyDescent="0.25">
      <c r="A215" s="117">
        <v>214</v>
      </c>
      <c r="B215" s="117"/>
      <c r="C215" s="118" t="s">
        <v>982</v>
      </c>
      <c r="D215" s="146">
        <f t="array" aca="1" ref="D215" ca="1">SUM(--(_xlfn.UNIQUE(_xlfn._xlws.FILTER($M$2:$M$1011 &amp; "", ($C$2:$C$1011 = C215) * ($M$2:$M$1011 &lt;&gt; ""))) &lt;&gt; ""))</f>
        <v>1</v>
      </c>
      <c r="E215" s="166">
        <f t="shared" ca="1" si="13"/>
        <v>935.57500000000005</v>
      </c>
      <c r="F215" s="143">
        <v>1</v>
      </c>
      <c r="G215" s="143" t="s">
        <v>166</v>
      </c>
      <c r="H215" s="119">
        <f>_xlfn.XLOOKUP(G215,'🚛 FROTA'!B:B,'🚛 FROTA'!A:A,"")</f>
        <v>41</v>
      </c>
      <c r="I215" s="119"/>
      <c r="J215" s="119" t="str">
        <f>IF(G215="","",_xlfn.XLOOKUP(G215,'🚛 FROTA'!B:B,'🚛 FROTA'!E:E,""))</f>
        <v>Express Delivery</v>
      </c>
      <c r="K215" s="119" t="str">
        <f>IF(G215="","",_xlfn.XLOOKUP(G215,'🚛 FROTA'!B:B,'🚛 FROTA'!K:K,""))</f>
        <v>Carroceria Cabinado</v>
      </c>
      <c r="L215" s="143" t="s">
        <v>881</v>
      </c>
      <c r="M215" s="143" t="s">
        <v>983</v>
      </c>
      <c r="N215" s="145">
        <v>45870</v>
      </c>
      <c r="O215" s="143">
        <v>2</v>
      </c>
      <c r="P215" s="143">
        <v>2</v>
      </c>
      <c r="Q215" s="167">
        <v>935.57500000000005</v>
      </c>
      <c r="R215" s="143" t="s">
        <v>554</v>
      </c>
      <c r="S215" s="122" t="s">
        <v>534</v>
      </c>
      <c r="T215" s="120" t="s">
        <v>522</v>
      </c>
      <c r="U215" s="121" t="s">
        <v>555</v>
      </c>
      <c r="V215" s="119" t="s">
        <v>670</v>
      </c>
      <c r="W215" s="119" t="s">
        <v>920</v>
      </c>
      <c r="X215" s="123" t="s">
        <v>921</v>
      </c>
      <c r="Y215" s="119"/>
      <c r="Z215" s="130"/>
      <c r="AA215" s="125"/>
      <c r="AB215" s="126"/>
      <c r="AC215" s="127"/>
      <c r="AD215" s="127"/>
      <c r="AE215" s="127"/>
      <c r="AF215" s="127"/>
      <c r="AG215" s="125"/>
      <c r="AH215" s="128">
        <f t="shared" ca="1" si="12"/>
        <v>45840</v>
      </c>
      <c r="AI215" s="129"/>
      <c r="AJ215" s="129"/>
      <c r="AK215" s="129"/>
      <c r="AL215" s="129"/>
      <c r="AM215" s="129"/>
    </row>
    <row r="216" spans="1:39" ht="18" hidden="1" customHeight="1" x14ac:dyDescent="0.25">
      <c r="A216" s="117">
        <v>215</v>
      </c>
      <c r="B216" s="117"/>
      <c r="C216" s="118" t="s">
        <v>984</v>
      </c>
      <c r="D216" s="146">
        <f t="array" aca="1" ref="D216" ca="1">SUM(--(_xlfn.UNIQUE(_xlfn._xlws.FILTER($M$2:$M$1011 &amp; "", ($C$2:$C$1011 = C216) * ($M$2:$M$1011 &lt;&gt; ""))) &lt;&gt; ""))</f>
        <v>1</v>
      </c>
      <c r="E216" s="166">
        <f t="shared" ca="1" si="13"/>
        <v>1655.06</v>
      </c>
      <c r="F216" s="143">
        <v>1</v>
      </c>
      <c r="G216" s="143" t="s">
        <v>162</v>
      </c>
      <c r="H216" s="119">
        <f>_xlfn.XLOOKUP(G216,'🚛 FROTA'!B:B,'🚛 FROTA'!A:A,"")</f>
        <v>39</v>
      </c>
      <c r="I216" s="119"/>
      <c r="J216" s="119" t="str">
        <f>IF(G216="","",_xlfn.XLOOKUP(G216,'🚛 FROTA'!B:B,'🚛 FROTA'!E:E,""))</f>
        <v>Express Delivery</v>
      </c>
      <c r="K216" s="119" t="str">
        <f>IF(G216="","",_xlfn.XLOOKUP(G216,'🚛 FROTA'!B:B,'🚛 FROTA'!K:K,""))</f>
        <v>Carroceria Cabinado</v>
      </c>
      <c r="L216" s="143" t="s">
        <v>627</v>
      </c>
      <c r="M216" s="143" t="s">
        <v>985</v>
      </c>
      <c r="N216" s="145">
        <v>45861</v>
      </c>
      <c r="O216" s="143">
        <v>1</v>
      </c>
      <c r="P216" s="143">
        <v>2</v>
      </c>
      <c r="Q216" s="167">
        <v>827.53</v>
      </c>
      <c r="R216" s="143" t="s">
        <v>554</v>
      </c>
      <c r="S216" s="122" t="s">
        <v>560</v>
      </c>
      <c r="T216" s="120" t="s">
        <v>522</v>
      </c>
      <c r="U216" s="121" t="s">
        <v>555</v>
      </c>
      <c r="V216" s="119" t="s">
        <v>556</v>
      </c>
      <c r="W216" s="119" t="s">
        <v>986</v>
      </c>
      <c r="X216" s="123" t="s">
        <v>987</v>
      </c>
      <c r="Y216" s="119"/>
      <c r="Z216" s="130"/>
      <c r="AA216" s="125"/>
      <c r="AB216" s="126"/>
      <c r="AC216" s="127"/>
      <c r="AD216" s="127"/>
      <c r="AE216" s="127"/>
      <c r="AF216" s="127"/>
      <c r="AG216" s="125"/>
      <c r="AH216" s="128">
        <f t="shared" ca="1" si="12"/>
        <v>45831</v>
      </c>
      <c r="AI216" s="129" t="s">
        <v>631</v>
      </c>
      <c r="AJ216" s="129"/>
      <c r="AK216" s="129"/>
      <c r="AL216" s="129"/>
      <c r="AM216" s="129"/>
    </row>
    <row r="217" spans="1:39" ht="18" hidden="1" customHeight="1" x14ac:dyDescent="0.25">
      <c r="A217" s="117">
        <v>216</v>
      </c>
      <c r="B217" s="117"/>
      <c r="C217" s="118" t="s">
        <v>984</v>
      </c>
      <c r="D217" s="146">
        <f t="array" aca="1" ref="D217" ca="1">SUM(--(_xlfn.UNIQUE(_xlfn._xlws.FILTER($M$2:$M$1011 &amp; "", ($C$2:$C$1011 = C217) * ($M$2:$M$1011 &lt;&gt; ""))) &lt;&gt; ""))</f>
        <v>1</v>
      </c>
      <c r="E217" s="166">
        <f t="shared" ca="1" si="13"/>
        <v>1655.06</v>
      </c>
      <c r="F217" s="143">
        <v>1</v>
      </c>
      <c r="G217" s="143" t="s">
        <v>162</v>
      </c>
      <c r="H217" s="119">
        <f>_xlfn.XLOOKUP(G217,'🚛 FROTA'!B:B,'🚛 FROTA'!A:A,"")</f>
        <v>39</v>
      </c>
      <c r="I217" s="119"/>
      <c r="J217" s="119" t="str">
        <f>IF(G217="","",_xlfn.XLOOKUP(G217,'🚛 FROTA'!B:B,'🚛 FROTA'!E:E,""))</f>
        <v>Express Delivery</v>
      </c>
      <c r="K217" s="119" t="str">
        <f>IF(G217="","",_xlfn.XLOOKUP(G217,'🚛 FROTA'!B:B,'🚛 FROTA'!K:K,""))</f>
        <v>Carroceria Cabinado</v>
      </c>
      <c r="L217" s="143" t="s">
        <v>627</v>
      </c>
      <c r="M217" s="143" t="s">
        <v>985</v>
      </c>
      <c r="N217" s="145">
        <v>45891</v>
      </c>
      <c r="O217" s="143">
        <v>2</v>
      </c>
      <c r="P217" s="143">
        <v>2</v>
      </c>
      <c r="Q217" s="167">
        <v>827.53</v>
      </c>
      <c r="R217" s="143" t="s">
        <v>554</v>
      </c>
      <c r="S217" s="122" t="s">
        <v>560</v>
      </c>
      <c r="T217" s="120" t="s">
        <v>522</v>
      </c>
      <c r="U217" s="121" t="s">
        <v>555</v>
      </c>
      <c r="V217" s="119" t="s">
        <v>556</v>
      </c>
      <c r="W217" s="119" t="s">
        <v>986</v>
      </c>
      <c r="X217" s="123" t="s">
        <v>987</v>
      </c>
      <c r="Y217" s="119"/>
      <c r="Z217" s="130"/>
      <c r="AA217" s="125"/>
      <c r="AB217" s="126"/>
      <c r="AC217" s="127"/>
      <c r="AD217" s="127"/>
      <c r="AE217" s="127"/>
      <c r="AF217" s="127"/>
      <c r="AG217" s="125"/>
      <c r="AH217" s="128">
        <f t="shared" ref="AH217:AH245" ca="1" si="14">IF(OR(R217="A VISTA", R217="C. CRÉDITO", R217="ADIANTAMENTO"), N217, IF(R217="Faturado", _xlfn.MINIFS(N:N, C:C, C217)-30, ""))</f>
        <v>45831</v>
      </c>
      <c r="AI217" s="129" t="s">
        <v>631</v>
      </c>
      <c r="AJ217" s="129"/>
      <c r="AK217" s="129"/>
      <c r="AL217" s="129"/>
      <c r="AM217" s="129"/>
    </row>
    <row r="218" spans="1:39" ht="18" hidden="1" customHeight="1" x14ac:dyDescent="0.25">
      <c r="A218" s="117">
        <v>217</v>
      </c>
      <c r="B218" s="117"/>
      <c r="C218" s="118" t="s">
        <v>988</v>
      </c>
      <c r="D218" s="146">
        <f t="array" aca="1" ref="D218" ca="1">SUM(--(_xlfn.UNIQUE(_xlfn._xlws.FILTER($M$2:$M$1011 &amp; "", ($C$2:$C$1011 = C218) * ($M$2:$M$1011 &lt;&gt; ""))) &lt;&gt; ""))</f>
        <v>1</v>
      </c>
      <c r="E218" s="166">
        <f t="shared" ca="1" si="13"/>
        <v>1450</v>
      </c>
      <c r="F218" s="143">
        <v>1</v>
      </c>
      <c r="G218" s="143" t="s">
        <v>174</v>
      </c>
      <c r="H218" s="119">
        <f>_xlfn.XLOOKUP(G218,'🚛 FROTA'!B:B,'🚛 FROTA'!A:A,"")</f>
        <v>47</v>
      </c>
      <c r="I218" s="119"/>
      <c r="J218" s="119" t="str">
        <f>IF(G218="","",_xlfn.XLOOKUP(G218,'🚛 FROTA'!B:B,'🚛 FROTA'!E:E,""))</f>
        <v>Atego 3026</v>
      </c>
      <c r="K218" s="119" t="str">
        <f>IF(G218="","",_xlfn.XLOOKUP(G218,'🚛 FROTA'!B:B,'🚛 FROTA'!K:K,""))</f>
        <v>Prancha</v>
      </c>
      <c r="L218" s="143" t="s">
        <v>989</v>
      </c>
      <c r="M218" s="143" t="s">
        <v>990</v>
      </c>
      <c r="N218" s="145">
        <v>45863</v>
      </c>
      <c r="O218" s="143">
        <v>1</v>
      </c>
      <c r="P218" s="143">
        <v>1</v>
      </c>
      <c r="Q218" s="167">
        <v>1450</v>
      </c>
      <c r="R218" s="143" t="s">
        <v>554</v>
      </c>
      <c r="S218" s="122" t="s">
        <v>534</v>
      </c>
      <c r="T218" s="120" t="s">
        <v>522</v>
      </c>
      <c r="U218" s="121" t="s">
        <v>555</v>
      </c>
      <c r="V218" s="119" t="s">
        <v>56</v>
      </c>
      <c r="W218" s="119" t="s">
        <v>991</v>
      </c>
      <c r="X218" s="123" t="s">
        <v>992</v>
      </c>
      <c r="Y218" s="119" t="s">
        <v>993</v>
      </c>
      <c r="Z218" s="124">
        <v>34540</v>
      </c>
      <c r="AA218" s="125"/>
      <c r="AB218" s="126"/>
      <c r="AC218" s="127"/>
      <c r="AD218" s="127"/>
      <c r="AE218" s="127"/>
      <c r="AF218" s="127"/>
      <c r="AG218" s="125"/>
      <c r="AH218" s="128">
        <f t="shared" ca="1" si="14"/>
        <v>45833</v>
      </c>
      <c r="AI218" s="129" t="s">
        <v>989</v>
      </c>
      <c r="AJ218" s="129"/>
      <c r="AK218" s="129"/>
      <c r="AL218" s="129"/>
      <c r="AM218" s="129"/>
    </row>
    <row r="219" spans="1:39" ht="18" hidden="1" customHeight="1" x14ac:dyDescent="0.25">
      <c r="A219" s="117">
        <v>218</v>
      </c>
      <c r="B219" s="117"/>
      <c r="C219" s="118" t="s">
        <v>465</v>
      </c>
      <c r="D219" s="146">
        <f t="array" aca="1" ref="D219" ca="1">SUM(--(_xlfn.UNIQUE(_xlfn._xlws.FILTER($M$2:$M$1011 &amp; "", ($C$2:$C$1011 = C219) * ($M$2:$M$1011 &lt;&gt; ""))) &lt;&gt; ""))</f>
        <v>2</v>
      </c>
      <c r="E219" s="166">
        <f t="shared" ca="1" si="13"/>
        <v>2615.29</v>
      </c>
      <c r="F219" s="143">
        <v>1</v>
      </c>
      <c r="G219" s="143" t="s">
        <v>166</v>
      </c>
      <c r="H219" s="119">
        <f>_xlfn.XLOOKUP(G219,'🚛 FROTA'!B:B,'🚛 FROTA'!A:A,"")</f>
        <v>41</v>
      </c>
      <c r="I219" s="119"/>
      <c r="J219" s="119" t="str">
        <f>IF(G219="","",_xlfn.XLOOKUP(G219,'🚛 FROTA'!B:B,'🚛 FROTA'!E:E,""))</f>
        <v>Express Delivery</v>
      </c>
      <c r="K219" s="119" t="str">
        <f>IF(G219="","",_xlfn.XLOOKUP(G219,'🚛 FROTA'!B:B,'🚛 FROTA'!K:K,""))</f>
        <v>Carroceria Cabinado</v>
      </c>
      <c r="L219" s="143" t="s">
        <v>627</v>
      </c>
      <c r="M219" s="143" t="s">
        <v>965</v>
      </c>
      <c r="N219" s="145">
        <v>45874</v>
      </c>
      <c r="O219" s="143">
        <v>2</v>
      </c>
      <c r="P219" s="143">
        <v>2</v>
      </c>
      <c r="Q219" s="167">
        <v>344.19</v>
      </c>
      <c r="R219" s="143" t="s">
        <v>554</v>
      </c>
      <c r="S219" s="122" t="s">
        <v>560</v>
      </c>
      <c r="T219" s="120" t="s">
        <v>522</v>
      </c>
      <c r="U219" s="121" t="s">
        <v>555</v>
      </c>
      <c r="V219" s="119" t="s">
        <v>556</v>
      </c>
      <c r="W219" s="119" t="s">
        <v>966</v>
      </c>
      <c r="X219" s="123" t="s">
        <v>967</v>
      </c>
      <c r="Y219" s="119"/>
      <c r="Z219" s="124">
        <v>68370</v>
      </c>
      <c r="AA219" s="125"/>
      <c r="AB219" s="126"/>
      <c r="AC219" s="127"/>
      <c r="AD219" s="127"/>
      <c r="AE219" s="127"/>
      <c r="AF219" s="127"/>
      <c r="AG219" s="125"/>
      <c r="AH219" s="128">
        <f t="shared" ca="1" si="14"/>
        <v>45830</v>
      </c>
      <c r="AI219" s="129" t="s">
        <v>631</v>
      </c>
      <c r="AJ219" s="129"/>
      <c r="AK219" s="129"/>
      <c r="AL219" s="129"/>
      <c r="AM219" s="129"/>
    </row>
    <row r="220" spans="1:39" ht="18" hidden="1" customHeight="1" x14ac:dyDescent="0.25">
      <c r="A220" s="117">
        <v>219</v>
      </c>
      <c r="B220" s="117"/>
      <c r="C220" s="118" t="s">
        <v>994</v>
      </c>
      <c r="D220" s="146">
        <f t="array" aca="1" ref="D220" ca="1">SUM(--(_xlfn.UNIQUE(_xlfn._xlws.FILTER($M$2:$M$1011 &amp; "", ($C$2:$C$1011 = C220) * ($M$2:$M$1011 &lt;&gt; ""))) &lt;&gt; ""))</f>
        <v>1</v>
      </c>
      <c r="E220" s="166">
        <f t="shared" ca="1" si="13"/>
        <v>995.81999999999994</v>
      </c>
      <c r="F220" s="143">
        <v>1</v>
      </c>
      <c r="G220" s="143" t="s">
        <v>166</v>
      </c>
      <c r="H220" s="119">
        <f>_xlfn.XLOOKUP(G220,'🚛 FROTA'!B:B,'🚛 FROTA'!A:A,"")</f>
        <v>41</v>
      </c>
      <c r="I220" s="119"/>
      <c r="J220" s="119" t="str">
        <f>IF(G220="","",_xlfn.XLOOKUP(G220,'🚛 FROTA'!B:B,'🚛 FROTA'!E:E,""))</f>
        <v>Express Delivery</v>
      </c>
      <c r="K220" s="119" t="str">
        <f>IF(G220="","",_xlfn.XLOOKUP(G220,'🚛 FROTA'!B:B,'🚛 FROTA'!K:K,""))</f>
        <v>Carroceria Cabinado</v>
      </c>
      <c r="L220" s="143" t="s">
        <v>627</v>
      </c>
      <c r="M220" s="143" t="s">
        <v>995</v>
      </c>
      <c r="N220" s="145">
        <v>45883</v>
      </c>
      <c r="O220" s="143">
        <v>1</v>
      </c>
      <c r="P220" s="143">
        <v>3</v>
      </c>
      <c r="Q220" s="167">
        <v>331.94</v>
      </c>
      <c r="R220" s="143" t="s">
        <v>554</v>
      </c>
      <c r="S220" s="122" t="s">
        <v>560</v>
      </c>
      <c r="T220" s="120" t="s">
        <v>522</v>
      </c>
      <c r="U220" s="121" t="s">
        <v>597</v>
      </c>
      <c r="V220" s="119" t="s">
        <v>598</v>
      </c>
      <c r="W220" s="119" t="s">
        <v>679</v>
      </c>
      <c r="X220" s="123" t="s">
        <v>680</v>
      </c>
      <c r="Y220" s="119"/>
      <c r="Z220" s="130"/>
      <c r="AA220" s="125"/>
      <c r="AB220" s="126"/>
      <c r="AC220" s="127"/>
      <c r="AD220" s="127"/>
      <c r="AE220" s="127"/>
      <c r="AF220" s="127"/>
      <c r="AG220" s="125"/>
      <c r="AH220" s="128">
        <f t="shared" ca="1" si="14"/>
        <v>45853</v>
      </c>
      <c r="AI220" s="129" t="s">
        <v>631</v>
      </c>
      <c r="AJ220" s="129"/>
      <c r="AK220" s="132">
        <f>IF(Z220="",0,Z220+10000)</f>
        <v>0</v>
      </c>
      <c r="AL220" s="129"/>
      <c r="AM220" s="129"/>
    </row>
    <row r="221" spans="1:39" ht="18" hidden="1" customHeight="1" x14ac:dyDescent="0.25">
      <c r="A221" s="117">
        <v>220</v>
      </c>
      <c r="B221" s="117"/>
      <c r="C221" s="118" t="s">
        <v>465</v>
      </c>
      <c r="D221" s="146">
        <f t="array" aca="1" ref="D221" ca="1">SUM(--(_xlfn.UNIQUE(_xlfn._xlws.FILTER($M$2:$M$1011 &amp; "", ($C$2:$C$1011 = C221) * ($M$2:$M$1011 &lt;&gt; ""))) &lt;&gt; ""))</f>
        <v>2</v>
      </c>
      <c r="E221" s="166">
        <f t="shared" ca="1" si="13"/>
        <v>2615.29</v>
      </c>
      <c r="F221" s="143">
        <v>1</v>
      </c>
      <c r="G221" s="143" t="s">
        <v>166</v>
      </c>
      <c r="H221" s="119">
        <f>_xlfn.XLOOKUP(G221,'🚛 FROTA'!B:B,'🚛 FROTA'!A:A,"")</f>
        <v>41</v>
      </c>
      <c r="I221" s="119"/>
      <c r="J221" s="119" t="str">
        <f>IF(G221="","",_xlfn.XLOOKUP(G221,'🚛 FROTA'!B:B,'🚛 FROTA'!E:E,""))</f>
        <v>Express Delivery</v>
      </c>
      <c r="K221" s="119" t="str">
        <f>IF(G221="","",_xlfn.XLOOKUP(G221,'🚛 FROTA'!B:B,'🚛 FROTA'!K:K,""))</f>
        <v>Carroceria Cabinado</v>
      </c>
      <c r="L221" s="143" t="s">
        <v>595</v>
      </c>
      <c r="M221" s="143" t="s">
        <v>968</v>
      </c>
      <c r="N221" s="145">
        <v>45893</v>
      </c>
      <c r="O221" s="143">
        <v>2</v>
      </c>
      <c r="P221" s="143">
        <v>3</v>
      </c>
      <c r="Q221" s="167">
        <v>642.23</v>
      </c>
      <c r="R221" s="143" t="s">
        <v>554</v>
      </c>
      <c r="S221" s="122" t="s">
        <v>560</v>
      </c>
      <c r="T221" s="120" t="s">
        <v>522</v>
      </c>
      <c r="U221" s="121" t="s">
        <v>555</v>
      </c>
      <c r="V221" s="119" t="s">
        <v>556</v>
      </c>
      <c r="W221" s="119" t="s">
        <v>969</v>
      </c>
      <c r="X221" s="123" t="s">
        <v>970</v>
      </c>
      <c r="Y221" s="119" t="s">
        <v>971</v>
      </c>
      <c r="Z221" s="124">
        <v>68370</v>
      </c>
      <c r="AA221" s="125"/>
      <c r="AB221" s="126"/>
      <c r="AC221" s="127"/>
      <c r="AD221" s="127"/>
      <c r="AE221" s="127"/>
      <c r="AF221" s="127"/>
      <c r="AG221" s="125"/>
      <c r="AH221" s="128">
        <f t="shared" ca="1" si="14"/>
        <v>45830</v>
      </c>
      <c r="AI221" s="129" t="s">
        <v>602</v>
      </c>
      <c r="AJ221" s="129"/>
      <c r="AK221" s="129"/>
      <c r="AL221" s="129"/>
      <c r="AM221" s="129"/>
    </row>
    <row r="222" spans="1:39" ht="18" hidden="1" customHeight="1" x14ac:dyDescent="0.25">
      <c r="A222" s="117">
        <v>221</v>
      </c>
      <c r="B222" s="117"/>
      <c r="C222" s="118" t="s">
        <v>996</v>
      </c>
      <c r="D222" s="146">
        <f t="array" aca="1" ref="D222" ca="1">SUM(--(_xlfn.UNIQUE(_xlfn._xlws.FILTER($M$2:$M$1011 &amp; "", ($C$2:$C$1011 = C222) * ($M$2:$M$1011 &lt;&gt; ""))) &lt;&gt; ""))</f>
        <v>3</v>
      </c>
      <c r="E222" s="166">
        <f t="shared" ca="1" si="13"/>
        <v>6336.74</v>
      </c>
      <c r="F222" s="143">
        <v>1</v>
      </c>
      <c r="G222" s="143" t="s">
        <v>141</v>
      </c>
      <c r="H222" s="119">
        <f>_xlfn.XLOOKUP(G222,'🚛 FROTA'!B:B,'🚛 FROTA'!A:A,"")</f>
        <v>24</v>
      </c>
      <c r="I222" s="119"/>
      <c r="J222" s="119" t="str">
        <f>IF(G222="","",_xlfn.XLOOKUP(G222,'🚛 FROTA'!B:B,'🚛 FROTA'!E:E,""))</f>
        <v>14.190 Constellation</v>
      </c>
      <c r="K222" s="119" t="str">
        <f>IF(G222="","",_xlfn.XLOOKUP(G222,'🚛 FROTA'!B:B,'🚛 FROTA'!K:K,""))</f>
        <v>Munck</v>
      </c>
      <c r="L222" s="143" t="s">
        <v>876</v>
      </c>
      <c r="M222" s="143" t="s">
        <v>973</v>
      </c>
      <c r="N222" s="145">
        <v>45863</v>
      </c>
      <c r="O222" s="143">
        <v>1</v>
      </c>
      <c r="P222" s="143">
        <v>3</v>
      </c>
      <c r="Q222" s="167">
        <v>500</v>
      </c>
      <c r="R222" s="143" t="s">
        <v>554</v>
      </c>
      <c r="S222" s="122" t="s">
        <v>534</v>
      </c>
      <c r="T222" s="120" t="s">
        <v>522</v>
      </c>
      <c r="U222" s="121" t="s">
        <v>555</v>
      </c>
      <c r="V222" s="119" t="s">
        <v>640</v>
      </c>
      <c r="W222" s="119" t="s">
        <v>997</v>
      </c>
      <c r="X222" s="123" t="s">
        <v>998</v>
      </c>
      <c r="Y222" s="119"/>
      <c r="Z222" s="130">
        <v>119806</v>
      </c>
      <c r="AA222" s="125"/>
      <c r="AB222" s="126"/>
      <c r="AC222" s="127"/>
      <c r="AD222" s="127"/>
      <c r="AE222" s="127"/>
      <c r="AF222" s="127"/>
      <c r="AG222" s="125"/>
      <c r="AH222" s="128">
        <f t="shared" ca="1" si="14"/>
        <v>45833</v>
      </c>
      <c r="AI222" s="129" t="s">
        <v>880</v>
      </c>
      <c r="AJ222" s="129"/>
      <c r="AK222" s="129"/>
      <c r="AL222" s="129"/>
      <c r="AM222" s="129"/>
    </row>
    <row r="223" spans="1:39" ht="18" hidden="1" customHeight="1" x14ac:dyDescent="0.25">
      <c r="A223" s="117">
        <v>222</v>
      </c>
      <c r="B223" s="117"/>
      <c r="C223" s="118" t="s">
        <v>996</v>
      </c>
      <c r="D223" s="146">
        <f t="array" aca="1" ref="D223" ca="1">SUM(--(_xlfn.UNIQUE(_xlfn._xlws.FILTER($M$2:$M$1011 &amp; "", ($C$2:$C$1011 = C223) * ($M$2:$M$1011 &lt;&gt; ""))) &lt;&gt; ""))</f>
        <v>3</v>
      </c>
      <c r="E223" s="166">
        <f t="shared" ca="1" si="13"/>
        <v>6336.74</v>
      </c>
      <c r="F223" s="143">
        <v>1</v>
      </c>
      <c r="G223" s="143" t="s">
        <v>141</v>
      </c>
      <c r="H223" s="119">
        <f>_xlfn.XLOOKUP(G223,'🚛 FROTA'!B:B,'🚛 FROTA'!A:A,"")</f>
        <v>24</v>
      </c>
      <c r="I223" s="119"/>
      <c r="J223" s="119" t="str">
        <f>IF(G223="","",_xlfn.XLOOKUP(G223,'🚛 FROTA'!B:B,'🚛 FROTA'!E:E,""))</f>
        <v>14.190 Constellation</v>
      </c>
      <c r="K223" s="119" t="str">
        <f>IF(G223="","",_xlfn.XLOOKUP(G223,'🚛 FROTA'!B:B,'🚛 FROTA'!K:K,""))</f>
        <v>Munck</v>
      </c>
      <c r="L223" s="143" t="s">
        <v>627</v>
      </c>
      <c r="M223" s="143" t="s">
        <v>995</v>
      </c>
      <c r="N223" s="145">
        <v>45883</v>
      </c>
      <c r="O223" s="143">
        <v>1</v>
      </c>
      <c r="P223" s="143">
        <v>3</v>
      </c>
      <c r="Q223" s="167">
        <v>485.58</v>
      </c>
      <c r="R223" s="143" t="s">
        <v>554</v>
      </c>
      <c r="S223" s="122" t="s">
        <v>560</v>
      </c>
      <c r="T223" s="120" t="s">
        <v>522</v>
      </c>
      <c r="U223" s="121" t="s">
        <v>555</v>
      </c>
      <c r="V223" s="119" t="s">
        <v>640</v>
      </c>
      <c r="W223" s="119" t="s">
        <v>999</v>
      </c>
      <c r="X223" s="123" t="s">
        <v>1000</v>
      </c>
      <c r="Y223" s="119"/>
      <c r="Z223" s="130">
        <v>119806</v>
      </c>
      <c r="AA223" s="125"/>
      <c r="AB223" s="126"/>
      <c r="AC223" s="127"/>
      <c r="AD223" s="127"/>
      <c r="AE223" s="127"/>
      <c r="AF223" s="127"/>
      <c r="AG223" s="125"/>
      <c r="AH223" s="128">
        <f t="shared" ca="1" si="14"/>
        <v>45833</v>
      </c>
      <c r="AI223" s="129" t="s">
        <v>631</v>
      </c>
      <c r="AJ223" s="129"/>
      <c r="AK223" s="129"/>
      <c r="AL223" s="129"/>
      <c r="AM223" s="129"/>
    </row>
    <row r="224" spans="1:39" ht="18" hidden="1" customHeight="1" x14ac:dyDescent="0.25">
      <c r="A224" s="117">
        <v>223</v>
      </c>
      <c r="B224" s="117"/>
      <c r="C224" s="118" t="s">
        <v>996</v>
      </c>
      <c r="D224" s="146">
        <f t="array" aca="1" ref="D224" ca="1">SUM(--(_xlfn.UNIQUE(_xlfn._xlws.FILTER($M$2:$M$1011 &amp; "", ($C$2:$C$1011 = C224) * ($M$2:$M$1011 &lt;&gt; ""))) &lt;&gt; ""))</f>
        <v>3</v>
      </c>
      <c r="E224" s="166">
        <f t="shared" ca="1" si="13"/>
        <v>6336.74</v>
      </c>
      <c r="F224" s="143">
        <v>1</v>
      </c>
      <c r="G224" s="143" t="s">
        <v>141</v>
      </c>
      <c r="H224" s="119">
        <f>_xlfn.XLOOKUP(G224,'🚛 FROTA'!B:B,'🚛 FROTA'!A:A,"")</f>
        <v>24</v>
      </c>
      <c r="I224" s="119"/>
      <c r="J224" s="119" t="str">
        <f>IF(G224="","",_xlfn.XLOOKUP(G224,'🚛 FROTA'!B:B,'🚛 FROTA'!E:E,""))</f>
        <v>14.190 Constellation</v>
      </c>
      <c r="K224" s="119" t="str">
        <f>IF(G224="","",_xlfn.XLOOKUP(G224,'🚛 FROTA'!B:B,'🚛 FROTA'!K:K,""))</f>
        <v>Munck</v>
      </c>
      <c r="L224" s="143" t="s">
        <v>876</v>
      </c>
      <c r="M224" s="143" t="s">
        <v>973</v>
      </c>
      <c r="N224" s="145">
        <v>45884</v>
      </c>
      <c r="O224" s="143">
        <v>2</v>
      </c>
      <c r="P224" s="143">
        <v>3</v>
      </c>
      <c r="Q224" s="167">
        <v>1500</v>
      </c>
      <c r="R224" s="143" t="s">
        <v>554</v>
      </c>
      <c r="S224" s="122" t="s">
        <v>534</v>
      </c>
      <c r="T224" s="120" t="s">
        <v>522</v>
      </c>
      <c r="U224" s="121" t="s">
        <v>555</v>
      </c>
      <c r="V224" s="119" t="s">
        <v>640</v>
      </c>
      <c r="W224" s="119" t="s">
        <v>997</v>
      </c>
      <c r="X224" s="123" t="s">
        <v>998</v>
      </c>
      <c r="Y224" s="119"/>
      <c r="Z224" s="130">
        <v>119806</v>
      </c>
      <c r="AA224" s="125"/>
      <c r="AB224" s="126"/>
      <c r="AC224" s="127"/>
      <c r="AD224" s="127"/>
      <c r="AE224" s="127"/>
      <c r="AF224" s="127"/>
      <c r="AG224" s="125"/>
      <c r="AH224" s="128">
        <f t="shared" ca="1" si="14"/>
        <v>45833</v>
      </c>
      <c r="AI224" s="129" t="s">
        <v>880</v>
      </c>
      <c r="AJ224" s="129"/>
      <c r="AK224" s="129"/>
      <c r="AL224" s="129"/>
      <c r="AM224" s="129"/>
    </row>
    <row r="225" spans="1:39" ht="18" hidden="1" customHeight="1" x14ac:dyDescent="0.25">
      <c r="A225" s="117">
        <v>224</v>
      </c>
      <c r="B225" s="117"/>
      <c r="C225" s="118" t="s">
        <v>996</v>
      </c>
      <c r="D225" s="146">
        <f t="array" aca="1" ref="D225" ca="1">SUM(--(_xlfn.UNIQUE(_xlfn._xlws.FILTER($M$2:$M$1011 &amp; "", ($C$2:$C$1011 = C225) * ($M$2:$M$1011 &lt;&gt; ""))) &lt;&gt; ""))</f>
        <v>3</v>
      </c>
      <c r="E225" s="166">
        <f t="shared" ca="1" si="13"/>
        <v>6336.74</v>
      </c>
      <c r="F225" s="143">
        <v>1</v>
      </c>
      <c r="G225" s="143" t="s">
        <v>141</v>
      </c>
      <c r="H225" s="119">
        <f>_xlfn.XLOOKUP(G225,'🚛 FROTA'!B:B,'🚛 FROTA'!A:A,"")</f>
        <v>24</v>
      </c>
      <c r="I225" s="119"/>
      <c r="J225" s="119" t="str">
        <f>IF(G225="","",_xlfn.XLOOKUP(G225,'🚛 FROTA'!B:B,'🚛 FROTA'!E:E,""))</f>
        <v>14.190 Constellation</v>
      </c>
      <c r="K225" s="119" t="str">
        <f>IF(G225="","",_xlfn.XLOOKUP(G225,'🚛 FROTA'!B:B,'🚛 FROTA'!K:K,""))</f>
        <v>Munck</v>
      </c>
      <c r="L225" s="143" t="s">
        <v>638</v>
      </c>
      <c r="M225" s="143" t="s">
        <v>1001</v>
      </c>
      <c r="N225" s="145">
        <v>45894</v>
      </c>
      <c r="O225" s="143">
        <v>1</v>
      </c>
      <c r="P225" s="143">
        <v>3</v>
      </c>
      <c r="Q225" s="167">
        <v>460</v>
      </c>
      <c r="R225" s="143" t="s">
        <v>554</v>
      </c>
      <c r="S225" s="122" t="s">
        <v>534</v>
      </c>
      <c r="T225" s="120" t="s">
        <v>522</v>
      </c>
      <c r="U225" s="121" t="s">
        <v>555</v>
      </c>
      <c r="V225" s="119" t="s">
        <v>56</v>
      </c>
      <c r="W225" s="119" t="s">
        <v>1002</v>
      </c>
      <c r="X225" s="123" t="s">
        <v>1003</v>
      </c>
      <c r="Y225" s="119"/>
      <c r="Z225" s="124">
        <v>119806</v>
      </c>
      <c r="AA225" s="125"/>
      <c r="AB225" s="126"/>
      <c r="AC225" s="127"/>
      <c r="AD225" s="127"/>
      <c r="AE225" s="127"/>
      <c r="AF225" s="127"/>
      <c r="AG225" s="125"/>
      <c r="AH225" s="128">
        <f t="shared" ca="1" si="14"/>
        <v>45833</v>
      </c>
      <c r="AI225" s="129"/>
      <c r="AJ225" s="129"/>
      <c r="AK225" s="129"/>
      <c r="AL225" s="129"/>
      <c r="AM225" s="129"/>
    </row>
    <row r="226" spans="1:39" ht="18" hidden="1" customHeight="1" x14ac:dyDescent="0.25">
      <c r="A226" s="117">
        <v>225</v>
      </c>
      <c r="B226" s="117"/>
      <c r="C226" s="118" t="s">
        <v>996</v>
      </c>
      <c r="D226" s="146">
        <f t="array" aca="1" ref="D226" ca="1">SUM(--(_xlfn.UNIQUE(_xlfn._xlws.FILTER($M$2:$M$1011 &amp; "", ($C$2:$C$1011 = C226) * ($M$2:$M$1011 &lt;&gt; ""))) &lt;&gt; ""))</f>
        <v>3</v>
      </c>
      <c r="E226" s="166">
        <f t="shared" ca="1" si="13"/>
        <v>6336.74</v>
      </c>
      <c r="F226" s="143">
        <v>1</v>
      </c>
      <c r="G226" s="143" t="s">
        <v>141</v>
      </c>
      <c r="H226" s="119">
        <f>_xlfn.XLOOKUP(G226,'🚛 FROTA'!B:B,'🚛 FROTA'!A:A,"")</f>
        <v>24</v>
      </c>
      <c r="I226" s="119"/>
      <c r="J226" s="119" t="str">
        <f>IF(G226="","",_xlfn.XLOOKUP(G226,'🚛 FROTA'!B:B,'🚛 FROTA'!E:E,""))</f>
        <v>14.190 Constellation</v>
      </c>
      <c r="K226" s="119" t="str">
        <f>IF(G226="","",_xlfn.XLOOKUP(G226,'🚛 FROTA'!B:B,'🚛 FROTA'!K:K,""))</f>
        <v>Munck</v>
      </c>
      <c r="L226" s="143" t="s">
        <v>638</v>
      </c>
      <c r="M226" s="143" t="s">
        <v>1001</v>
      </c>
      <c r="N226" s="145">
        <v>45912</v>
      </c>
      <c r="O226" s="143">
        <v>2</v>
      </c>
      <c r="P226" s="143">
        <v>3</v>
      </c>
      <c r="Q226" s="167">
        <v>460</v>
      </c>
      <c r="R226" s="143" t="s">
        <v>554</v>
      </c>
      <c r="S226" s="122" t="s">
        <v>534</v>
      </c>
      <c r="T226" s="120" t="s">
        <v>522</v>
      </c>
      <c r="U226" s="121" t="s">
        <v>555</v>
      </c>
      <c r="V226" s="119" t="s">
        <v>56</v>
      </c>
      <c r="W226" s="119" t="s">
        <v>1002</v>
      </c>
      <c r="X226" s="123" t="s">
        <v>1003</v>
      </c>
      <c r="Y226" s="119"/>
      <c r="Z226" s="124">
        <v>119806</v>
      </c>
      <c r="AA226" s="125"/>
      <c r="AB226" s="126"/>
      <c r="AC226" s="127"/>
      <c r="AD226" s="127"/>
      <c r="AE226" s="127"/>
      <c r="AF226" s="127"/>
      <c r="AG226" s="125"/>
      <c r="AH226" s="128">
        <f t="shared" ca="1" si="14"/>
        <v>45833</v>
      </c>
      <c r="AI226" s="129"/>
      <c r="AJ226" s="129"/>
      <c r="AK226" s="129"/>
      <c r="AL226" s="129"/>
      <c r="AM226" s="129"/>
    </row>
    <row r="227" spans="1:39" ht="18" hidden="1" customHeight="1" x14ac:dyDescent="0.25">
      <c r="A227" s="117">
        <v>226</v>
      </c>
      <c r="B227" s="117"/>
      <c r="C227" s="118" t="s">
        <v>996</v>
      </c>
      <c r="D227" s="146">
        <f t="array" aca="1" ref="D227" ca="1">SUM(--(_xlfn.UNIQUE(_xlfn._xlws.FILTER($M$2:$M$1011 &amp; "", ($C$2:$C$1011 = C227) * ($M$2:$M$1011 &lt;&gt; ""))) &lt;&gt; ""))</f>
        <v>3</v>
      </c>
      <c r="E227" s="166">
        <f t="shared" ca="1" si="13"/>
        <v>6336.74</v>
      </c>
      <c r="F227" s="143">
        <v>1</v>
      </c>
      <c r="G227" s="143" t="s">
        <v>141</v>
      </c>
      <c r="H227" s="119">
        <f>_xlfn.XLOOKUP(G227,'🚛 FROTA'!B:B,'🚛 FROTA'!A:A,"")</f>
        <v>24</v>
      </c>
      <c r="I227" s="119"/>
      <c r="J227" s="119" t="str">
        <f>IF(G227="","",_xlfn.XLOOKUP(G227,'🚛 FROTA'!B:B,'🚛 FROTA'!E:E,""))</f>
        <v>14.190 Constellation</v>
      </c>
      <c r="K227" s="119" t="str">
        <f>IF(G227="","",_xlfn.XLOOKUP(G227,'🚛 FROTA'!B:B,'🚛 FROTA'!K:K,""))</f>
        <v>Munck</v>
      </c>
      <c r="L227" s="143" t="s">
        <v>627</v>
      </c>
      <c r="M227" s="143" t="s">
        <v>995</v>
      </c>
      <c r="N227" s="145">
        <v>45915</v>
      </c>
      <c r="O227" s="143">
        <v>2</v>
      </c>
      <c r="P227" s="143">
        <v>3</v>
      </c>
      <c r="Q227" s="167">
        <v>485.58</v>
      </c>
      <c r="R227" s="143" t="s">
        <v>554</v>
      </c>
      <c r="S227" s="122" t="s">
        <v>560</v>
      </c>
      <c r="T227" s="120" t="s">
        <v>522</v>
      </c>
      <c r="U227" s="121" t="s">
        <v>555</v>
      </c>
      <c r="V227" s="119" t="s">
        <v>640</v>
      </c>
      <c r="W227" s="119" t="s">
        <v>999</v>
      </c>
      <c r="X227" s="123" t="s">
        <v>1000</v>
      </c>
      <c r="Y227" s="119"/>
      <c r="Z227" s="130">
        <v>119806</v>
      </c>
      <c r="AA227" s="125"/>
      <c r="AB227" s="126"/>
      <c r="AC227" s="127"/>
      <c r="AD227" s="127"/>
      <c r="AE227" s="127"/>
      <c r="AF227" s="127"/>
      <c r="AG227" s="125"/>
      <c r="AH227" s="128">
        <f t="shared" ca="1" si="14"/>
        <v>45833</v>
      </c>
      <c r="AI227" s="129" t="s">
        <v>631</v>
      </c>
      <c r="AJ227" s="129"/>
      <c r="AK227" s="129"/>
      <c r="AL227" s="129"/>
      <c r="AM227" s="129"/>
    </row>
    <row r="228" spans="1:39" ht="18" hidden="1" customHeight="1" x14ac:dyDescent="0.25">
      <c r="A228" s="117">
        <v>227</v>
      </c>
      <c r="B228" s="117"/>
      <c r="C228" s="118" t="s">
        <v>996</v>
      </c>
      <c r="D228" s="146">
        <f t="array" aca="1" ref="D228" ca="1">SUM(--(_xlfn.UNIQUE(_xlfn._xlws.FILTER($M$2:$M$1011 &amp; "", ($C$2:$C$1011 = C228) * ($M$2:$M$1011 &lt;&gt; ""))) &lt;&gt; ""))</f>
        <v>3</v>
      </c>
      <c r="E228" s="166">
        <f t="shared" ca="1" si="13"/>
        <v>6336.74</v>
      </c>
      <c r="F228" s="143">
        <v>1</v>
      </c>
      <c r="G228" s="143" t="s">
        <v>141</v>
      </c>
      <c r="H228" s="119">
        <f>_xlfn.XLOOKUP(G228,'🚛 FROTA'!B:B,'🚛 FROTA'!A:A,"")</f>
        <v>24</v>
      </c>
      <c r="I228" s="119"/>
      <c r="J228" s="119" t="str">
        <f>IF(G228="","",_xlfn.XLOOKUP(G228,'🚛 FROTA'!B:B,'🚛 FROTA'!E:E,""))</f>
        <v>14.190 Constellation</v>
      </c>
      <c r="K228" s="119" t="str">
        <f>IF(G228="","",_xlfn.XLOOKUP(G228,'🚛 FROTA'!B:B,'🚛 FROTA'!K:K,""))</f>
        <v>Munck</v>
      </c>
      <c r="L228" s="143" t="s">
        <v>876</v>
      </c>
      <c r="M228" s="143" t="s">
        <v>973</v>
      </c>
      <c r="N228" s="145">
        <v>45915</v>
      </c>
      <c r="O228" s="143">
        <v>3</v>
      </c>
      <c r="P228" s="143">
        <v>3</v>
      </c>
      <c r="Q228" s="167">
        <v>1500</v>
      </c>
      <c r="R228" s="143" t="s">
        <v>554</v>
      </c>
      <c r="S228" s="122" t="s">
        <v>534</v>
      </c>
      <c r="T228" s="120" t="s">
        <v>522</v>
      </c>
      <c r="U228" s="121" t="s">
        <v>555</v>
      </c>
      <c r="V228" s="119" t="s">
        <v>640</v>
      </c>
      <c r="W228" s="119" t="s">
        <v>997</v>
      </c>
      <c r="X228" s="123" t="s">
        <v>998</v>
      </c>
      <c r="Y228" s="119"/>
      <c r="Z228" s="130">
        <v>119806</v>
      </c>
      <c r="AA228" s="125"/>
      <c r="AB228" s="126"/>
      <c r="AC228" s="127"/>
      <c r="AD228" s="127"/>
      <c r="AE228" s="127"/>
      <c r="AF228" s="127"/>
      <c r="AG228" s="125"/>
      <c r="AH228" s="128">
        <f t="shared" ca="1" si="14"/>
        <v>45833</v>
      </c>
      <c r="AI228" s="129" t="s">
        <v>880</v>
      </c>
      <c r="AJ228" s="129"/>
      <c r="AK228" s="129"/>
      <c r="AL228" s="129"/>
      <c r="AM228" s="129"/>
    </row>
    <row r="229" spans="1:39" ht="18" hidden="1" customHeight="1" x14ac:dyDescent="0.25">
      <c r="A229" s="117">
        <v>228</v>
      </c>
      <c r="B229" s="117"/>
      <c r="C229" s="118" t="s">
        <v>996</v>
      </c>
      <c r="D229" s="146">
        <f t="array" aca="1" ref="D229" ca="1">SUM(--(_xlfn.UNIQUE(_xlfn._xlws.FILTER($M$2:$M$1011 &amp; "", ($C$2:$C$1011 = C229) * ($M$2:$M$1011 &lt;&gt; ""))) &lt;&gt; ""))</f>
        <v>3</v>
      </c>
      <c r="E229" s="166">
        <f t="shared" ca="1" si="13"/>
        <v>6336.74</v>
      </c>
      <c r="F229" s="143">
        <v>1</v>
      </c>
      <c r="G229" s="143" t="s">
        <v>141</v>
      </c>
      <c r="H229" s="119">
        <f>_xlfn.XLOOKUP(G229,'🚛 FROTA'!B:B,'🚛 FROTA'!A:A,"")</f>
        <v>24</v>
      </c>
      <c r="I229" s="119"/>
      <c r="J229" s="119" t="str">
        <f>IF(G229="","",_xlfn.XLOOKUP(G229,'🚛 FROTA'!B:B,'🚛 FROTA'!E:E,""))</f>
        <v>14.190 Constellation</v>
      </c>
      <c r="K229" s="119" t="str">
        <f>IF(G229="","",_xlfn.XLOOKUP(G229,'🚛 FROTA'!B:B,'🚛 FROTA'!K:K,""))</f>
        <v>Munck</v>
      </c>
      <c r="L229" s="143" t="s">
        <v>638</v>
      </c>
      <c r="M229" s="143" t="s">
        <v>1001</v>
      </c>
      <c r="N229" s="145">
        <v>45930</v>
      </c>
      <c r="O229" s="143">
        <v>3</v>
      </c>
      <c r="P229" s="143">
        <v>3</v>
      </c>
      <c r="Q229" s="167">
        <v>460</v>
      </c>
      <c r="R229" s="143" t="s">
        <v>554</v>
      </c>
      <c r="S229" s="122" t="s">
        <v>534</v>
      </c>
      <c r="T229" s="120" t="s">
        <v>522</v>
      </c>
      <c r="U229" s="121" t="s">
        <v>555</v>
      </c>
      <c r="V229" s="119" t="s">
        <v>56</v>
      </c>
      <c r="W229" s="119" t="s">
        <v>1002</v>
      </c>
      <c r="X229" s="123" t="s">
        <v>1003</v>
      </c>
      <c r="Y229" s="119"/>
      <c r="Z229" s="124">
        <v>119806</v>
      </c>
      <c r="AA229" s="125"/>
      <c r="AB229" s="126"/>
      <c r="AC229" s="127"/>
      <c r="AD229" s="127"/>
      <c r="AE229" s="127"/>
      <c r="AF229" s="127"/>
      <c r="AG229" s="125"/>
      <c r="AH229" s="128">
        <f t="shared" ca="1" si="14"/>
        <v>45833</v>
      </c>
      <c r="AI229" s="129"/>
      <c r="AJ229" s="129"/>
      <c r="AK229" s="129"/>
      <c r="AL229" s="129"/>
      <c r="AM229" s="129"/>
    </row>
    <row r="230" spans="1:39" ht="18" hidden="1" customHeight="1" x14ac:dyDescent="0.25">
      <c r="A230" s="117">
        <v>229</v>
      </c>
      <c r="B230" s="117"/>
      <c r="C230" s="118" t="s">
        <v>996</v>
      </c>
      <c r="D230" s="146">
        <f t="array" aca="1" ref="D230" ca="1">SUM(--(_xlfn.UNIQUE(_xlfn._xlws.FILTER($M$2:$M$1011 &amp; "", ($C$2:$C$1011 = C230) * ($M$2:$M$1011 &lt;&gt; ""))) &lt;&gt; ""))</f>
        <v>3</v>
      </c>
      <c r="E230" s="166">
        <f t="shared" ca="1" si="13"/>
        <v>6336.74</v>
      </c>
      <c r="F230" s="143">
        <v>1</v>
      </c>
      <c r="G230" s="143" t="s">
        <v>141</v>
      </c>
      <c r="H230" s="119">
        <f>_xlfn.XLOOKUP(G230,'🚛 FROTA'!B:B,'🚛 FROTA'!A:A,"")</f>
        <v>24</v>
      </c>
      <c r="I230" s="119"/>
      <c r="J230" s="119" t="str">
        <f>IF(G230="","",_xlfn.XLOOKUP(G230,'🚛 FROTA'!B:B,'🚛 FROTA'!E:E,""))</f>
        <v>14.190 Constellation</v>
      </c>
      <c r="K230" s="119" t="str">
        <f>IF(G230="","",_xlfn.XLOOKUP(G230,'🚛 FROTA'!B:B,'🚛 FROTA'!K:K,""))</f>
        <v>Munck</v>
      </c>
      <c r="L230" s="143" t="s">
        <v>627</v>
      </c>
      <c r="M230" s="143" t="s">
        <v>995</v>
      </c>
      <c r="N230" s="145">
        <v>45943</v>
      </c>
      <c r="O230" s="143">
        <v>3</v>
      </c>
      <c r="P230" s="143">
        <v>3</v>
      </c>
      <c r="Q230" s="167">
        <v>485.58</v>
      </c>
      <c r="R230" s="143" t="s">
        <v>554</v>
      </c>
      <c r="S230" s="122" t="s">
        <v>560</v>
      </c>
      <c r="T230" s="120" t="s">
        <v>522</v>
      </c>
      <c r="U230" s="121" t="s">
        <v>555</v>
      </c>
      <c r="V230" s="119" t="s">
        <v>640</v>
      </c>
      <c r="W230" s="119" t="s">
        <v>999</v>
      </c>
      <c r="X230" s="123" t="s">
        <v>1000</v>
      </c>
      <c r="Y230" s="119"/>
      <c r="Z230" s="130">
        <v>119806</v>
      </c>
      <c r="AA230" s="125"/>
      <c r="AB230" s="126"/>
      <c r="AC230" s="127"/>
      <c r="AD230" s="127"/>
      <c r="AE230" s="127"/>
      <c r="AF230" s="127"/>
      <c r="AG230" s="125"/>
      <c r="AH230" s="128">
        <f t="shared" ca="1" si="14"/>
        <v>45833</v>
      </c>
      <c r="AI230" s="129" t="s">
        <v>631</v>
      </c>
      <c r="AJ230" s="129"/>
      <c r="AK230" s="129"/>
      <c r="AL230" s="129"/>
      <c r="AM230" s="129"/>
    </row>
    <row r="231" spans="1:39" ht="18" hidden="1" customHeight="1" x14ac:dyDescent="0.25">
      <c r="A231" s="117">
        <v>230</v>
      </c>
      <c r="B231" s="117"/>
      <c r="C231" s="118" t="s">
        <v>1004</v>
      </c>
      <c r="D231" s="146">
        <f t="array" aca="1" ref="D231" ca="1">SUM(--(_xlfn.UNIQUE(_xlfn._xlws.FILTER($M$2:$M$1011 &amp; "", ($C$2:$C$1011 = C231) * ($M$2:$M$1011 &lt;&gt; ""))) &lt;&gt; ""))</f>
        <v>2</v>
      </c>
      <c r="E231" s="166">
        <f t="shared" ca="1" si="13"/>
        <v>1155.49</v>
      </c>
      <c r="F231" s="143">
        <v>1</v>
      </c>
      <c r="G231" s="143" t="s">
        <v>128</v>
      </c>
      <c r="H231" s="119">
        <f>_xlfn.XLOOKUP(G231,'🚛 FROTA'!B:B,'🚛 FROTA'!A:A,"")</f>
        <v>20</v>
      </c>
      <c r="I231" s="119"/>
      <c r="J231" s="119" t="str">
        <f>IF(G231="","",_xlfn.XLOOKUP(G231,'🚛 FROTA'!B:B,'🚛 FROTA'!E:E,""))</f>
        <v>3CX</v>
      </c>
      <c r="K231" s="119"/>
      <c r="L231" s="143" t="s">
        <v>1005</v>
      </c>
      <c r="M231" s="143" t="s">
        <v>1006</v>
      </c>
      <c r="N231" s="145">
        <v>45869</v>
      </c>
      <c r="O231" s="143">
        <v>1</v>
      </c>
      <c r="P231" s="143">
        <v>1</v>
      </c>
      <c r="Q231" s="167">
        <v>383.49</v>
      </c>
      <c r="R231" s="143" t="s">
        <v>554</v>
      </c>
      <c r="S231" s="122" t="s">
        <v>560</v>
      </c>
      <c r="T231" s="120" t="s">
        <v>522</v>
      </c>
      <c r="U231" s="121" t="s">
        <v>555</v>
      </c>
      <c r="V231" s="119" t="s">
        <v>568</v>
      </c>
      <c r="W231" s="119" t="s">
        <v>1007</v>
      </c>
      <c r="X231" s="123" t="s">
        <v>1008</v>
      </c>
      <c r="Y231" s="119" t="s">
        <v>1009</v>
      </c>
      <c r="Z231" s="130"/>
      <c r="AA231" s="125"/>
      <c r="AB231" s="126"/>
      <c r="AC231" s="127"/>
      <c r="AD231" s="127"/>
      <c r="AE231" s="127"/>
      <c r="AF231" s="127"/>
      <c r="AG231" s="125"/>
      <c r="AH231" s="128">
        <f t="shared" ca="1" si="14"/>
        <v>45839</v>
      </c>
      <c r="AI231" s="129"/>
      <c r="AJ231" s="129"/>
      <c r="AK231" s="129"/>
      <c r="AL231" s="129"/>
      <c r="AM231" s="129"/>
    </row>
    <row r="232" spans="1:39" ht="18" hidden="1" customHeight="1" x14ac:dyDescent="0.25">
      <c r="A232" s="117">
        <v>231</v>
      </c>
      <c r="B232" s="117"/>
      <c r="C232" s="118" t="s">
        <v>1004</v>
      </c>
      <c r="D232" s="146">
        <f t="array" aca="1" ref="D232" ca="1">SUM(--(_xlfn.UNIQUE(_xlfn._xlws.FILTER($M$2:$M$1011 &amp; "", ($C$2:$C$1011 = C232) * ($M$2:$M$1011 &lt;&gt; ""))) &lt;&gt; ""))</f>
        <v>2</v>
      </c>
      <c r="E232" s="166">
        <f t="shared" ca="1" si="13"/>
        <v>1155.49</v>
      </c>
      <c r="F232" s="143">
        <v>1</v>
      </c>
      <c r="G232" s="143" t="s">
        <v>128</v>
      </c>
      <c r="H232" s="119">
        <f>_xlfn.XLOOKUP(G232,'🚛 FROTA'!B:B,'🚛 FROTA'!A:A,"")</f>
        <v>20</v>
      </c>
      <c r="I232" s="119"/>
      <c r="J232" s="119" t="str">
        <f>IF(G232="","",_xlfn.XLOOKUP(G232,'🚛 FROTA'!B:B,'🚛 FROTA'!E:E,""))</f>
        <v>3CX</v>
      </c>
      <c r="K232" s="119"/>
      <c r="L232" s="143" t="s">
        <v>795</v>
      </c>
      <c r="M232" s="143" t="s">
        <v>1010</v>
      </c>
      <c r="N232" s="145">
        <v>45874</v>
      </c>
      <c r="O232" s="143">
        <v>1</v>
      </c>
      <c r="P232" s="143">
        <v>1</v>
      </c>
      <c r="Q232" s="167">
        <v>772</v>
      </c>
      <c r="R232" s="143" t="s">
        <v>554</v>
      </c>
      <c r="S232" s="122" t="s">
        <v>560</v>
      </c>
      <c r="T232" s="120" t="s">
        <v>522</v>
      </c>
      <c r="U232" s="121" t="s">
        <v>555</v>
      </c>
      <c r="V232" s="119" t="s">
        <v>568</v>
      </c>
      <c r="W232" s="119" t="s">
        <v>1007</v>
      </c>
      <c r="X232" s="123" t="s">
        <v>1011</v>
      </c>
      <c r="Y232" s="119" t="s">
        <v>1012</v>
      </c>
      <c r="Z232" s="130"/>
      <c r="AA232" s="125"/>
      <c r="AB232" s="126"/>
      <c r="AC232" s="127"/>
      <c r="AD232" s="127"/>
      <c r="AE232" s="127"/>
      <c r="AF232" s="127"/>
      <c r="AG232" s="125"/>
      <c r="AH232" s="128">
        <f t="shared" ca="1" si="14"/>
        <v>45839</v>
      </c>
      <c r="AI232" s="129"/>
      <c r="AJ232" s="129"/>
      <c r="AK232" s="129"/>
      <c r="AL232" s="129"/>
      <c r="AM232" s="129"/>
    </row>
    <row r="233" spans="1:39" ht="18" hidden="1" customHeight="1" x14ac:dyDescent="0.25">
      <c r="A233" s="117">
        <v>232</v>
      </c>
      <c r="B233" s="117"/>
      <c r="C233" s="118" t="s">
        <v>972</v>
      </c>
      <c r="D233" s="146">
        <f t="array" aca="1" ref="D233" ca="1">SUM(--(_xlfn.UNIQUE(_xlfn._xlws.FILTER($M$2:$M$1011 &amp; "", ($C$2:$C$1011 = C233) * ($M$2:$M$1011 &lt;&gt; ""))) &lt;&gt; ""))</f>
        <v>1</v>
      </c>
      <c r="E233" s="166">
        <f t="shared" ca="1" si="13"/>
        <v>3230</v>
      </c>
      <c r="F233" s="143">
        <v>1</v>
      </c>
      <c r="G233" s="143" t="s">
        <v>166</v>
      </c>
      <c r="H233" s="119">
        <f>_xlfn.XLOOKUP(G233,'🚛 FROTA'!B:B,'🚛 FROTA'!A:A,"")</f>
        <v>41</v>
      </c>
      <c r="I233" s="119"/>
      <c r="J233" s="119" t="str">
        <f>IF(G233="","",_xlfn.XLOOKUP(G233,'🚛 FROTA'!B:B,'🚛 FROTA'!E:E,""))</f>
        <v>Express Delivery</v>
      </c>
      <c r="K233" s="119" t="str">
        <f>IF(G233="","",_xlfn.XLOOKUP(G233,'🚛 FROTA'!B:B,'🚛 FROTA'!K:K,""))</f>
        <v>Carroceria Cabinado</v>
      </c>
      <c r="L233" s="143" t="s">
        <v>876</v>
      </c>
      <c r="M233" s="143" t="s">
        <v>973</v>
      </c>
      <c r="N233" s="145">
        <v>45915</v>
      </c>
      <c r="O233" s="143">
        <v>2</v>
      </c>
      <c r="P233" s="143">
        <v>3</v>
      </c>
      <c r="Q233" s="167">
        <v>1365</v>
      </c>
      <c r="R233" s="143" t="s">
        <v>554</v>
      </c>
      <c r="S233" s="122" t="s">
        <v>534</v>
      </c>
      <c r="T233" s="120" t="s">
        <v>522</v>
      </c>
      <c r="U233" s="121" t="s">
        <v>555</v>
      </c>
      <c r="V233" s="119" t="s">
        <v>689</v>
      </c>
      <c r="W233" s="119" t="s">
        <v>974</v>
      </c>
      <c r="X233" s="123" t="s">
        <v>974</v>
      </c>
      <c r="Y233" s="119"/>
      <c r="Z233" s="130"/>
      <c r="AA233" s="125"/>
      <c r="AB233" s="126"/>
      <c r="AC233" s="127"/>
      <c r="AD233" s="127"/>
      <c r="AE233" s="127"/>
      <c r="AF233" s="127"/>
      <c r="AG233" s="125"/>
      <c r="AH233" s="128">
        <f t="shared" ca="1" si="14"/>
        <v>45833</v>
      </c>
      <c r="AI233" s="129" t="s">
        <v>880</v>
      </c>
      <c r="AJ233" s="129"/>
      <c r="AK233" s="129"/>
      <c r="AL233" s="129"/>
      <c r="AM233" s="129"/>
    </row>
    <row r="234" spans="1:39" ht="18" hidden="1" customHeight="1" x14ac:dyDescent="0.25">
      <c r="A234" s="117">
        <v>233</v>
      </c>
      <c r="B234" s="117"/>
      <c r="C234" s="118" t="s">
        <v>972</v>
      </c>
      <c r="D234" s="146">
        <f t="array" aca="1" ref="D234" ca="1">SUM(--(_xlfn.UNIQUE(_xlfn._xlws.FILTER($M$2:$M$1011 &amp; "", ($C$2:$C$1011 = C234) * ($M$2:$M$1011 &lt;&gt; ""))) &lt;&gt; ""))</f>
        <v>1</v>
      </c>
      <c r="E234" s="166">
        <f t="shared" ca="1" si="13"/>
        <v>3230</v>
      </c>
      <c r="F234" s="143">
        <v>1</v>
      </c>
      <c r="G234" s="143" t="s">
        <v>166</v>
      </c>
      <c r="H234" s="119">
        <f>_xlfn.XLOOKUP(G234,'🚛 FROTA'!B:B,'🚛 FROTA'!A:A,"")</f>
        <v>41</v>
      </c>
      <c r="I234" s="119"/>
      <c r="J234" s="119" t="str">
        <f>IF(G234="","",_xlfn.XLOOKUP(G234,'🚛 FROTA'!B:B,'🚛 FROTA'!E:E,""))</f>
        <v>Express Delivery</v>
      </c>
      <c r="K234" s="119" t="str">
        <f>IF(G234="","",_xlfn.XLOOKUP(G234,'🚛 FROTA'!B:B,'🚛 FROTA'!K:K,""))</f>
        <v>Carroceria Cabinado</v>
      </c>
      <c r="L234" s="143" t="s">
        <v>876</v>
      </c>
      <c r="M234" s="143" t="s">
        <v>973</v>
      </c>
      <c r="N234" s="145">
        <v>45915</v>
      </c>
      <c r="O234" s="143">
        <v>3</v>
      </c>
      <c r="P234" s="143">
        <v>3</v>
      </c>
      <c r="Q234" s="167">
        <v>1365</v>
      </c>
      <c r="R234" s="143" t="s">
        <v>554</v>
      </c>
      <c r="S234" s="122" t="s">
        <v>534</v>
      </c>
      <c r="T234" s="120" t="s">
        <v>522</v>
      </c>
      <c r="U234" s="121" t="s">
        <v>555</v>
      </c>
      <c r="V234" s="119" t="s">
        <v>689</v>
      </c>
      <c r="W234" s="119" t="s">
        <v>974</v>
      </c>
      <c r="X234" s="123" t="s">
        <v>974</v>
      </c>
      <c r="Y234" s="119"/>
      <c r="Z234" s="130"/>
      <c r="AA234" s="125"/>
      <c r="AB234" s="126"/>
      <c r="AC234" s="127"/>
      <c r="AD234" s="127"/>
      <c r="AE234" s="127"/>
      <c r="AF234" s="127"/>
      <c r="AG234" s="125"/>
      <c r="AH234" s="128">
        <f t="shared" ca="1" si="14"/>
        <v>45833</v>
      </c>
      <c r="AI234" s="129" t="s">
        <v>880</v>
      </c>
      <c r="AJ234" s="129"/>
      <c r="AK234" s="129"/>
      <c r="AL234" s="129"/>
      <c r="AM234" s="129"/>
    </row>
    <row r="235" spans="1:39" ht="18" hidden="1" customHeight="1" x14ac:dyDescent="0.25">
      <c r="A235" s="117">
        <v>234</v>
      </c>
      <c r="B235" s="117"/>
      <c r="C235" s="118" t="s">
        <v>1013</v>
      </c>
      <c r="D235" s="146">
        <f t="array" aca="1" ref="D235" ca="1">SUM(--(_xlfn.UNIQUE(_xlfn._xlws.FILTER($M$2:$M$1011 &amp; "", ($C$2:$C$1011 = C235) * ($M$2:$M$1011 &lt;&gt; ""))) &lt;&gt; ""))</f>
        <v>2</v>
      </c>
      <c r="E235" s="166">
        <f t="shared" ca="1" si="13"/>
        <v>4174.21</v>
      </c>
      <c r="F235" s="143">
        <v>1</v>
      </c>
      <c r="G235" s="143" t="s">
        <v>162</v>
      </c>
      <c r="H235" s="119">
        <f>_xlfn.XLOOKUP(G235,'🚛 FROTA'!B:B,'🚛 FROTA'!A:A,"")</f>
        <v>39</v>
      </c>
      <c r="I235" s="119"/>
      <c r="J235" s="119" t="str">
        <f>IF(G235="","",_xlfn.XLOOKUP(G235,'🚛 FROTA'!B:B,'🚛 FROTA'!E:E,""))</f>
        <v>Express Delivery</v>
      </c>
      <c r="K235" s="119" t="str">
        <f>IF(G235="","",_xlfn.XLOOKUP(G235,'🚛 FROTA'!B:B,'🚛 FROTA'!K:K,""))</f>
        <v>Carroceria Cabinado</v>
      </c>
      <c r="L235" s="143" t="s">
        <v>627</v>
      </c>
      <c r="M235" s="143" t="s">
        <v>1014</v>
      </c>
      <c r="N235" s="145">
        <v>45870</v>
      </c>
      <c r="O235" s="143">
        <v>1</v>
      </c>
      <c r="P235" s="143">
        <v>3</v>
      </c>
      <c r="Q235" s="167">
        <v>1172.8900000000001</v>
      </c>
      <c r="R235" s="143" t="s">
        <v>554</v>
      </c>
      <c r="S235" s="122" t="s">
        <v>560</v>
      </c>
      <c r="T235" s="120" t="s">
        <v>522</v>
      </c>
      <c r="U235" s="121" t="s">
        <v>555</v>
      </c>
      <c r="V235" s="119" t="s">
        <v>815</v>
      </c>
      <c r="W235" s="119" t="s">
        <v>1015</v>
      </c>
      <c r="X235" s="123" t="s">
        <v>1016</v>
      </c>
      <c r="Y235" s="119"/>
      <c r="Z235" s="130"/>
      <c r="AA235" s="125"/>
      <c r="AB235" s="126"/>
      <c r="AC235" s="127"/>
      <c r="AD235" s="127"/>
      <c r="AE235" s="127"/>
      <c r="AF235" s="127"/>
      <c r="AG235" s="125"/>
      <c r="AH235" s="128">
        <f t="shared" ca="1" si="14"/>
        <v>45840</v>
      </c>
      <c r="AI235" s="129" t="s">
        <v>631</v>
      </c>
      <c r="AJ235" s="129"/>
      <c r="AK235" s="129"/>
      <c r="AL235" s="129"/>
      <c r="AM235" s="129"/>
    </row>
    <row r="236" spans="1:39" ht="18" hidden="1" customHeight="1" x14ac:dyDescent="0.25">
      <c r="A236" s="117">
        <v>235</v>
      </c>
      <c r="B236" s="117"/>
      <c r="C236" s="118" t="s">
        <v>1013</v>
      </c>
      <c r="D236" s="146">
        <f t="array" aca="1" ref="D236" ca="1">SUM(--(_xlfn.UNIQUE(_xlfn._xlws.FILTER($M$2:$M$1011 &amp; "", ($C$2:$C$1011 = C236) * ($M$2:$M$1011 &lt;&gt; ""))) &lt;&gt; ""))</f>
        <v>2</v>
      </c>
      <c r="E236" s="166">
        <f t="shared" ca="1" si="13"/>
        <v>4174.21</v>
      </c>
      <c r="F236" s="143">
        <v>1</v>
      </c>
      <c r="G236" s="143" t="s">
        <v>162</v>
      </c>
      <c r="H236" s="119">
        <f>_xlfn.XLOOKUP(G236,'🚛 FROTA'!B:B,'🚛 FROTA'!A:A,"")</f>
        <v>39</v>
      </c>
      <c r="I236" s="119"/>
      <c r="J236" s="119" t="str">
        <f>IF(G236="","",_xlfn.XLOOKUP(G236,'🚛 FROTA'!B:B,'🚛 FROTA'!E:E,""))</f>
        <v>Express Delivery</v>
      </c>
      <c r="K236" s="119" t="str">
        <f>IF(G236="","",_xlfn.XLOOKUP(G236,'🚛 FROTA'!B:B,'🚛 FROTA'!K:K,""))</f>
        <v>Carroceria Cabinado</v>
      </c>
      <c r="L236" s="143" t="s">
        <v>627</v>
      </c>
      <c r="M236" s="143" t="s">
        <v>1017</v>
      </c>
      <c r="N236" s="145">
        <v>45873</v>
      </c>
      <c r="O236" s="143">
        <v>1</v>
      </c>
      <c r="P236" s="143">
        <v>1</v>
      </c>
      <c r="Q236" s="167">
        <v>655.54</v>
      </c>
      <c r="R236" s="143" t="s">
        <v>554</v>
      </c>
      <c r="S236" s="122" t="s">
        <v>560</v>
      </c>
      <c r="T236" s="120" t="s">
        <v>522</v>
      </c>
      <c r="U236" s="121" t="s">
        <v>555</v>
      </c>
      <c r="V236" s="119" t="s">
        <v>815</v>
      </c>
      <c r="W236" s="119" t="s">
        <v>1018</v>
      </c>
      <c r="X236" s="123" t="s">
        <v>1019</v>
      </c>
      <c r="Y236" s="119" t="s">
        <v>1020</v>
      </c>
      <c r="Z236" s="130"/>
      <c r="AA236" s="125"/>
      <c r="AB236" s="126"/>
      <c r="AC236" s="127"/>
      <c r="AD236" s="127"/>
      <c r="AE236" s="127"/>
      <c r="AF236" s="127"/>
      <c r="AG236" s="125"/>
      <c r="AH236" s="128">
        <f t="shared" ca="1" si="14"/>
        <v>45840</v>
      </c>
      <c r="AI236" s="129" t="s">
        <v>631</v>
      </c>
      <c r="AJ236" s="129"/>
      <c r="AK236" s="129"/>
      <c r="AL236" s="129"/>
      <c r="AM236" s="129"/>
    </row>
    <row r="237" spans="1:39" ht="18" hidden="1" customHeight="1" x14ac:dyDescent="0.25">
      <c r="A237" s="117">
        <v>236</v>
      </c>
      <c r="B237" s="117"/>
      <c r="C237" s="118" t="s">
        <v>1013</v>
      </c>
      <c r="D237" s="146">
        <f t="array" aca="1" ref="D237" ca="1">SUM(--(_xlfn.UNIQUE(_xlfn._xlws.FILTER($M$2:$M$1011 &amp; "", ($C$2:$C$1011 = C237) * ($M$2:$M$1011 &lt;&gt; ""))) &lt;&gt; ""))</f>
        <v>2</v>
      </c>
      <c r="E237" s="166">
        <f t="shared" ca="1" si="13"/>
        <v>4174.21</v>
      </c>
      <c r="F237" s="143">
        <v>1</v>
      </c>
      <c r="G237" s="143" t="s">
        <v>162</v>
      </c>
      <c r="H237" s="119">
        <f>_xlfn.XLOOKUP(G237,'🚛 FROTA'!B:B,'🚛 FROTA'!A:A,"")</f>
        <v>39</v>
      </c>
      <c r="I237" s="119"/>
      <c r="J237" s="119" t="str">
        <f>IF(G237="","",_xlfn.XLOOKUP(G237,'🚛 FROTA'!B:B,'🚛 FROTA'!E:E,""))</f>
        <v>Express Delivery</v>
      </c>
      <c r="K237" s="119" t="str">
        <f>IF(G237="","",_xlfn.XLOOKUP(G237,'🚛 FROTA'!B:B,'🚛 FROTA'!K:K,""))</f>
        <v>Carroceria Cabinado</v>
      </c>
      <c r="L237" s="143" t="s">
        <v>627</v>
      </c>
      <c r="M237" s="143" t="s">
        <v>1014</v>
      </c>
      <c r="N237" s="145">
        <v>45891</v>
      </c>
      <c r="O237" s="143">
        <v>2</v>
      </c>
      <c r="P237" s="143">
        <v>3</v>
      </c>
      <c r="Q237" s="167">
        <v>1172.8900000000001</v>
      </c>
      <c r="R237" s="143" t="s">
        <v>554</v>
      </c>
      <c r="S237" s="122" t="s">
        <v>560</v>
      </c>
      <c r="T237" s="120" t="s">
        <v>522</v>
      </c>
      <c r="U237" s="121" t="s">
        <v>555</v>
      </c>
      <c r="V237" s="119" t="s">
        <v>815</v>
      </c>
      <c r="W237" s="119" t="s">
        <v>1015</v>
      </c>
      <c r="X237" s="123" t="s">
        <v>1016</v>
      </c>
      <c r="Y237" s="119"/>
      <c r="Z237" s="130"/>
      <c r="AA237" s="125"/>
      <c r="AB237" s="126"/>
      <c r="AC237" s="127"/>
      <c r="AD237" s="127"/>
      <c r="AE237" s="127"/>
      <c r="AF237" s="127"/>
      <c r="AG237" s="125"/>
      <c r="AH237" s="128">
        <f t="shared" ca="1" si="14"/>
        <v>45840</v>
      </c>
      <c r="AI237" s="129" t="s">
        <v>631</v>
      </c>
      <c r="AJ237" s="129"/>
      <c r="AK237" s="129"/>
      <c r="AL237" s="129"/>
      <c r="AM237" s="129"/>
    </row>
    <row r="238" spans="1:39" ht="18" hidden="1" customHeight="1" x14ac:dyDescent="0.25">
      <c r="A238" s="117">
        <v>237</v>
      </c>
      <c r="B238" s="117"/>
      <c r="C238" s="118" t="s">
        <v>1013</v>
      </c>
      <c r="D238" s="146">
        <f t="array" aca="1" ref="D238" ca="1">SUM(--(_xlfn.UNIQUE(_xlfn._xlws.FILTER($M$2:$M$1011 &amp; "", ($C$2:$C$1011 = C238) * ($M$2:$M$1011 &lt;&gt; ""))) &lt;&gt; ""))</f>
        <v>2</v>
      </c>
      <c r="E238" s="166">
        <f t="shared" ca="1" si="13"/>
        <v>4174.21</v>
      </c>
      <c r="F238" s="143">
        <v>1</v>
      </c>
      <c r="G238" s="143" t="s">
        <v>162</v>
      </c>
      <c r="H238" s="119">
        <f>_xlfn.XLOOKUP(G238,'🚛 FROTA'!B:B,'🚛 FROTA'!A:A,"")</f>
        <v>39</v>
      </c>
      <c r="I238" s="119"/>
      <c r="J238" s="119" t="str">
        <f>IF(G238="","",_xlfn.XLOOKUP(G238,'🚛 FROTA'!B:B,'🚛 FROTA'!E:E,""))</f>
        <v>Express Delivery</v>
      </c>
      <c r="K238" s="119" t="str">
        <f>IF(G238="","",_xlfn.XLOOKUP(G238,'🚛 FROTA'!B:B,'🚛 FROTA'!K:K,""))</f>
        <v>Carroceria Cabinado</v>
      </c>
      <c r="L238" s="143" t="s">
        <v>627</v>
      </c>
      <c r="M238" s="143" t="s">
        <v>1014</v>
      </c>
      <c r="N238" s="145">
        <v>45923</v>
      </c>
      <c r="O238" s="143">
        <v>3</v>
      </c>
      <c r="P238" s="143">
        <v>3</v>
      </c>
      <c r="Q238" s="167">
        <v>1172.8900000000001</v>
      </c>
      <c r="R238" s="143" t="s">
        <v>554</v>
      </c>
      <c r="S238" s="122" t="s">
        <v>560</v>
      </c>
      <c r="T238" s="120" t="s">
        <v>522</v>
      </c>
      <c r="U238" s="121" t="s">
        <v>555</v>
      </c>
      <c r="V238" s="119" t="s">
        <v>815</v>
      </c>
      <c r="W238" s="119" t="s">
        <v>1015</v>
      </c>
      <c r="X238" s="123" t="s">
        <v>1016</v>
      </c>
      <c r="Y238" s="119"/>
      <c r="Z238" s="130"/>
      <c r="AA238" s="125"/>
      <c r="AB238" s="126"/>
      <c r="AC238" s="127"/>
      <c r="AD238" s="127"/>
      <c r="AE238" s="127"/>
      <c r="AF238" s="127"/>
      <c r="AG238" s="125"/>
      <c r="AH238" s="128">
        <f t="shared" ca="1" si="14"/>
        <v>45840</v>
      </c>
      <c r="AI238" s="129" t="s">
        <v>631</v>
      </c>
      <c r="AJ238" s="129"/>
      <c r="AK238" s="129"/>
      <c r="AL238" s="129"/>
      <c r="AM238" s="129"/>
    </row>
    <row r="239" spans="1:39" ht="18" hidden="1" customHeight="1" x14ac:dyDescent="0.25">
      <c r="A239" s="117">
        <v>238</v>
      </c>
      <c r="B239" s="117"/>
      <c r="C239" s="118" t="s">
        <v>1021</v>
      </c>
      <c r="D239" s="146">
        <f t="array" aca="1" ref="D239" ca="1">SUM(--(_xlfn.UNIQUE(_xlfn._xlws.FILTER($M$2:$M$1011 &amp; "", ($C$2:$C$1011 = C239) * ($M$2:$M$1011 &lt;&gt; ""))) &lt;&gt; ""))</f>
        <v>1</v>
      </c>
      <c r="E239" s="166">
        <f t="shared" ca="1" si="13"/>
        <v>930.81999999999994</v>
      </c>
      <c r="F239" s="143">
        <v>1</v>
      </c>
      <c r="G239" s="143" t="s">
        <v>141</v>
      </c>
      <c r="H239" s="119">
        <f>_xlfn.XLOOKUP(G239,'🚛 FROTA'!B:B,'🚛 FROTA'!A:A,"")</f>
        <v>24</v>
      </c>
      <c r="I239" s="119"/>
      <c r="J239" s="119" t="str">
        <f>IF(G239="","",_xlfn.XLOOKUP(G239,'🚛 FROTA'!B:B,'🚛 FROTA'!E:E,""))</f>
        <v>14.190 Constellation</v>
      </c>
      <c r="K239" s="119" t="str">
        <f>IF(G239="","",_xlfn.XLOOKUP(G239,'🚛 FROTA'!B:B,'🚛 FROTA'!K:K,""))</f>
        <v>Munck</v>
      </c>
      <c r="L239" s="143" t="s">
        <v>595</v>
      </c>
      <c r="M239" s="143" t="s">
        <v>1022</v>
      </c>
      <c r="N239" s="145">
        <v>45871</v>
      </c>
      <c r="O239" s="143">
        <v>1</v>
      </c>
      <c r="P239" s="143">
        <v>3</v>
      </c>
      <c r="Q239" s="167">
        <v>310.25</v>
      </c>
      <c r="R239" s="143" t="s">
        <v>554</v>
      </c>
      <c r="S239" s="122" t="s">
        <v>560</v>
      </c>
      <c r="T239" s="120" t="s">
        <v>522</v>
      </c>
      <c r="U239" s="121" t="s">
        <v>555</v>
      </c>
      <c r="V239" s="119" t="s">
        <v>670</v>
      </c>
      <c r="W239" s="119" t="s">
        <v>1023</v>
      </c>
      <c r="X239" s="123" t="s">
        <v>1024</v>
      </c>
      <c r="Y239" s="119"/>
      <c r="Z239" s="130">
        <v>120252</v>
      </c>
      <c r="AA239" s="125"/>
      <c r="AB239" s="126"/>
      <c r="AC239" s="127"/>
      <c r="AD239" s="127"/>
      <c r="AE239" s="127"/>
      <c r="AF239" s="127"/>
      <c r="AG239" s="125"/>
      <c r="AH239" s="128">
        <f t="shared" ca="1" si="14"/>
        <v>45841</v>
      </c>
      <c r="AI239" s="129" t="s">
        <v>602</v>
      </c>
      <c r="AJ239" s="129"/>
      <c r="AK239" s="129"/>
      <c r="AL239" s="129"/>
      <c r="AM239" s="129"/>
    </row>
    <row r="240" spans="1:39" ht="18" hidden="1" customHeight="1" x14ac:dyDescent="0.25">
      <c r="A240" s="117">
        <v>239</v>
      </c>
      <c r="B240" s="117"/>
      <c r="C240" s="118" t="s">
        <v>1021</v>
      </c>
      <c r="D240" s="146">
        <f t="array" aca="1" ref="D240" ca="1">SUM(--(_xlfn.UNIQUE(_xlfn._xlws.FILTER($M$2:$M$1011 &amp; "", ($C$2:$C$1011 = C240) * ($M$2:$M$1011 &lt;&gt; ""))) &lt;&gt; ""))</f>
        <v>1</v>
      </c>
      <c r="E240" s="166">
        <f t="shared" ca="1" si="13"/>
        <v>930.81999999999994</v>
      </c>
      <c r="F240" s="143">
        <v>1</v>
      </c>
      <c r="G240" s="143" t="s">
        <v>141</v>
      </c>
      <c r="H240" s="119">
        <f>_xlfn.XLOOKUP(G240,'🚛 FROTA'!B:B,'🚛 FROTA'!A:A,"")</f>
        <v>24</v>
      </c>
      <c r="I240" s="119"/>
      <c r="J240" s="119" t="str">
        <f>IF(G240="","",_xlfn.XLOOKUP(G240,'🚛 FROTA'!B:B,'🚛 FROTA'!E:E,""))</f>
        <v>14.190 Constellation</v>
      </c>
      <c r="K240" s="119" t="str">
        <f>IF(G240="","",_xlfn.XLOOKUP(G240,'🚛 FROTA'!B:B,'🚛 FROTA'!K:K,""))</f>
        <v>Munck</v>
      </c>
      <c r="L240" s="143" t="s">
        <v>595</v>
      </c>
      <c r="M240" s="143" t="s">
        <v>1022</v>
      </c>
      <c r="N240" s="145">
        <v>45902</v>
      </c>
      <c r="O240" s="143">
        <v>2</v>
      </c>
      <c r="P240" s="143">
        <v>3</v>
      </c>
      <c r="Q240" s="167">
        <v>310.24</v>
      </c>
      <c r="R240" s="143" t="s">
        <v>554</v>
      </c>
      <c r="S240" s="122" t="s">
        <v>560</v>
      </c>
      <c r="T240" s="120" t="s">
        <v>522</v>
      </c>
      <c r="U240" s="121" t="s">
        <v>555</v>
      </c>
      <c r="V240" s="119" t="s">
        <v>670</v>
      </c>
      <c r="W240" s="119" t="s">
        <v>1023</v>
      </c>
      <c r="X240" s="123" t="s">
        <v>1024</v>
      </c>
      <c r="Y240" s="119"/>
      <c r="Z240" s="130">
        <v>120252</v>
      </c>
      <c r="AA240" s="125"/>
      <c r="AB240" s="126"/>
      <c r="AC240" s="127"/>
      <c r="AD240" s="127"/>
      <c r="AE240" s="127"/>
      <c r="AF240" s="127"/>
      <c r="AG240" s="125"/>
      <c r="AH240" s="128">
        <f t="shared" ca="1" si="14"/>
        <v>45841</v>
      </c>
      <c r="AI240" s="129" t="s">
        <v>602</v>
      </c>
      <c r="AJ240" s="129"/>
      <c r="AK240" s="129"/>
      <c r="AL240" s="129"/>
      <c r="AM240" s="129"/>
    </row>
    <row r="241" spans="1:39" ht="18" hidden="1" customHeight="1" x14ac:dyDescent="0.25">
      <c r="A241" s="117">
        <v>240</v>
      </c>
      <c r="B241" s="117"/>
      <c r="C241" s="118" t="s">
        <v>1021</v>
      </c>
      <c r="D241" s="146">
        <f t="array" aca="1" ref="D241" ca="1">SUM(--(_xlfn.UNIQUE(_xlfn._xlws.FILTER($M$2:$M$1011 &amp; "", ($C$2:$C$1011 = C241) * ($M$2:$M$1011 &lt;&gt; ""))) &lt;&gt; ""))</f>
        <v>1</v>
      </c>
      <c r="E241" s="166">
        <f t="shared" ca="1" si="13"/>
        <v>930.81999999999994</v>
      </c>
      <c r="F241" s="143">
        <v>1</v>
      </c>
      <c r="G241" s="143" t="s">
        <v>141</v>
      </c>
      <c r="H241" s="119">
        <f>_xlfn.XLOOKUP(G241,'🚛 FROTA'!B:B,'🚛 FROTA'!A:A,"")</f>
        <v>24</v>
      </c>
      <c r="I241" s="119"/>
      <c r="J241" s="119" t="str">
        <f>IF(G241="","",_xlfn.XLOOKUP(G241,'🚛 FROTA'!B:B,'🚛 FROTA'!E:E,""))</f>
        <v>14.190 Constellation</v>
      </c>
      <c r="K241" s="119" t="str">
        <f>IF(G241="","",_xlfn.XLOOKUP(G241,'🚛 FROTA'!B:B,'🚛 FROTA'!K:K,""))</f>
        <v>Munck</v>
      </c>
      <c r="L241" s="143" t="s">
        <v>595</v>
      </c>
      <c r="M241" s="143" t="s">
        <v>1022</v>
      </c>
      <c r="N241" s="145">
        <v>45933</v>
      </c>
      <c r="O241" s="143">
        <v>3</v>
      </c>
      <c r="P241" s="143">
        <v>3</v>
      </c>
      <c r="Q241" s="167">
        <v>310.33</v>
      </c>
      <c r="R241" s="143" t="s">
        <v>554</v>
      </c>
      <c r="S241" s="122" t="s">
        <v>560</v>
      </c>
      <c r="T241" s="120" t="s">
        <v>522</v>
      </c>
      <c r="U241" s="121" t="s">
        <v>555</v>
      </c>
      <c r="V241" s="119" t="s">
        <v>670</v>
      </c>
      <c r="W241" s="119" t="s">
        <v>1023</v>
      </c>
      <c r="X241" s="123" t="s">
        <v>1024</v>
      </c>
      <c r="Y241" s="119"/>
      <c r="Z241" s="130">
        <v>120252</v>
      </c>
      <c r="AA241" s="125"/>
      <c r="AB241" s="126"/>
      <c r="AC241" s="127"/>
      <c r="AD241" s="127"/>
      <c r="AE241" s="127"/>
      <c r="AF241" s="127"/>
      <c r="AG241" s="125"/>
      <c r="AH241" s="128">
        <f t="shared" ca="1" si="14"/>
        <v>45841</v>
      </c>
      <c r="AI241" s="129" t="s">
        <v>602</v>
      </c>
      <c r="AJ241" s="129"/>
      <c r="AK241" s="129"/>
      <c r="AL241" s="129"/>
      <c r="AM241" s="129"/>
    </row>
    <row r="242" spans="1:39" ht="18" hidden="1" customHeight="1" x14ac:dyDescent="0.25">
      <c r="A242" s="117">
        <v>241</v>
      </c>
      <c r="B242" s="117"/>
      <c r="C242" s="118" t="s">
        <v>1025</v>
      </c>
      <c r="D242" s="146">
        <f t="array" aca="1" ref="D242" ca="1">SUM(--(_xlfn.UNIQUE(_xlfn._xlws.FILTER($M$2:$M$1011 &amp; "", ($C$2:$C$1011 = C242) * ($M$2:$M$1011 &lt;&gt; ""))) &lt;&gt; ""))</f>
        <v>2</v>
      </c>
      <c r="E242" s="166">
        <f t="shared" ca="1" si="13"/>
        <v>3129.96</v>
      </c>
      <c r="F242" s="143">
        <v>1</v>
      </c>
      <c r="G242" s="143" t="s">
        <v>119</v>
      </c>
      <c r="H242" s="119">
        <f>_xlfn.XLOOKUP(G242,'🚛 FROTA'!B:B,'🚛 FROTA'!A:A,"")</f>
        <v>17</v>
      </c>
      <c r="I242" s="119"/>
      <c r="J242" s="119" t="str">
        <f>IF(G242="","",_xlfn.XLOOKUP(G242,'🚛 FROTA'!B:B,'🚛 FROTA'!E:E,""))</f>
        <v>CAT 416F2</v>
      </c>
      <c r="K242" s="119"/>
      <c r="L242" s="143" t="s">
        <v>1026</v>
      </c>
      <c r="M242" s="143" t="s">
        <v>1027</v>
      </c>
      <c r="N242" s="145">
        <v>45872</v>
      </c>
      <c r="O242" s="143">
        <v>1</v>
      </c>
      <c r="P242" s="143">
        <v>3</v>
      </c>
      <c r="Q242" s="167">
        <v>970.08</v>
      </c>
      <c r="R242" s="143" t="s">
        <v>554</v>
      </c>
      <c r="S242" s="122" t="s">
        <v>560</v>
      </c>
      <c r="T242" s="120" t="s">
        <v>522</v>
      </c>
      <c r="U242" s="121" t="s">
        <v>597</v>
      </c>
      <c r="V242" s="119" t="s">
        <v>598</v>
      </c>
      <c r="W242" s="119" t="s">
        <v>1028</v>
      </c>
      <c r="X242" s="123" t="s">
        <v>1028</v>
      </c>
      <c r="Y242" s="119"/>
      <c r="Z242" s="130"/>
      <c r="AA242" s="125"/>
      <c r="AB242" s="126"/>
      <c r="AC242" s="127"/>
      <c r="AD242" s="127"/>
      <c r="AE242" s="127"/>
      <c r="AF242" s="127"/>
      <c r="AG242" s="125"/>
      <c r="AH242" s="128">
        <f t="shared" ca="1" si="14"/>
        <v>45842</v>
      </c>
      <c r="AI242" s="129"/>
      <c r="AJ242" s="129"/>
      <c r="AK242" s="132">
        <f>IF(Z242="",0,Z242+10000)</f>
        <v>0</v>
      </c>
      <c r="AL242" s="129"/>
      <c r="AM242" s="129"/>
    </row>
    <row r="243" spans="1:39" ht="18" hidden="1" customHeight="1" x14ac:dyDescent="0.25">
      <c r="A243" s="117">
        <v>242</v>
      </c>
      <c r="B243" s="117"/>
      <c r="C243" s="118" t="s">
        <v>1025</v>
      </c>
      <c r="D243" s="146">
        <f t="array" aca="1" ref="D243" ca="1">SUM(--(_xlfn.UNIQUE(_xlfn._xlws.FILTER($M$2:$M$1011 &amp; "", ($C$2:$C$1011 = C243) * ($M$2:$M$1011 &lt;&gt; ""))) &lt;&gt; ""))</f>
        <v>2</v>
      </c>
      <c r="E243" s="166">
        <f t="shared" ca="1" si="13"/>
        <v>3129.96</v>
      </c>
      <c r="F243" s="143">
        <v>1</v>
      </c>
      <c r="G243" s="143" t="s">
        <v>119</v>
      </c>
      <c r="H243" s="119">
        <f>_xlfn.XLOOKUP(G243,'🚛 FROTA'!B:B,'🚛 FROTA'!A:A,"")</f>
        <v>17</v>
      </c>
      <c r="I243" s="119"/>
      <c r="J243" s="119" t="str">
        <f>IF(G243="","",_xlfn.XLOOKUP(G243,'🚛 FROTA'!B:B,'🚛 FROTA'!E:E,""))</f>
        <v>CAT 416F2</v>
      </c>
      <c r="K243" s="119"/>
      <c r="L243" s="143" t="s">
        <v>826</v>
      </c>
      <c r="M243" s="143" t="s">
        <v>1029</v>
      </c>
      <c r="N243" s="145">
        <v>45882</v>
      </c>
      <c r="O243" s="143">
        <v>1</v>
      </c>
      <c r="P243" s="143">
        <v>1</v>
      </c>
      <c r="Q243" s="167">
        <v>219.69</v>
      </c>
      <c r="R243" s="143" t="s">
        <v>554</v>
      </c>
      <c r="S243" s="122" t="s">
        <v>560</v>
      </c>
      <c r="T243" s="120" t="s">
        <v>522</v>
      </c>
      <c r="U243" s="121" t="s">
        <v>597</v>
      </c>
      <c r="V243" s="119" t="s">
        <v>598</v>
      </c>
      <c r="W243" s="119" t="s">
        <v>775</v>
      </c>
      <c r="X243" s="123" t="s">
        <v>1030</v>
      </c>
      <c r="Y243" s="119" t="s">
        <v>1031</v>
      </c>
      <c r="Z243" s="130"/>
      <c r="AA243" s="125"/>
      <c r="AB243" s="126"/>
      <c r="AC243" s="127"/>
      <c r="AD243" s="127"/>
      <c r="AE243" s="127"/>
      <c r="AF243" s="127"/>
      <c r="AG243" s="125"/>
      <c r="AH243" s="128">
        <f t="shared" ca="1" si="14"/>
        <v>45842</v>
      </c>
      <c r="AI243" s="129" t="s">
        <v>583</v>
      </c>
      <c r="AJ243" s="129"/>
      <c r="AK243" s="132">
        <f>IF(Z243="",0,Z243+10000)</f>
        <v>0</v>
      </c>
      <c r="AL243" s="129"/>
      <c r="AM243" s="129"/>
    </row>
    <row r="244" spans="1:39" ht="18" hidden="1" customHeight="1" x14ac:dyDescent="0.25">
      <c r="A244" s="117">
        <v>243</v>
      </c>
      <c r="B244" s="117"/>
      <c r="C244" s="118" t="s">
        <v>1025</v>
      </c>
      <c r="D244" s="146">
        <f t="array" aca="1" ref="D244" ca="1">SUM(--(_xlfn.UNIQUE(_xlfn._xlws.FILTER($M$2:$M$1011 &amp; "", ($C$2:$C$1011 = C244) * ($M$2:$M$1011 &lt;&gt; ""))) &lt;&gt; ""))</f>
        <v>2</v>
      </c>
      <c r="E244" s="166">
        <f t="shared" ca="1" si="13"/>
        <v>3129.96</v>
      </c>
      <c r="F244" s="143">
        <v>1</v>
      </c>
      <c r="G244" s="143" t="s">
        <v>119</v>
      </c>
      <c r="H244" s="119">
        <f>_xlfn.XLOOKUP(G244,'🚛 FROTA'!B:B,'🚛 FROTA'!A:A,"")</f>
        <v>17</v>
      </c>
      <c r="I244" s="119"/>
      <c r="J244" s="119" t="str">
        <f>IF(G244="","",_xlfn.XLOOKUP(G244,'🚛 FROTA'!B:B,'🚛 FROTA'!E:E,""))</f>
        <v>CAT 416F2</v>
      </c>
      <c r="K244" s="119"/>
      <c r="L244" s="143" t="s">
        <v>1026</v>
      </c>
      <c r="M244" s="143" t="s">
        <v>1027</v>
      </c>
      <c r="N244" s="145">
        <v>45902</v>
      </c>
      <c r="O244" s="143">
        <v>2</v>
      </c>
      <c r="P244" s="143">
        <v>3</v>
      </c>
      <c r="Q244" s="167">
        <v>970.08</v>
      </c>
      <c r="R244" s="143" t="s">
        <v>554</v>
      </c>
      <c r="S244" s="122" t="s">
        <v>560</v>
      </c>
      <c r="T244" s="120" t="s">
        <v>522</v>
      </c>
      <c r="U244" s="121" t="s">
        <v>597</v>
      </c>
      <c r="V244" s="119" t="s">
        <v>598</v>
      </c>
      <c r="W244" s="119" t="s">
        <v>1028</v>
      </c>
      <c r="X244" s="123" t="s">
        <v>1028</v>
      </c>
      <c r="Y244" s="119"/>
      <c r="Z244" s="130"/>
      <c r="AA244" s="125"/>
      <c r="AB244" s="126"/>
      <c r="AC244" s="127"/>
      <c r="AD244" s="127"/>
      <c r="AE244" s="127"/>
      <c r="AF244" s="127"/>
      <c r="AG244" s="125"/>
      <c r="AH244" s="128">
        <f t="shared" ca="1" si="14"/>
        <v>45842</v>
      </c>
      <c r="AI244" s="129"/>
      <c r="AJ244" s="129"/>
      <c r="AK244" s="132">
        <f>IF(Z244="",0,Z244+10000)</f>
        <v>0</v>
      </c>
      <c r="AL244" s="129"/>
      <c r="AM244" s="129"/>
    </row>
    <row r="245" spans="1:39" ht="18" hidden="1" customHeight="1" x14ac:dyDescent="0.25">
      <c r="A245" s="117">
        <v>244</v>
      </c>
      <c r="B245" s="117"/>
      <c r="C245" s="118" t="s">
        <v>1025</v>
      </c>
      <c r="D245" s="146">
        <f t="array" aca="1" ref="D245" ca="1">SUM(--(_xlfn.UNIQUE(_xlfn._xlws.FILTER($M$2:$M$1011 &amp; "", ($C$2:$C$1011 = C245) * ($M$2:$M$1011 &lt;&gt; ""))) &lt;&gt; ""))</f>
        <v>2</v>
      </c>
      <c r="E245" s="166">
        <f t="shared" ca="1" si="13"/>
        <v>3129.96</v>
      </c>
      <c r="F245" s="143">
        <v>1</v>
      </c>
      <c r="G245" s="143" t="s">
        <v>119</v>
      </c>
      <c r="H245" s="119">
        <f>_xlfn.XLOOKUP(G245,'🚛 FROTA'!B:B,'🚛 FROTA'!A:A,"")</f>
        <v>17</v>
      </c>
      <c r="I245" s="119"/>
      <c r="J245" s="119" t="str">
        <f>IF(G245="","",_xlfn.XLOOKUP(G245,'🚛 FROTA'!B:B,'🚛 FROTA'!E:E,""))</f>
        <v>CAT 416F2</v>
      </c>
      <c r="K245" s="119"/>
      <c r="L245" s="143" t="s">
        <v>1026</v>
      </c>
      <c r="M245" s="143" t="s">
        <v>1027</v>
      </c>
      <c r="N245" s="145">
        <v>45933</v>
      </c>
      <c r="O245" s="143">
        <v>3</v>
      </c>
      <c r="P245" s="143">
        <v>3</v>
      </c>
      <c r="Q245" s="167">
        <v>970.11</v>
      </c>
      <c r="R245" s="143" t="s">
        <v>554</v>
      </c>
      <c r="S245" s="122" t="s">
        <v>560</v>
      </c>
      <c r="T245" s="120" t="s">
        <v>522</v>
      </c>
      <c r="U245" s="121" t="s">
        <v>597</v>
      </c>
      <c r="V245" s="119" t="s">
        <v>598</v>
      </c>
      <c r="W245" s="119" t="s">
        <v>1028</v>
      </c>
      <c r="X245" s="123" t="s">
        <v>1028</v>
      </c>
      <c r="Y245" s="119"/>
      <c r="Z245" s="130"/>
      <c r="AA245" s="125"/>
      <c r="AB245" s="126"/>
      <c r="AC245" s="127"/>
      <c r="AD245" s="127"/>
      <c r="AE245" s="127"/>
      <c r="AF245" s="127"/>
      <c r="AG245" s="125"/>
      <c r="AH245" s="128">
        <f t="shared" ca="1" si="14"/>
        <v>45842</v>
      </c>
      <c r="AI245" s="129"/>
      <c r="AJ245" s="129"/>
      <c r="AK245" s="132">
        <f>IF(Z245="",0,Z245+10000)</f>
        <v>0</v>
      </c>
      <c r="AL245" s="129"/>
      <c r="AM245" s="129"/>
    </row>
    <row r="246" spans="1:39" ht="18" hidden="1" customHeight="1" x14ac:dyDescent="0.25">
      <c r="A246" s="117">
        <v>245</v>
      </c>
      <c r="B246" s="117"/>
      <c r="C246" s="118" t="s">
        <v>1032</v>
      </c>
      <c r="D246" s="146">
        <f t="array" aca="1" ref="D246" ca="1">SUM(--(_xlfn.UNIQUE(_xlfn._xlws.FILTER($M$2:$M$1011 &amp; "", ($C$2:$C$1011 = C246) * ($M$2:$M$1011 &lt;&gt; ""))) &lt;&gt; ""))</f>
        <v>1</v>
      </c>
      <c r="E246" s="166">
        <f t="shared" ca="1" si="13"/>
        <v>180</v>
      </c>
      <c r="F246" s="143">
        <v>1</v>
      </c>
      <c r="G246" s="143" t="s">
        <v>85</v>
      </c>
      <c r="H246" s="119">
        <f>_xlfn.XLOOKUP(G246,'🚛 FROTA'!B:B,'🚛 FROTA'!A:A,"")</f>
        <v>6</v>
      </c>
      <c r="I246" s="119"/>
      <c r="J246" s="119" t="str">
        <f>IF(G246="","",_xlfn.XLOOKUP(G246,'🚛 FROTA'!B:B,'🚛 FROTA'!E:E,""))</f>
        <v>13.180 Constellation</v>
      </c>
      <c r="K246" s="119" t="str">
        <f>IF(G246="","",_xlfn.XLOOKUP(G246,'🚛 FROTA'!B:B,'🚛 FROTA'!K:K,""))</f>
        <v>Munck</v>
      </c>
      <c r="L246" s="143" t="s">
        <v>1033</v>
      </c>
      <c r="M246" s="143" t="s">
        <v>1034</v>
      </c>
      <c r="N246" s="145">
        <v>45875</v>
      </c>
      <c r="O246" s="143">
        <v>1</v>
      </c>
      <c r="P246" s="143">
        <v>1</v>
      </c>
      <c r="Q246" s="167">
        <v>180</v>
      </c>
      <c r="R246" s="143" t="s">
        <v>651</v>
      </c>
      <c r="S246" s="122" t="s">
        <v>534</v>
      </c>
      <c r="T246" s="120" t="s">
        <v>522</v>
      </c>
      <c r="U246" s="121" t="s">
        <v>555</v>
      </c>
      <c r="V246" s="119" t="s">
        <v>556</v>
      </c>
      <c r="W246" s="119" t="s">
        <v>1035</v>
      </c>
      <c r="X246" s="123" t="s">
        <v>1036</v>
      </c>
      <c r="Y246" s="119"/>
      <c r="Z246" s="130"/>
      <c r="AA246" s="125"/>
      <c r="AB246" s="126"/>
      <c r="AC246" s="127"/>
      <c r="AD246" s="127"/>
      <c r="AE246" s="127"/>
      <c r="AF246" s="127"/>
      <c r="AG246" s="125"/>
      <c r="AH246" s="128">
        <f>IF(OR(R246="A Vista", R246="Crédito", R246="Adiantamento"), N246, IF(R246="Faturado", _xlfn.MINIFS(N:N, C:C, C246)-30, ""))</f>
        <v>45875</v>
      </c>
      <c r="AI246" s="129"/>
      <c r="AJ246" s="129"/>
      <c r="AK246" s="129"/>
      <c r="AL246" s="129"/>
      <c r="AM246" s="129"/>
    </row>
    <row r="247" spans="1:39" ht="18" customHeight="1" x14ac:dyDescent="0.25">
      <c r="A247" s="117">
        <v>246</v>
      </c>
      <c r="B247" s="117"/>
      <c r="C247" s="118" t="s">
        <v>1037</v>
      </c>
      <c r="D247" s="146">
        <f t="array" aca="1" ref="D247" ca="1">SUM(--(_xlfn.UNIQUE(_xlfn._xlws.FILTER($M$2:$M$1011 &amp; "", ($C$2:$C$1011 = C247) * ($M$2:$M$1011 &lt;&gt; ""))) &lt;&gt; ""))</f>
        <v>2</v>
      </c>
      <c r="E247" s="166">
        <f t="shared" ca="1" si="13"/>
        <v>1837.9099999999999</v>
      </c>
      <c r="F247" s="143">
        <v>1</v>
      </c>
      <c r="G247" s="143" t="s">
        <v>169</v>
      </c>
      <c r="H247" s="119">
        <f>_xlfn.XLOOKUP(G247,'🚛 FROTA'!B:B,'🚛 FROTA'!A:A,"")</f>
        <v>43</v>
      </c>
      <c r="I247" s="119"/>
      <c r="J247" s="119" t="str">
        <f>IF(G247="","",_xlfn.XLOOKUP(G247,'🚛 FROTA'!B:B,'🚛 FROTA'!E:E,""))</f>
        <v>Express Delivery</v>
      </c>
      <c r="K247" s="119" t="str">
        <f>IF(G247="","",_xlfn.XLOOKUP(G247,'🚛 FROTA'!B:B,'🚛 FROTA'!K:K,""))</f>
        <v>Carroceria</v>
      </c>
      <c r="L247" s="143" t="s">
        <v>571</v>
      </c>
      <c r="M247" s="143" t="s">
        <v>1038</v>
      </c>
      <c r="N247" s="145">
        <v>45880</v>
      </c>
      <c r="O247" s="143">
        <v>1</v>
      </c>
      <c r="P247" s="143">
        <v>3</v>
      </c>
      <c r="Q247" s="167">
        <v>530</v>
      </c>
      <c r="R247" s="143" t="s">
        <v>554</v>
      </c>
      <c r="S247" s="122" t="s">
        <v>560</v>
      </c>
      <c r="T247" s="120" t="s">
        <v>522</v>
      </c>
      <c r="U247" s="121" t="s">
        <v>555</v>
      </c>
      <c r="V247" s="119" t="s">
        <v>573</v>
      </c>
      <c r="W247" s="119" t="s">
        <v>574</v>
      </c>
      <c r="X247" s="123" t="s">
        <v>1039</v>
      </c>
      <c r="Y247" s="119" t="s">
        <v>576</v>
      </c>
      <c r="Z247" s="124">
        <v>50262</v>
      </c>
      <c r="AA247" s="122" t="s">
        <v>577</v>
      </c>
      <c r="AB247" s="122">
        <v>2</v>
      </c>
      <c r="AC247" s="131" t="s">
        <v>578</v>
      </c>
      <c r="AD247" s="131" t="s">
        <v>1040</v>
      </c>
      <c r="AE247" s="131" t="s">
        <v>1041</v>
      </c>
      <c r="AF247" s="131" t="s">
        <v>581</v>
      </c>
      <c r="AG247" s="125" t="s">
        <v>582</v>
      </c>
      <c r="AH247" s="128">
        <f ca="1">IF(OR(R247="A VISTA", R247="C. CRÉDITO", R247="ADIANTAMENTO"), N247, IF(R247="Faturado", _xlfn.MINIFS(N:N, C:C, C247)-30, ""))</f>
        <v>45850</v>
      </c>
      <c r="AI247" s="129" t="s">
        <v>583</v>
      </c>
      <c r="AJ247" s="129"/>
      <c r="AK247" s="129"/>
      <c r="AL247" s="129"/>
      <c r="AM247" s="129"/>
    </row>
    <row r="248" spans="1:39" ht="18" hidden="1" customHeight="1" x14ac:dyDescent="0.25">
      <c r="A248" s="117">
        <v>247</v>
      </c>
      <c r="B248" s="117"/>
      <c r="C248" s="118" t="s">
        <v>1037</v>
      </c>
      <c r="D248" s="146">
        <f t="array" aca="1" ref="D248" ca="1">SUM(--(_xlfn.UNIQUE(_xlfn._xlws.FILTER($M$2:$M$1011 &amp; "", ($C$2:$C$1011 = C248) * ($M$2:$M$1011 &lt;&gt; ""))) &lt;&gt; ""))</f>
        <v>2</v>
      </c>
      <c r="E248" s="166">
        <f t="shared" ca="1" si="13"/>
        <v>1837.9099999999999</v>
      </c>
      <c r="F248" s="143">
        <v>1</v>
      </c>
      <c r="G248" s="143" t="s">
        <v>169</v>
      </c>
      <c r="H248" s="119">
        <f>_xlfn.XLOOKUP(G248,'🚛 FROTA'!B:B,'🚛 FROTA'!A:A,"")</f>
        <v>43</v>
      </c>
      <c r="I248" s="119"/>
      <c r="J248" s="119" t="str">
        <f>IF(G248="","",_xlfn.XLOOKUP(G248,'🚛 FROTA'!B:B,'🚛 FROTA'!E:E,""))</f>
        <v>Express Delivery</v>
      </c>
      <c r="K248" s="119" t="str">
        <f>IF(G248="","",_xlfn.XLOOKUP(G248,'🚛 FROTA'!B:B,'🚛 FROTA'!K:K,""))</f>
        <v>Carroceria</v>
      </c>
      <c r="L248" s="143" t="s">
        <v>571</v>
      </c>
      <c r="M248" s="143" t="s">
        <v>1042</v>
      </c>
      <c r="N248" s="145">
        <v>45887</v>
      </c>
      <c r="O248" s="143">
        <v>1</v>
      </c>
      <c r="P248" s="143">
        <v>1</v>
      </c>
      <c r="Q248" s="167">
        <v>247.91</v>
      </c>
      <c r="R248" s="143" t="s">
        <v>554</v>
      </c>
      <c r="S248" s="122" t="s">
        <v>534</v>
      </c>
      <c r="T248" s="120" t="s">
        <v>522</v>
      </c>
      <c r="U248" s="121" t="s">
        <v>555</v>
      </c>
      <c r="V248" s="119" t="s">
        <v>573</v>
      </c>
      <c r="W248" s="119" t="s">
        <v>585</v>
      </c>
      <c r="X248" s="123" t="s">
        <v>1043</v>
      </c>
      <c r="Y248" s="119" t="s">
        <v>576</v>
      </c>
      <c r="Z248" s="124">
        <v>50262</v>
      </c>
      <c r="AA248" s="122" t="s">
        <v>577</v>
      </c>
      <c r="AB248" s="122">
        <v>2</v>
      </c>
      <c r="AC248" s="131" t="s">
        <v>578</v>
      </c>
      <c r="AD248" s="131"/>
      <c r="AE248" s="131" t="s">
        <v>1040</v>
      </c>
      <c r="AF248" s="131"/>
      <c r="AG248" s="125" t="s">
        <v>587</v>
      </c>
      <c r="AH248" s="128">
        <f ca="1">IF(OR(R248="A VISTA", R248="C. CRÉDITO", R248="ADIANTAMENTO"), N248, IF(R248="Faturado", _xlfn.MINIFS(N:N, C:C, C248)-30, ""))</f>
        <v>45850</v>
      </c>
      <c r="AI248" s="129" t="s">
        <v>583</v>
      </c>
      <c r="AJ248" s="129"/>
      <c r="AK248" s="129"/>
      <c r="AL248" s="129"/>
      <c r="AM248" s="129"/>
    </row>
    <row r="249" spans="1:39" ht="18" customHeight="1" x14ac:dyDescent="0.25">
      <c r="A249" s="117">
        <v>248</v>
      </c>
      <c r="B249" s="117"/>
      <c r="C249" s="118" t="s">
        <v>1037</v>
      </c>
      <c r="D249" s="146">
        <f t="array" aca="1" ref="D249" ca="1">SUM(--(_xlfn.UNIQUE(_xlfn._xlws.FILTER($M$2:$M$1011 &amp; "", ($C$2:$C$1011 = C249) * ($M$2:$M$1011 &lt;&gt; ""))) &lt;&gt; ""))</f>
        <v>2</v>
      </c>
      <c r="E249" s="166">
        <f t="shared" ca="1" si="13"/>
        <v>1837.9099999999999</v>
      </c>
      <c r="F249" s="143">
        <v>1</v>
      </c>
      <c r="G249" s="143" t="s">
        <v>169</v>
      </c>
      <c r="H249" s="119">
        <f>_xlfn.XLOOKUP(G249,'🚛 FROTA'!B:B,'🚛 FROTA'!A:A,"")</f>
        <v>43</v>
      </c>
      <c r="I249" s="119"/>
      <c r="J249" s="119" t="str">
        <f>IF(G249="","",_xlfn.XLOOKUP(G249,'🚛 FROTA'!B:B,'🚛 FROTA'!E:E,""))</f>
        <v>Express Delivery</v>
      </c>
      <c r="K249" s="119" t="str">
        <f>IF(G249="","",_xlfn.XLOOKUP(G249,'🚛 FROTA'!B:B,'🚛 FROTA'!K:K,""))</f>
        <v>Carroceria</v>
      </c>
      <c r="L249" s="143" t="s">
        <v>571</v>
      </c>
      <c r="M249" s="143" t="s">
        <v>1038</v>
      </c>
      <c r="N249" s="145">
        <v>45910</v>
      </c>
      <c r="O249" s="143">
        <v>2</v>
      </c>
      <c r="P249" s="143">
        <v>3</v>
      </c>
      <c r="Q249" s="167">
        <v>530</v>
      </c>
      <c r="R249" s="143" t="s">
        <v>554</v>
      </c>
      <c r="S249" s="122" t="s">
        <v>560</v>
      </c>
      <c r="T249" s="120" t="s">
        <v>522</v>
      </c>
      <c r="U249" s="121" t="s">
        <v>555</v>
      </c>
      <c r="V249" s="119" t="s">
        <v>573</v>
      </c>
      <c r="W249" s="119" t="s">
        <v>574</v>
      </c>
      <c r="X249" s="123" t="s">
        <v>1039</v>
      </c>
      <c r="Y249" s="119" t="s">
        <v>576</v>
      </c>
      <c r="Z249" s="124">
        <v>50262</v>
      </c>
      <c r="AA249" s="122" t="s">
        <v>577</v>
      </c>
      <c r="AB249" s="122">
        <v>2</v>
      </c>
      <c r="AC249" s="131" t="s">
        <v>578</v>
      </c>
      <c r="AD249" s="131" t="s">
        <v>1040</v>
      </c>
      <c r="AE249" s="131" t="s">
        <v>1041</v>
      </c>
      <c r="AF249" s="131" t="s">
        <v>581</v>
      </c>
      <c r="AG249" s="125" t="s">
        <v>582</v>
      </c>
      <c r="AH249" s="128">
        <f ca="1">IF(OR(R249="A VISTA", R249="C. CRÉDITO", R249="ADIANTAMENTO"), N249, IF(R249="Faturado", _xlfn.MINIFS(N:N, C:C, C249)-30, ""))</f>
        <v>45850</v>
      </c>
      <c r="AI249" s="129" t="s">
        <v>583</v>
      </c>
      <c r="AJ249" s="129"/>
      <c r="AK249" s="129"/>
      <c r="AL249" s="129"/>
      <c r="AM249" s="129"/>
    </row>
    <row r="250" spans="1:39" ht="18" customHeight="1" x14ac:dyDescent="0.25">
      <c r="A250" s="117">
        <v>249</v>
      </c>
      <c r="B250" s="117"/>
      <c r="C250" s="118" t="s">
        <v>1037</v>
      </c>
      <c r="D250" s="146">
        <f t="array" aca="1" ref="D250" ca="1">SUM(--(_xlfn.UNIQUE(_xlfn._xlws.FILTER($M$2:$M$1011 &amp; "", ($C$2:$C$1011 = C250) * ($M$2:$M$1011 &lt;&gt; ""))) &lt;&gt; ""))</f>
        <v>2</v>
      </c>
      <c r="E250" s="166">
        <f t="shared" ca="1" si="13"/>
        <v>1837.9099999999999</v>
      </c>
      <c r="F250" s="143">
        <v>1</v>
      </c>
      <c r="G250" s="143" t="s">
        <v>169</v>
      </c>
      <c r="H250" s="119">
        <f>_xlfn.XLOOKUP(G250,'🚛 FROTA'!B:B,'🚛 FROTA'!A:A,"")</f>
        <v>43</v>
      </c>
      <c r="I250" s="119"/>
      <c r="J250" s="119" t="str">
        <f>IF(G250="","",_xlfn.XLOOKUP(G250,'🚛 FROTA'!B:B,'🚛 FROTA'!E:E,""))</f>
        <v>Express Delivery</v>
      </c>
      <c r="K250" s="119" t="str">
        <f>IF(G250="","",_xlfn.XLOOKUP(G250,'🚛 FROTA'!B:B,'🚛 FROTA'!K:K,""))</f>
        <v>Carroceria</v>
      </c>
      <c r="L250" s="143" t="s">
        <v>571</v>
      </c>
      <c r="M250" s="143" t="s">
        <v>1038</v>
      </c>
      <c r="N250" s="145">
        <v>45943</v>
      </c>
      <c r="O250" s="143">
        <v>3</v>
      </c>
      <c r="P250" s="143">
        <v>3</v>
      </c>
      <c r="Q250" s="167">
        <v>530</v>
      </c>
      <c r="R250" s="143" t="s">
        <v>554</v>
      </c>
      <c r="S250" s="122" t="s">
        <v>560</v>
      </c>
      <c r="T250" s="120" t="s">
        <v>522</v>
      </c>
      <c r="U250" s="121" t="s">
        <v>555</v>
      </c>
      <c r="V250" s="119" t="s">
        <v>573</v>
      </c>
      <c r="W250" s="119" t="s">
        <v>574</v>
      </c>
      <c r="X250" s="123" t="s">
        <v>1039</v>
      </c>
      <c r="Y250" s="119" t="s">
        <v>576</v>
      </c>
      <c r="Z250" s="124">
        <v>50262</v>
      </c>
      <c r="AA250" s="122" t="s">
        <v>577</v>
      </c>
      <c r="AB250" s="122">
        <v>2</v>
      </c>
      <c r="AC250" s="131" t="s">
        <v>578</v>
      </c>
      <c r="AD250" s="131" t="s">
        <v>1040</v>
      </c>
      <c r="AE250" s="131" t="s">
        <v>1041</v>
      </c>
      <c r="AF250" s="131" t="s">
        <v>581</v>
      </c>
      <c r="AG250" s="125" t="s">
        <v>582</v>
      </c>
      <c r="AH250" s="128">
        <f ca="1">IF(OR(R250="A VISTA", R250="C. CRÉDITO", R250="ADIANTAMENTO"), N250, IF(R250="Faturado", _xlfn.MINIFS(N:N, C:C, C250)-30, ""))</f>
        <v>45850</v>
      </c>
      <c r="AI250" s="129" t="s">
        <v>583</v>
      </c>
      <c r="AJ250" s="129"/>
      <c r="AK250" s="129"/>
      <c r="AL250" s="129"/>
      <c r="AM250" s="129"/>
    </row>
    <row r="251" spans="1:39" ht="18" hidden="1" customHeight="1" x14ac:dyDescent="0.25">
      <c r="A251" s="117">
        <v>250</v>
      </c>
      <c r="B251" s="117"/>
      <c r="C251" s="118" t="s">
        <v>1044</v>
      </c>
      <c r="D251" s="146">
        <f t="array" aca="1" ref="D251" ca="1">SUM(--(_xlfn.UNIQUE(_xlfn._xlws.FILTER($M$2:$M$1011 &amp; "", ($C$2:$C$1011 = C251) * ($M$2:$M$1011 &lt;&gt; ""))) &lt;&gt; ""))</f>
        <v>1</v>
      </c>
      <c r="E251" s="166">
        <f t="shared" ca="1" si="13"/>
        <v>390</v>
      </c>
      <c r="F251" s="143">
        <v>1</v>
      </c>
      <c r="G251" s="143" t="s">
        <v>162</v>
      </c>
      <c r="H251" s="119">
        <f>_xlfn.XLOOKUP(G251,'🚛 FROTA'!B:B,'🚛 FROTA'!A:A,"")</f>
        <v>39</v>
      </c>
      <c r="I251" s="119"/>
      <c r="J251" s="119" t="str">
        <f>IF(G251="","",_xlfn.XLOOKUP(G251,'🚛 FROTA'!B:B,'🚛 FROTA'!E:E,""))</f>
        <v>Express Delivery</v>
      </c>
      <c r="K251" s="119" t="str">
        <f>IF(G251="","",_xlfn.XLOOKUP(G251,'🚛 FROTA'!B:B,'🚛 FROTA'!K:K,""))</f>
        <v>Carroceria Cabinado</v>
      </c>
      <c r="L251" s="143" t="s">
        <v>1045</v>
      </c>
      <c r="M251" s="143" t="s">
        <v>1046</v>
      </c>
      <c r="N251" s="145">
        <v>45881</v>
      </c>
      <c r="O251" s="143">
        <v>1</v>
      </c>
      <c r="P251" s="143">
        <v>1</v>
      </c>
      <c r="Q251" s="167">
        <v>390</v>
      </c>
      <c r="R251" s="143" t="s">
        <v>651</v>
      </c>
      <c r="S251" s="122" t="s">
        <v>534</v>
      </c>
      <c r="T251" s="120" t="s">
        <v>522</v>
      </c>
      <c r="U251" s="121" t="s">
        <v>555</v>
      </c>
      <c r="V251" s="119" t="s">
        <v>785</v>
      </c>
      <c r="W251" s="119" t="s">
        <v>1047</v>
      </c>
      <c r="X251" s="123" t="s">
        <v>1048</v>
      </c>
      <c r="Y251" s="119"/>
      <c r="Z251" s="130"/>
      <c r="AA251" s="125"/>
      <c r="AB251" s="126"/>
      <c r="AC251" s="127"/>
      <c r="AD251" s="127"/>
      <c r="AE251" s="127"/>
      <c r="AF251" s="127"/>
      <c r="AG251" s="125"/>
      <c r="AH251" s="128">
        <f>IF(OR(R251="A Vista", R251="Crédito", R251="Adiantamento"), N251, IF(R251="Faturado", _xlfn.MINIFS(N:N, C:C, C251)-30, ""))</f>
        <v>45881</v>
      </c>
      <c r="AI251" s="129"/>
      <c r="AJ251" s="129"/>
      <c r="AK251" s="129"/>
      <c r="AL251" s="129"/>
      <c r="AM251" s="129"/>
    </row>
    <row r="252" spans="1:39" ht="18" hidden="1" customHeight="1" x14ac:dyDescent="0.25">
      <c r="A252" s="117">
        <v>251</v>
      </c>
      <c r="B252" s="117"/>
      <c r="C252" s="118" t="s">
        <v>1049</v>
      </c>
      <c r="D252" s="146">
        <f t="array" aca="1" ref="D252" ca="1">SUM(--(_xlfn.UNIQUE(_xlfn._xlws.FILTER($M$2:$M$1011 &amp; "", ($C$2:$C$1011 = C252) * ($M$2:$M$1011 &lt;&gt; ""))) &lt;&gt; ""))</f>
        <v>1</v>
      </c>
      <c r="E252" s="166">
        <f t="shared" ca="1" si="13"/>
        <v>783</v>
      </c>
      <c r="F252" s="143">
        <v>1</v>
      </c>
      <c r="G252" s="143" t="s">
        <v>172</v>
      </c>
      <c r="H252" s="119">
        <f>_xlfn.XLOOKUP(G252,'🚛 FROTA'!B:B,'🚛 FROTA'!A:A,"")</f>
        <v>45</v>
      </c>
      <c r="I252" s="119"/>
      <c r="J252" s="119" t="str">
        <f>IF(G252="","",_xlfn.XLOOKUP(G252,'🚛 FROTA'!B:B,'🚛 FROTA'!E:E,""))</f>
        <v>Express Delivery</v>
      </c>
      <c r="K252" s="119" t="str">
        <f>IF(G252="","",_xlfn.XLOOKUP(G252,'🚛 FROTA'!B:B,'🚛 FROTA'!K:K,""))</f>
        <v>Carroceria</v>
      </c>
      <c r="L252" s="143" t="s">
        <v>1050</v>
      </c>
      <c r="M252" s="143" t="s">
        <v>1051</v>
      </c>
      <c r="N252" s="145">
        <v>45882</v>
      </c>
      <c r="O252" s="143">
        <v>1</v>
      </c>
      <c r="P252" s="143">
        <v>1</v>
      </c>
      <c r="Q252" s="167">
        <v>783</v>
      </c>
      <c r="R252" s="143" t="s">
        <v>554</v>
      </c>
      <c r="S252" s="122" t="s">
        <v>534</v>
      </c>
      <c r="T252" s="120" t="s">
        <v>522</v>
      </c>
      <c r="U252" s="121" t="s">
        <v>597</v>
      </c>
      <c r="V252" s="119" t="s">
        <v>598</v>
      </c>
      <c r="W252" s="119" t="s">
        <v>679</v>
      </c>
      <c r="X252" s="123" t="s">
        <v>680</v>
      </c>
      <c r="Y252" s="119"/>
      <c r="Z252" s="130"/>
      <c r="AA252" s="125"/>
      <c r="AB252" s="126"/>
      <c r="AC252" s="127"/>
      <c r="AD252" s="127"/>
      <c r="AE252" s="127"/>
      <c r="AF252" s="127"/>
      <c r="AG252" s="125"/>
      <c r="AH252" s="128">
        <f t="shared" ref="AH252:AH268" ca="1" si="15">IF(OR(R252="A VISTA", R252="C. CRÉDITO", R252="ADIANTAMENTO"), N252, IF(R252="Faturado", _xlfn.MINIFS(N:N, C:C, C252)-30, ""))</f>
        <v>45852</v>
      </c>
      <c r="AI252" s="129"/>
      <c r="AJ252" s="129"/>
      <c r="AK252" s="132">
        <f>IF(Z252="",0,Z252+10000)</f>
        <v>0</v>
      </c>
      <c r="AL252" s="129"/>
      <c r="AM252" s="129"/>
    </row>
    <row r="253" spans="1:39" ht="18" hidden="1" customHeight="1" x14ac:dyDescent="0.25">
      <c r="A253" s="117">
        <v>252</v>
      </c>
      <c r="B253" s="117"/>
      <c r="C253" s="118" t="s">
        <v>994</v>
      </c>
      <c r="D253" s="146">
        <f t="array" aca="1" ref="D253" ca="1">SUM(--(_xlfn.UNIQUE(_xlfn._xlws.FILTER($M$2:$M$1011 &amp; "", ($C$2:$C$1011 = C253) * ($M$2:$M$1011 &lt;&gt; ""))) &lt;&gt; ""))</f>
        <v>1</v>
      </c>
      <c r="E253" s="166">
        <f t="shared" ca="1" si="13"/>
        <v>995.81999999999994</v>
      </c>
      <c r="F253" s="143">
        <v>1</v>
      </c>
      <c r="G253" s="143" t="s">
        <v>166</v>
      </c>
      <c r="H253" s="119">
        <f>_xlfn.XLOOKUP(G253,'🚛 FROTA'!B:B,'🚛 FROTA'!A:A,"")</f>
        <v>41</v>
      </c>
      <c r="I253" s="119"/>
      <c r="J253" s="119" t="str">
        <f>IF(G253="","",_xlfn.XLOOKUP(G253,'🚛 FROTA'!B:B,'🚛 FROTA'!E:E,""))</f>
        <v>Express Delivery</v>
      </c>
      <c r="K253" s="119" t="str">
        <f>IF(G253="","",_xlfn.XLOOKUP(G253,'🚛 FROTA'!B:B,'🚛 FROTA'!K:K,""))</f>
        <v>Carroceria Cabinado</v>
      </c>
      <c r="L253" s="143" t="s">
        <v>627</v>
      </c>
      <c r="M253" s="143" t="s">
        <v>995</v>
      </c>
      <c r="N253" s="145">
        <v>45915</v>
      </c>
      <c r="O253" s="143">
        <v>2</v>
      </c>
      <c r="P253" s="143">
        <v>3</v>
      </c>
      <c r="Q253" s="167">
        <v>331.94</v>
      </c>
      <c r="R253" s="143" t="s">
        <v>554</v>
      </c>
      <c r="S253" s="122" t="s">
        <v>560</v>
      </c>
      <c r="T253" s="120" t="s">
        <v>522</v>
      </c>
      <c r="U253" s="121" t="s">
        <v>597</v>
      </c>
      <c r="V253" s="119" t="s">
        <v>598</v>
      </c>
      <c r="W253" s="119" t="s">
        <v>679</v>
      </c>
      <c r="X253" s="123" t="s">
        <v>680</v>
      </c>
      <c r="Y253" s="119"/>
      <c r="Z253" s="130"/>
      <c r="AA253" s="125"/>
      <c r="AB253" s="126"/>
      <c r="AC253" s="127"/>
      <c r="AD253" s="127"/>
      <c r="AE253" s="127"/>
      <c r="AF253" s="127"/>
      <c r="AG253" s="125"/>
      <c r="AH253" s="128">
        <f t="shared" ca="1" si="15"/>
        <v>45853</v>
      </c>
      <c r="AI253" s="129" t="s">
        <v>631</v>
      </c>
      <c r="AJ253" s="129"/>
      <c r="AK253" s="132">
        <f>IF(Z253="",0,Z253+10000)</f>
        <v>0</v>
      </c>
      <c r="AL253" s="129"/>
      <c r="AM253" s="129"/>
    </row>
    <row r="254" spans="1:39" ht="18" hidden="1" customHeight="1" x14ac:dyDescent="0.25">
      <c r="A254" s="117">
        <v>253</v>
      </c>
      <c r="B254" s="117"/>
      <c r="C254" s="118" t="s">
        <v>465</v>
      </c>
      <c r="D254" s="146">
        <f t="array" aca="1" ref="D254" ca="1">SUM(--(_xlfn.UNIQUE(_xlfn._xlws.FILTER($M$2:$M$1011 &amp; "", ($C$2:$C$1011 = C254) * ($M$2:$M$1011 &lt;&gt; ""))) &lt;&gt; ""))</f>
        <v>2</v>
      </c>
      <c r="E254" s="166">
        <f t="shared" ca="1" si="13"/>
        <v>2615.29</v>
      </c>
      <c r="F254" s="143">
        <v>1</v>
      </c>
      <c r="G254" s="143" t="s">
        <v>166</v>
      </c>
      <c r="H254" s="119">
        <f>_xlfn.XLOOKUP(G254,'🚛 FROTA'!B:B,'🚛 FROTA'!A:A,"")</f>
        <v>41</v>
      </c>
      <c r="I254" s="119"/>
      <c r="J254" s="119" t="str">
        <f>IF(G254="","",_xlfn.XLOOKUP(G254,'🚛 FROTA'!B:B,'🚛 FROTA'!E:E,""))</f>
        <v>Express Delivery</v>
      </c>
      <c r="K254" s="119" t="str">
        <f>IF(G254="","",_xlfn.XLOOKUP(G254,'🚛 FROTA'!B:B,'🚛 FROTA'!K:K,""))</f>
        <v>Carroceria Cabinado</v>
      </c>
      <c r="L254" s="143" t="s">
        <v>595</v>
      </c>
      <c r="M254" s="143" t="s">
        <v>968</v>
      </c>
      <c r="N254" s="145">
        <v>45923</v>
      </c>
      <c r="O254" s="143">
        <v>3</v>
      </c>
      <c r="P254" s="143">
        <v>3</v>
      </c>
      <c r="Q254" s="167">
        <v>642.42999999999995</v>
      </c>
      <c r="R254" s="143" t="s">
        <v>554</v>
      </c>
      <c r="S254" s="122" t="s">
        <v>560</v>
      </c>
      <c r="T254" s="120" t="s">
        <v>522</v>
      </c>
      <c r="U254" s="121" t="s">
        <v>555</v>
      </c>
      <c r="V254" s="119" t="s">
        <v>556</v>
      </c>
      <c r="W254" s="119" t="s">
        <v>969</v>
      </c>
      <c r="X254" s="123" t="s">
        <v>970</v>
      </c>
      <c r="Y254" s="119" t="s">
        <v>971</v>
      </c>
      <c r="Z254" s="124">
        <v>68370</v>
      </c>
      <c r="AA254" s="125"/>
      <c r="AB254" s="126"/>
      <c r="AC254" s="127"/>
      <c r="AD254" s="127"/>
      <c r="AE254" s="127"/>
      <c r="AF254" s="127"/>
      <c r="AG254" s="125"/>
      <c r="AH254" s="128">
        <f t="shared" ca="1" si="15"/>
        <v>45830</v>
      </c>
      <c r="AI254" s="129" t="s">
        <v>602</v>
      </c>
      <c r="AJ254" s="129"/>
      <c r="AK254" s="129"/>
      <c r="AL254" s="129"/>
      <c r="AM254" s="129"/>
    </row>
    <row r="255" spans="1:39" ht="18" hidden="1" customHeight="1" x14ac:dyDescent="0.25">
      <c r="A255" s="117">
        <v>254</v>
      </c>
      <c r="B255" s="117"/>
      <c r="C255" s="118" t="s">
        <v>994</v>
      </c>
      <c r="D255" s="146">
        <f t="array" aca="1" ref="D255" ca="1">SUM(--(_xlfn.UNIQUE(_xlfn._xlws.FILTER($M$2:$M$1011 &amp; "", ($C$2:$C$1011 = C255) * ($M$2:$M$1011 &lt;&gt; ""))) &lt;&gt; ""))</f>
        <v>1</v>
      </c>
      <c r="E255" s="166">
        <f t="shared" ca="1" si="13"/>
        <v>995.81999999999994</v>
      </c>
      <c r="F255" s="143">
        <v>1</v>
      </c>
      <c r="G255" s="143" t="s">
        <v>166</v>
      </c>
      <c r="H255" s="119">
        <f>_xlfn.XLOOKUP(G255,'🚛 FROTA'!B:B,'🚛 FROTA'!A:A,"")</f>
        <v>41</v>
      </c>
      <c r="I255" s="119"/>
      <c r="J255" s="119" t="str">
        <f>IF(G255="","",_xlfn.XLOOKUP(G255,'🚛 FROTA'!B:B,'🚛 FROTA'!E:E,""))</f>
        <v>Express Delivery</v>
      </c>
      <c r="K255" s="119" t="str">
        <f>IF(G255="","",_xlfn.XLOOKUP(G255,'🚛 FROTA'!B:B,'🚛 FROTA'!K:K,""))</f>
        <v>Carroceria Cabinado</v>
      </c>
      <c r="L255" s="143" t="s">
        <v>627</v>
      </c>
      <c r="M255" s="143" t="s">
        <v>995</v>
      </c>
      <c r="N255" s="145">
        <v>45943</v>
      </c>
      <c r="O255" s="143">
        <v>3</v>
      </c>
      <c r="P255" s="143">
        <v>3</v>
      </c>
      <c r="Q255" s="167">
        <v>331.94</v>
      </c>
      <c r="R255" s="143" t="s">
        <v>554</v>
      </c>
      <c r="S255" s="122" t="s">
        <v>560</v>
      </c>
      <c r="T255" s="120" t="s">
        <v>522</v>
      </c>
      <c r="U255" s="121" t="s">
        <v>597</v>
      </c>
      <c r="V255" s="119" t="s">
        <v>598</v>
      </c>
      <c r="W255" s="119" t="s">
        <v>1052</v>
      </c>
      <c r="X255" s="123" t="s">
        <v>1053</v>
      </c>
      <c r="Y255" s="119"/>
      <c r="Z255" s="130"/>
      <c r="AA255" s="125"/>
      <c r="AB255" s="126"/>
      <c r="AC255" s="127"/>
      <c r="AD255" s="127"/>
      <c r="AE255" s="127"/>
      <c r="AF255" s="127"/>
      <c r="AG255" s="125"/>
      <c r="AH255" s="128">
        <f t="shared" ca="1" si="15"/>
        <v>45853</v>
      </c>
      <c r="AI255" s="129" t="s">
        <v>631</v>
      </c>
      <c r="AJ255" s="129"/>
      <c r="AK255" s="132">
        <f>IF(Z255="",0,Z255+10000)</f>
        <v>0</v>
      </c>
      <c r="AL255" s="129"/>
      <c r="AM255" s="129"/>
    </row>
    <row r="256" spans="1:39" ht="18" hidden="1" customHeight="1" x14ac:dyDescent="0.25">
      <c r="A256" s="117">
        <v>255</v>
      </c>
      <c r="B256" s="117"/>
      <c r="C256" s="118" t="s">
        <v>1054</v>
      </c>
      <c r="D256" s="146">
        <f t="array" aca="1" ref="D256" ca="1">SUM(--(_xlfn.UNIQUE(_xlfn._xlws.FILTER($M$2:$M$1011 &amp; "", ($C$2:$C$1011 = C256) * ($M$2:$M$1011 &lt;&gt; ""))) &lt;&gt; ""))</f>
        <v>1</v>
      </c>
      <c r="E256" s="166">
        <f t="shared" ca="1" si="13"/>
        <v>500</v>
      </c>
      <c r="F256" s="143">
        <v>1</v>
      </c>
      <c r="G256" s="143" t="s">
        <v>155</v>
      </c>
      <c r="H256" s="119">
        <f>_xlfn.XLOOKUP(G256,'🚛 FROTA'!B:B,'🚛 FROTA'!A:A,"")</f>
        <v>34</v>
      </c>
      <c r="I256" s="119"/>
      <c r="J256" s="119" t="str">
        <f>IF(G256="","",_xlfn.XLOOKUP(G256,'🚛 FROTA'!B:B,'🚛 FROTA'!E:E,""))</f>
        <v>9.170 Delivery</v>
      </c>
      <c r="K256" s="119" t="str">
        <f>IF(G256="","",_xlfn.XLOOKUP(G256,'🚛 FROTA'!B:B,'🚛 FROTA'!K:K,""))</f>
        <v>Basculante</v>
      </c>
      <c r="L256" s="143" t="s">
        <v>1055</v>
      </c>
      <c r="M256" s="143" t="s">
        <v>1056</v>
      </c>
      <c r="N256" s="145">
        <v>45884</v>
      </c>
      <c r="O256" s="143">
        <v>1</v>
      </c>
      <c r="P256" s="143">
        <v>1</v>
      </c>
      <c r="Q256" s="167">
        <v>500</v>
      </c>
      <c r="R256" s="143" t="s">
        <v>554</v>
      </c>
      <c r="S256" s="122" t="s">
        <v>534</v>
      </c>
      <c r="T256" s="120" t="s">
        <v>522</v>
      </c>
      <c r="U256" s="121" t="s">
        <v>555</v>
      </c>
      <c r="V256" s="119" t="s">
        <v>640</v>
      </c>
      <c r="W256" s="119" t="s">
        <v>1057</v>
      </c>
      <c r="X256" s="123" t="s">
        <v>1058</v>
      </c>
      <c r="Y256" s="119"/>
      <c r="Z256" s="124">
        <v>72200</v>
      </c>
      <c r="AA256" s="125"/>
      <c r="AB256" s="126"/>
      <c r="AC256" s="127"/>
      <c r="AD256" s="127"/>
      <c r="AE256" s="127"/>
      <c r="AF256" s="127"/>
      <c r="AG256" s="125"/>
      <c r="AH256" s="128">
        <f t="shared" ca="1" si="15"/>
        <v>45854</v>
      </c>
      <c r="AI256" s="129"/>
      <c r="AJ256" s="129"/>
      <c r="AK256" s="129"/>
      <c r="AL256" s="129"/>
      <c r="AM256" s="129"/>
    </row>
    <row r="257" spans="1:39" ht="18" hidden="1" customHeight="1" x14ac:dyDescent="0.25">
      <c r="A257" s="117">
        <v>256</v>
      </c>
      <c r="B257" s="117"/>
      <c r="C257" s="118" t="s">
        <v>1059</v>
      </c>
      <c r="D257" s="146">
        <f t="array" aca="1" ref="D257" ca="1">SUM(--(_xlfn.UNIQUE(_xlfn._xlws.FILTER($M$2:$M$1011 &amp; "", ($C$2:$C$1011 = C257) * ($M$2:$M$1011 &lt;&gt; ""))) &lt;&gt; ""))</f>
        <v>1</v>
      </c>
      <c r="E257" s="166">
        <f t="shared" ca="1" si="13"/>
        <v>1366.67</v>
      </c>
      <c r="F257" s="143">
        <v>1</v>
      </c>
      <c r="G257" s="143" t="s">
        <v>167</v>
      </c>
      <c r="H257" s="119">
        <f>_xlfn.XLOOKUP(G257,'🚛 FROTA'!B:B,'🚛 FROTA'!A:A,"")</f>
        <v>42</v>
      </c>
      <c r="I257" s="119"/>
      <c r="J257" s="119" t="str">
        <f>IF(G257="","",_xlfn.XLOOKUP(G257,'🚛 FROTA'!B:B,'🚛 FROTA'!E:E,""))</f>
        <v>Express Delivery</v>
      </c>
      <c r="K257" s="119" t="str">
        <f>IF(G257="","",_xlfn.XLOOKUP(G257,'🚛 FROTA'!B:B,'🚛 FROTA'!K:K,""))</f>
        <v>Carroceria</v>
      </c>
      <c r="L257" s="143" t="s">
        <v>552</v>
      </c>
      <c r="M257" s="143" t="s">
        <v>1060</v>
      </c>
      <c r="N257" s="145">
        <v>45947</v>
      </c>
      <c r="O257" s="143">
        <v>3</v>
      </c>
      <c r="P257" s="143">
        <v>3</v>
      </c>
      <c r="Q257" s="167">
        <v>1366.67</v>
      </c>
      <c r="R257" s="143" t="s">
        <v>554</v>
      </c>
      <c r="S257" s="122" t="s">
        <v>534</v>
      </c>
      <c r="T257" s="120" t="s">
        <v>522</v>
      </c>
      <c r="U257" s="121" t="s">
        <v>555</v>
      </c>
      <c r="V257" s="119" t="s">
        <v>619</v>
      </c>
      <c r="W257" s="119" t="s">
        <v>1061</v>
      </c>
      <c r="X257" s="123" t="s">
        <v>1062</v>
      </c>
      <c r="Y257" s="119"/>
      <c r="Z257" s="124">
        <v>58958</v>
      </c>
      <c r="AA257" s="125"/>
      <c r="AB257" s="126"/>
      <c r="AC257" s="127"/>
      <c r="AD257" s="127"/>
      <c r="AE257" s="127"/>
      <c r="AF257" s="127"/>
      <c r="AG257" s="125"/>
      <c r="AH257" s="128">
        <f t="shared" ca="1" si="15"/>
        <v>45917</v>
      </c>
      <c r="AI257" s="129" t="s">
        <v>559</v>
      </c>
      <c r="AJ257" s="129"/>
      <c r="AK257" s="129"/>
      <c r="AL257" s="129"/>
      <c r="AM257" s="129"/>
    </row>
    <row r="258" spans="1:39" ht="18" hidden="1" customHeight="1" x14ac:dyDescent="0.25">
      <c r="A258" s="117">
        <v>257</v>
      </c>
      <c r="B258" s="117"/>
      <c r="C258" s="118" t="s">
        <v>1063</v>
      </c>
      <c r="D258" s="146">
        <f t="array" aca="1" ref="D258" ca="1">SUM(--(_xlfn.UNIQUE(_xlfn._xlws.FILTER($M$2:$M$1011 &amp; "", ($C$2:$C$1011 = C258) * ($M$2:$M$1011 &lt;&gt; ""))) &lt;&gt; ""))</f>
        <v>1</v>
      </c>
      <c r="E258" s="166">
        <f t="shared" ref="E258:E321" ca="1" si="16">SUMIF(C:C, C258, Q:Q)</f>
        <v>2733.33</v>
      </c>
      <c r="F258" s="143">
        <v>1</v>
      </c>
      <c r="G258" s="143" t="s">
        <v>167</v>
      </c>
      <c r="H258" s="119">
        <f>_xlfn.XLOOKUP(G258,'🚛 FROTA'!B:B,'🚛 FROTA'!A:A,"")</f>
        <v>42</v>
      </c>
      <c r="I258" s="119"/>
      <c r="J258" s="119" t="str">
        <f>IF(G258="","",_xlfn.XLOOKUP(G258,'🚛 FROTA'!B:B,'🚛 FROTA'!E:E,""))</f>
        <v>Express Delivery</v>
      </c>
      <c r="K258" s="119" t="str">
        <f>IF(G258="","",_xlfn.XLOOKUP(G258,'🚛 FROTA'!B:B,'🚛 FROTA'!K:K,""))</f>
        <v>Carroceria</v>
      </c>
      <c r="L258" s="143" t="s">
        <v>552</v>
      </c>
      <c r="M258" s="143" t="s">
        <v>1060</v>
      </c>
      <c r="N258" s="145">
        <v>45887</v>
      </c>
      <c r="O258" s="143">
        <v>1</v>
      </c>
      <c r="P258" s="143">
        <v>3</v>
      </c>
      <c r="Q258" s="167">
        <v>1366.66</v>
      </c>
      <c r="R258" s="143" t="s">
        <v>554</v>
      </c>
      <c r="S258" s="122" t="s">
        <v>534</v>
      </c>
      <c r="T258" s="120" t="s">
        <v>522</v>
      </c>
      <c r="U258" s="121" t="s">
        <v>597</v>
      </c>
      <c r="V258" s="119" t="s">
        <v>598</v>
      </c>
      <c r="W258" s="119" t="s">
        <v>1061</v>
      </c>
      <c r="X258" s="123" t="s">
        <v>1062</v>
      </c>
      <c r="Y258" s="119"/>
      <c r="Z258" s="124">
        <v>58958</v>
      </c>
      <c r="AA258" s="125"/>
      <c r="AB258" s="126"/>
      <c r="AC258" s="127"/>
      <c r="AD258" s="127"/>
      <c r="AE258" s="127"/>
      <c r="AF258" s="127"/>
      <c r="AG258" s="125"/>
      <c r="AH258" s="128">
        <f t="shared" ca="1" si="15"/>
        <v>45857</v>
      </c>
      <c r="AI258" s="129" t="s">
        <v>559</v>
      </c>
      <c r="AJ258" s="129"/>
      <c r="AK258" s="132">
        <f>IF(Z258="",0,Z258+10000)</f>
        <v>68958</v>
      </c>
      <c r="AL258" s="129"/>
      <c r="AM258" s="129"/>
    </row>
    <row r="259" spans="1:39" ht="18" hidden="1" customHeight="1" x14ac:dyDescent="0.25">
      <c r="A259" s="117">
        <v>258</v>
      </c>
      <c r="B259" s="117"/>
      <c r="C259" s="118" t="s">
        <v>1063</v>
      </c>
      <c r="D259" s="146">
        <f t="array" aca="1" ref="D259" ca="1">SUM(--(_xlfn.UNIQUE(_xlfn._xlws.FILTER($M$2:$M$1011 &amp; "", ($C$2:$C$1011 = C259) * ($M$2:$M$1011 &lt;&gt; ""))) &lt;&gt; ""))</f>
        <v>1</v>
      </c>
      <c r="E259" s="166">
        <f t="shared" ca="1" si="16"/>
        <v>2733.33</v>
      </c>
      <c r="F259" s="143">
        <v>1</v>
      </c>
      <c r="G259" s="143" t="s">
        <v>167</v>
      </c>
      <c r="H259" s="119">
        <f>_xlfn.XLOOKUP(G259,'🚛 FROTA'!B:B,'🚛 FROTA'!A:A,"")</f>
        <v>42</v>
      </c>
      <c r="I259" s="119"/>
      <c r="J259" s="119" t="str">
        <f>IF(G259="","",_xlfn.XLOOKUP(G259,'🚛 FROTA'!B:B,'🚛 FROTA'!E:E,""))</f>
        <v>Express Delivery</v>
      </c>
      <c r="K259" s="119" t="str">
        <f>IF(G259="","",_xlfn.XLOOKUP(G259,'🚛 FROTA'!B:B,'🚛 FROTA'!K:K,""))</f>
        <v>Carroceria</v>
      </c>
      <c r="L259" s="143" t="s">
        <v>552</v>
      </c>
      <c r="M259" s="143" t="s">
        <v>1060</v>
      </c>
      <c r="N259" s="145">
        <v>45917</v>
      </c>
      <c r="O259" s="143">
        <v>2</v>
      </c>
      <c r="P259" s="143">
        <v>3</v>
      </c>
      <c r="Q259" s="167">
        <v>1366.67</v>
      </c>
      <c r="R259" s="143" t="s">
        <v>554</v>
      </c>
      <c r="S259" s="122" t="s">
        <v>534</v>
      </c>
      <c r="T259" s="120" t="s">
        <v>522</v>
      </c>
      <c r="U259" s="121" t="s">
        <v>597</v>
      </c>
      <c r="V259" s="119" t="s">
        <v>598</v>
      </c>
      <c r="W259" s="119" t="s">
        <v>1061</v>
      </c>
      <c r="X259" s="123" t="s">
        <v>1062</v>
      </c>
      <c r="Y259" s="119"/>
      <c r="Z259" s="124">
        <v>58958</v>
      </c>
      <c r="AA259" s="125"/>
      <c r="AB259" s="126"/>
      <c r="AC259" s="127"/>
      <c r="AD259" s="127"/>
      <c r="AE259" s="127"/>
      <c r="AF259" s="127"/>
      <c r="AG259" s="125"/>
      <c r="AH259" s="128">
        <f t="shared" ca="1" si="15"/>
        <v>45857</v>
      </c>
      <c r="AI259" s="129" t="s">
        <v>559</v>
      </c>
      <c r="AJ259" s="129"/>
      <c r="AK259" s="132">
        <f>IF(Z259="",0,Z259+10000)</f>
        <v>68958</v>
      </c>
      <c r="AL259" s="129"/>
      <c r="AM259" s="129"/>
    </row>
    <row r="260" spans="1:39" ht="18" hidden="1" customHeight="1" x14ac:dyDescent="0.25">
      <c r="A260" s="117">
        <v>259</v>
      </c>
      <c r="B260" s="117"/>
      <c r="C260" s="118" t="s">
        <v>1064</v>
      </c>
      <c r="D260" s="146">
        <f t="array" aca="1" ref="D260" ca="1">SUM(--(_xlfn.UNIQUE(_xlfn._xlws.FILTER($M$2:$M$1011 &amp; "", ($C$2:$C$1011 = C260) * ($M$2:$M$1011 &lt;&gt; ""))) &lt;&gt; ""))</f>
        <v>1</v>
      </c>
      <c r="E260" s="166">
        <f t="shared" ca="1" si="16"/>
        <v>189.99999999999989</v>
      </c>
      <c r="F260" s="143">
        <v>1</v>
      </c>
      <c r="G260" s="143" t="s">
        <v>141</v>
      </c>
      <c r="H260" s="119">
        <f>_xlfn.XLOOKUP(G260,'🚛 FROTA'!B:B,'🚛 FROTA'!A:A,"")</f>
        <v>24</v>
      </c>
      <c r="I260" s="119"/>
      <c r="J260" s="119" t="str">
        <f>IF(G260="","",_xlfn.XLOOKUP(G260,'🚛 FROTA'!B:B,'🚛 FROTA'!E:E,""))</f>
        <v>14.190 Constellation</v>
      </c>
      <c r="K260" s="119" t="str">
        <f>IF(G260="","",_xlfn.XLOOKUP(G260,'🚛 FROTA'!B:B,'🚛 FROTA'!K:K,""))</f>
        <v>Munck</v>
      </c>
      <c r="L260" s="143" t="s">
        <v>703</v>
      </c>
      <c r="M260" s="143" t="s">
        <v>1065</v>
      </c>
      <c r="N260" s="145">
        <v>45889</v>
      </c>
      <c r="O260" s="143">
        <v>1</v>
      </c>
      <c r="P260" s="143">
        <v>3</v>
      </c>
      <c r="Q260" s="167">
        <v>63.3333333333333</v>
      </c>
      <c r="R260" s="143" t="s">
        <v>554</v>
      </c>
      <c r="S260" s="122" t="s">
        <v>560</v>
      </c>
      <c r="T260" s="120" t="s">
        <v>522</v>
      </c>
      <c r="U260" s="121" t="s">
        <v>555</v>
      </c>
      <c r="V260" s="119" t="s">
        <v>568</v>
      </c>
      <c r="W260" s="119" t="s">
        <v>1066</v>
      </c>
      <c r="X260" s="123" t="s">
        <v>1067</v>
      </c>
      <c r="Y260" s="119"/>
      <c r="Z260" s="124">
        <v>121119</v>
      </c>
      <c r="AA260" s="125"/>
      <c r="AB260" s="126"/>
      <c r="AC260" s="127"/>
      <c r="AD260" s="127"/>
      <c r="AE260" s="127"/>
      <c r="AF260" s="127"/>
      <c r="AG260" s="125"/>
      <c r="AH260" s="128">
        <f t="shared" ca="1" si="15"/>
        <v>45859</v>
      </c>
      <c r="AI260" s="129"/>
      <c r="AJ260" s="129"/>
      <c r="AK260" s="129"/>
      <c r="AL260" s="129"/>
      <c r="AM260" s="129"/>
    </row>
    <row r="261" spans="1:39" ht="18" hidden="1" customHeight="1" x14ac:dyDescent="0.25">
      <c r="A261" s="117">
        <v>260</v>
      </c>
      <c r="B261" s="117"/>
      <c r="C261" s="118" t="s">
        <v>1064</v>
      </c>
      <c r="D261" s="146">
        <f t="array" aca="1" ref="D261" ca="1">SUM(--(_xlfn.UNIQUE(_xlfn._xlws.FILTER($M$2:$M$1011 &amp; "", ($C$2:$C$1011 = C261) * ($M$2:$M$1011 &lt;&gt; ""))) &lt;&gt; ""))</f>
        <v>1</v>
      </c>
      <c r="E261" s="166">
        <f t="shared" ca="1" si="16"/>
        <v>189.99999999999989</v>
      </c>
      <c r="F261" s="143">
        <v>1</v>
      </c>
      <c r="G261" s="143" t="s">
        <v>141</v>
      </c>
      <c r="H261" s="119">
        <f>_xlfn.XLOOKUP(G261,'🚛 FROTA'!B:B,'🚛 FROTA'!A:A,"")</f>
        <v>24</v>
      </c>
      <c r="I261" s="119"/>
      <c r="J261" s="119" t="str">
        <f>IF(G261="","",_xlfn.XLOOKUP(G261,'🚛 FROTA'!B:B,'🚛 FROTA'!E:E,""))</f>
        <v>14.190 Constellation</v>
      </c>
      <c r="K261" s="119" t="str">
        <f>IF(G261="","",_xlfn.XLOOKUP(G261,'🚛 FROTA'!B:B,'🚛 FROTA'!K:K,""))</f>
        <v>Munck</v>
      </c>
      <c r="L261" s="143" t="s">
        <v>703</v>
      </c>
      <c r="M261" s="143" t="s">
        <v>1065</v>
      </c>
      <c r="N261" s="145">
        <v>45917</v>
      </c>
      <c r="O261" s="143">
        <v>2</v>
      </c>
      <c r="P261" s="143">
        <v>3</v>
      </c>
      <c r="Q261" s="167">
        <v>63.3333333333333</v>
      </c>
      <c r="R261" s="143" t="s">
        <v>554</v>
      </c>
      <c r="S261" s="122" t="s">
        <v>560</v>
      </c>
      <c r="T261" s="120" t="s">
        <v>522</v>
      </c>
      <c r="U261" s="121" t="s">
        <v>555</v>
      </c>
      <c r="V261" s="119" t="s">
        <v>568</v>
      </c>
      <c r="W261" s="119" t="s">
        <v>1066</v>
      </c>
      <c r="X261" s="123" t="s">
        <v>1067</v>
      </c>
      <c r="Y261" s="119"/>
      <c r="Z261" s="124">
        <v>121119</v>
      </c>
      <c r="AA261" s="125"/>
      <c r="AB261" s="126"/>
      <c r="AC261" s="127"/>
      <c r="AD261" s="127"/>
      <c r="AE261" s="127"/>
      <c r="AF261" s="127"/>
      <c r="AG261" s="125"/>
      <c r="AH261" s="128">
        <f t="shared" ca="1" si="15"/>
        <v>45859</v>
      </c>
      <c r="AI261" s="129"/>
      <c r="AJ261" s="129"/>
      <c r="AK261" s="129"/>
      <c r="AL261" s="129"/>
      <c r="AM261" s="129"/>
    </row>
    <row r="262" spans="1:39" ht="18" hidden="1" customHeight="1" x14ac:dyDescent="0.25">
      <c r="A262" s="117">
        <v>261</v>
      </c>
      <c r="B262" s="117"/>
      <c r="C262" s="118" t="s">
        <v>1064</v>
      </c>
      <c r="D262" s="146">
        <f t="array" aca="1" ref="D262" ca="1">SUM(--(_xlfn.UNIQUE(_xlfn._xlws.FILTER($M$2:$M$1011 &amp; "", ($C$2:$C$1011 = C262) * ($M$2:$M$1011 &lt;&gt; ""))) &lt;&gt; ""))</f>
        <v>1</v>
      </c>
      <c r="E262" s="166">
        <f t="shared" ca="1" si="16"/>
        <v>189.99999999999989</v>
      </c>
      <c r="F262" s="143">
        <v>1</v>
      </c>
      <c r="G262" s="143" t="s">
        <v>141</v>
      </c>
      <c r="H262" s="119">
        <f>_xlfn.XLOOKUP(G262,'🚛 FROTA'!B:B,'🚛 FROTA'!A:A,"")</f>
        <v>24</v>
      </c>
      <c r="I262" s="119"/>
      <c r="J262" s="119" t="str">
        <f>IF(G262="","",_xlfn.XLOOKUP(G262,'🚛 FROTA'!B:B,'🚛 FROTA'!E:E,""))</f>
        <v>14.190 Constellation</v>
      </c>
      <c r="K262" s="119" t="str">
        <f>IF(G262="","",_xlfn.XLOOKUP(G262,'🚛 FROTA'!B:B,'🚛 FROTA'!K:K,""))</f>
        <v>Munck</v>
      </c>
      <c r="L262" s="143" t="s">
        <v>703</v>
      </c>
      <c r="M262" s="143" t="s">
        <v>1065</v>
      </c>
      <c r="N262" s="145">
        <v>45947</v>
      </c>
      <c r="O262" s="143">
        <v>3</v>
      </c>
      <c r="P262" s="143">
        <v>3</v>
      </c>
      <c r="Q262" s="167">
        <v>63.3333333333333</v>
      </c>
      <c r="R262" s="143" t="s">
        <v>554</v>
      </c>
      <c r="S262" s="122" t="s">
        <v>560</v>
      </c>
      <c r="T262" s="120" t="s">
        <v>522</v>
      </c>
      <c r="U262" s="121" t="s">
        <v>555</v>
      </c>
      <c r="V262" s="119" t="s">
        <v>568</v>
      </c>
      <c r="W262" s="119" t="s">
        <v>1066</v>
      </c>
      <c r="X262" s="123" t="s">
        <v>1067</v>
      </c>
      <c r="Y262" s="119"/>
      <c r="Z262" s="124">
        <v>121119</v>
      </c>
      <c r="AA262" s="125"/>
      <c r="AB262" s="126"/>
      <c r="AC262" s="127"/>
      <c r="AD262" s="127"/>
      <c r="AE262" s="127"/>
      <c r="AF262" s="127"/>
      <c r="AG262" s="125"/>
      <c r="AH262" s="128">
        <f t="shared" ca="1" si="15"/>
        <v>45859</v>
      </c>
      <c r="AI262" s="129"/>
      <c r="AJ262" s="129"/>
      <c r="AK262" s="129"/>
      <c r="AL262" s="129"/>
      <c r="AM262" s="129"/>
    </row>
    <row r="263" spans="1:39" ht="18" hidden="1" customHeight="1" x14ac:dyDescent="0.25">
      <c r="A263" s="117">
        <v>262</v>
      </c>
      <c r="B263" s="117"/>
      <c r="C263" s="118" t="s">
        <v>1068</v>
      </c>
      <c r="D263" s="146">
        <f t="array" aca="1" ref="D263" ca="1">SUM(--(_xlfn.UNIQUE(_xlfn._xlws.FILTER($M$2:$M$1011 &amp; "", ($C$2:$C$1011 = C263) * ($M$2:$M$1011 &lt;&gt; ""))) &lt;&gt; ""))</f>
        <v>2</v>
      </c>
      <c r="E263" s="166">
        <f t="shared" ca="1" si="16"/>
        <v>4070</v>
      </c>
      <c r="F263" s="143">
        <v>1</v>
      </c>
      <c r="G263" s="143" t="s">
        <v>141</v>
      </c>
      <c r="H263" s="119">
        <f>_xlfn.XLOOKUP(G263,'🚛 FROTA'!B:B,'🚛 FROTA'!A:A,"")</f>
        <v>24</v>
      </c>
      <c r="I263" s="119"/>
      <c r="J263" s="119" t="str">
        <f>IF(G263="","",_xlfn.XLOOKUP(G263,'🚛 FROTA'!B:B,'🚛 FROTA'!E:E,""))</f>
        <v>14.190 Constellation</v>
      </c>
      <c r="K263" s="119" t="str">
        <f>IF(G263="","",_xlfn.XLOOKUP(G263,'🚛 FROTA'!B:B,'🚛 FROTA'!K:K,""))</f>
        <v>Munck</v>
      </c>
      <c r="L263" s="143" t="s">
        <v>703</v>
      </c>
      <c r="M263" s="143" t="s">
        <v>1069</v>
      </c>
      <c r="N263" s="145">
        <v>45889</v>
      </c>
      <c r="O263" s="143">
        <v>1</v>
      </c>
      <c r="P263" s="143">
        <v>3</v>
      </c>
      <c r="Q263" s="167">
        <v>72.6666666666667</v>
      </c>
      <c r="R263" s="143" t="s">
        <v>554</v>
      </c>
      <c r="S263" s="122" t="s">
        <v>534</v>
      </c>
      <c r="T263" s="120" t="s">
        <v>522</v>
      </c>
      <c r="U263" s="121" t="s">
        <v>555</v>
      </c>
      <c r="V263" s="119" t="s">
        <v>573</v>
      </c>
      <c r="W263" s="119" t="s">
        <v>585</v>
      </c>
      <c r="X263" s="123" t="s">
        <v>1070</v>
      </c>
      <c r="Y263" s="119" t="s">
        <v>576</v>
      </c>
      <c r="Z263" s="124">
        <v>121119</v>
      </c>
      <c r="AA263" s="122" t="s">
        <v>577</v>
      </c>
      <c r="AB263" s="122">
        <v>2</v>
      </c>
      <c r="AC263" s="131" t="s">
        <v>1071</v>
      </c>
      <c r="AD263" s="131"/>
      <c r="AE263" s="131" t="s">
        <v>1072</v>
      </c>
      <c r="AF263" s="131"/>
      <c r="AG263" s="125" t="s">
        <v>587</v>
      </c>
      <c r="AH263" s="128">
        <f t="shared" ca="1" si="15"/>
        <v>45859</v>
      </c>
      <c r="AI263" s="129"/>
      <c r="AJ263" s="129"/>
      <c r="AK263" s="129"/>
      <c r="AL263" s="129"/>
      <c r="AM263" s="129"/>
    </row>
    <row r="264" spans="1:39" ht="18" customHeight="1" x14ac:dyDescent="0.25">
      <c r="A264" s="117">
        <v>263</v>
      </c>
      <c r="B264" s="117"/>
      <c r="C264" s="118" t="s">
        <v>1068</v>
      </c>
      <c r="D264" s="146">
        <f t="array" aca="1" ref="D264" ca="1">SUM(--(_xlfn.UNIQUE(_xlfn._xlws.FILTER($M$2:$M$1011 &amp; "", ($C$2:$C$1011 = C264) * ($M$2:$M$1011 &lt;&gt; ""))) &lt;&gt; ""))</f>
        <v>2</v>
      </c>
      <c r="E264" s="166">
        <f t="shared" ca="1" si="16"/>
        <v>4070</v>
      </c>
      <c r="F264" s="143">
        <v>1</v>
      </c>
      <c r="G264" s="143" t="s">
        <v>141</v>
      </c>
      <c r="H264" s="119">
        <f>_xlfn.XLOOKUP(G264,'🚛 FROTA'!B:B,'🚛 FROTA'!A:A,"")</f>
        <v>24</v>
      </c>
      <c r="I264" s="119"/>
      <c r="J264" s="119" t="str">
        <f>IF(G264="","",_xlfn.XLOOKUP(G264,'🚛 FROTA'!B:B,'🚛 FROTA'!E:E,""))</f>
        <v>14.190 Constellation</v>
      </c>
      <c r="K264" s="119" t="str">
        <f>IF(G264="","",_xlfn.XLOOKUP(G264,'🚛 FROTA'!B:B,'🚛 FROTA'!K:K,""))</f>
        <v>Munck</v>
      </c>
      <c r="L264" s="143" t="s">
        <v>703</v>
      </c>
      <c r="M264" s="143" t="s">
        <v>1065</v>
      </c>
      <c r="N264" s="145">
        <v>45889</v>
      </c>
      <c r="O264" s="143">
        <v>1</v>
      </c>
      <c r="P264" s="143">
        <v>3</v>
      </c>
      <c r="Q264" s="167">
        <v>1284</v>
      </c>
      <c r="R264" s="143" t="s">
        <v>554</v>
      </c>
      <c r="S264" s="122" t="s">
        <v>560</v>
      </c>
      <c r="T264" s="120" t="s">
        <v>522</v>
      </c>
      <c r="U264" s="121" t="s">
        <v>555</v>
      </c>
      <c r="V264" s="119" t="s">
        <v>573</v>
      </c>
      <c r="W264" s="119" t="s">
        <v>1073</v>
      </c>
      <c r="X264" s="123" t="s">
        <v>1074</v>
      </c>
      <c r="Y264" s="119" t="s">
        <v>576</v>
      </c>
      <c r="Z264" s="124">
        <v>121119</v>
      </c>
      <c r="AA264" s="122" t="s">
        <v>577</v>
      </c>
      <c r="AB264" s="122">
        <v>2</v>
      </c>
      <c r="AC264" s="131" t="s">
        <v>1071</v>
      </c>
      <c r="AD264" s="131" t="s">
        <v>1072</v>
      </c>
      <c r="AE264" s="131" t="s">
        <v>1075</v>
      </c>
      <c r="AF264" s="131" t="s">
        <v>581</v>
      </c>
      <c r="AG264" s="125" t="s">
        <v>582</v>
      </c>
      <c r="AH264" s="128">
        <f t="shared" ca="1" si="15"/>
        <v>45859</v>
      </c>
      <c r="AI264" s="129"/>
      <c r="AJ264" s="129"/>
      <c r="AK264" s="129"/>
      <c r="AL264" s="129"/>
      <c r="AM264" s="129"/>
    </row>
    <row r="265" spans="1:39" ht="18" hidden="1" customHeight="1" x14ac:dyDescent="0.25">
      <c r="A265" s="117">
        <v>264</v>
      </c>
      <c r="B265" s="117"/>
      <c r="C265" s="118" t="s">
        <v>1068</v>
      </c>
      <c r="D265" s="146">
        <f t="array" aca="1" ref="D265" ca="1">SUM(--(_xlfn.UNIQUE(_xlfn._xlws.FILTER($M$2:$M$1011 &amp; "", ($C$2:$C$1011 = C265) * ($M$2:$M$1011 &lt;&gt; ""))) &lt;&gt; ""))</f>
        <v>2</v>
      </c>
      <c r="E265" s="166">
        <f t="shared" ca="1" si="16"/>
        <v>4070</v>
      </c>
      <c r="F265" s="143">
        <v>1</v>
      </c>
      <c r="G265" s="143" t="s">
        <v>141</v>
      </c>
      <c r="H265" s="119">
        <f>_xlfn.XLOOKUP(G265,'🚛 FROTA'!B:B,'🚛 FROTA'!A:A,"")</f>
        <v>24</v>
      </c>
      <c r="I265" s="119"/>
      <c r="J265" s="119" t="str">
        <f>IF(G265="","",_xlfn.XLOOKUP(G265,'🚛 FROTA'!B:B,'🚛 FROTA'!E:E,""))</f>
        <v>14.190 Constellation</v>
      </c>
      <c r="K265" s="119" t="str">
        <f>IF(G265="","",_xlfn.XLOOKUP(G265,'🚛 FROTA'!B:B,'🚛 FROTA'!K:K,""))</f>
        <v>Munck</v>
      </c>
      <c r="L265" s="143" t="s">
        <v>703</v>
      </c>
      <c r="M265" s="143" t="s">
        <v>1069</v>
      </c>
      <c r="N265" s="145">
        <v>45917</v>
      </c>
      <c r="O265" s="143">
        <v>2</v>
      </c>
      <c r="P265" s="143">
        <v>3</v>
      </c>
      <c r="Q265" s="167">
        <v>72.6666666666667</v>
      </c>
      <c r="R265" s="143" t="s">
        <v>554</v>
      </c>
      <c r="S265" s="122" t="s">
        <v>534</v>
      </c>
      <c r="T265" s="120" t="s">
        <v>522</v>
      </c>
      <c r="U265" s="121" t="s">
        <v>555</v>
      </c>
      <c r="V265" s="119" t="s">
        <v>573</v>
      </c>
      <c r="W265" s="119" t="s">
        <v>585</v>
      </c>
      <c r="X265" s="123" t="s">
        <v>1070</v>
      </c>
      <c r="Y265" s="119" t="s">
        <v>576</v>
      </c>
      <c r="Z265" s="124">
        <v>121119</v>
      </c>
      <c r="AA265" s="122" t="s">
        <v>577</v>
      </c>
      <c r="AB265" s="122">
        <v>2</v>
      </c>
      <c r="AC265" s="131" t="s">
        <v>1071</v>
      </c>
      <c r="AD265" s="131" t="s">
        <v>1072</v>
      </c>
      <c r="AE265" s="131" t="s">
        <v>1072</v>
      </c>
      <c r="AF265" s="131"/>
      <c r="AG265" s="125" t="s">
        <v>587</v>
      </c>
      <c r="AH265" s="128">
        <f t="shared" ca="1" si="15"/>
        <v>45859</v>
      </c>
      <c r="AI265" s="129"/>
      <c r="AJ265" s="129"/>
      <c r="AK265" s="129"/>
      <c r="AL265" s="129"/>
      <c r="AM265" s="129"/>
    </row>
    <row r="266" spans="1:39" ht="18" customHeight="1" x14ac:dyDescent="0.25">
      <c r="A266" s="117">
        <v>265</v>
      </c>
      <c r="B266" s="117"/>
      <c r="C266" s="118" t="s">
        <v>1068</v>
      </c>
      <c r="D266" s="146">
        <f t="array" aca="1" ref="D266" ca="1">SUM(--(_xlfn.UNIQUE(_xlfn._xlws.FILTER($M$2:$M$1011 &amp; "", ($C$2:$C$1011 = C266) * ($M$2:$M$1011 &lt;&gt; ""))) &lt;&gt; ""))</f>
        <v>2</v>
      </c>
      <c r="E266" s="166">
        <f t="shared" ca="1" si="16"/>
        <v>4070</v>
      </c>
      <c r="F266" s="143">
        <v>1</v>
      </c>
      <c r="G266" s="143" t="s">
        <v>141</v>
      </c>
      <c r="H266" s="119">
        <f>_xlfn.XLOOKUP(G266,'🚛 FROTA'!B:B,'🚛 FROTA'!A:A,"")</f>
        <v>24</v>
      </c>
      <c r="I266" s="119"/>
      <c r="J266" s="119" t="str">
        <f>IF(G266="","",_xlfn.XLOOKUP(G266,'🚛 FROTA'!B:B,'🚛 FROTA'!E:E,""))</f>
        <v>14.190 Constellation</v>
      </c>
      <c r="K266" s="119" t="str">
        <f>IF(G266="","",_xlfn.XLOOKUP(G266,'🚛 FROTA'!B:B,'🚛 FROTA'!K:K,""))</f>
        <v>Munck</v>
      </c>
      <c r="L266" s="143" t="s">
        <v>703</v>
      </c>
      <c r="M266" s="143" t="s">
        <v>1065</v>
      </c>
      <c r="N266" s="145">
        <v>45917</v>
      </c>
      <c r="O266" s="143">
        <v>2</v>
      </c>
      <c r="P266" s="143">
        <v>3</v>
      </c>
      <c r="Q266" s="167">
        <v>1284</v>
      </c>
      <c r="R266" s="143" t="s">
        <v>554</v>
      </c>
      <c r="S266" s="122" t="s">
        <v>560</v>
      </c>
      <c r="T266" s="120" t="s">
        <v>522</v>
      </c>
      <c r="U266" s="121" t="s">
        <v>555</v>
      </c>
      <c r="V266" s="119" t="s">
        <v>573</v>
      </c>
      <c r="W266" s="119" t="s">
        <v>1073</v>
      </c>
      <c r="X266" s="123" t="s">
        <v>1074</v>
      </c>
      <c r="Y266" s="119" t="s">
        <v>576</v>
      </c>
      <c r="Z266" s="124">
        <v>121119</v>
      </c>
      <c r="AA266" s="122" t="s">
        <v>577</v>
      </c>
      <c r="AB266" s="122">
        <v>2</v>
      </c>
      <c r="AC266" s="131" t="s">
        <v>1071</v>
      </c>
      <c r="AD266" s="131" t="s">
        <v>1072</v>
      </c>
      <c r="AE266" s="131" t="s">
        <v>1075</v>
      </c>
      <c r="AF266" s="131" t="s">
        <v>581</v>
      </c>
      <c r="AG266" s="125" t="s">
        <v>582</v>
      </c>
      <c r="AH266" s="128">
        <f t="shared" ca="1" si="15"/>
        <v>45859</v>
      </c>
      <c r="AI266" s="129"/>
      <c r="AJ266" s="129"/>
      <c r="AK266" s="129"/>
      <c r="AL266" s="129"/>
      <c r="AM266" s="129"/>
    </row>
    <row r="267" spans="1:39" ht="18" hidden="1" customHeight="1" x14ac:dyDescent="0.25">
      <c r="A267" s="117">
        <v>266</v>
      </c>
      <c r="B267" s="117"/>
      <c r="C267" s="118" t="s">
        <v>1068</v>
      </c>
      <c r="D267" s="146">
        <f t="array" aca="1" ref="D267" ca="1">SUM(--(_xlfn.UNIQUE(_xlfn._xlws.FILTER($M$2:$M$1011 &amp; "", ($C$2:$C$1011 = C267) * ($M$2:$M$1011 &lt;&gt; ""))) &lt;&gt; ""))</f>
        <v>2</v>
      </c>
      <c r="E267" s="166">
        <f t="shared" ca="1" si="16"/>
        <v>4070</v>
      </c>
      <c r="F267" s="143">
        <v>1</v>
      </c>
      <c r="G267" s="143" t="s">
        <v>141</v>
      </c>
      <c r="H267" s="119">
        <f>_xlfn.XLOOKUP(G267,'🚛 FROTA'!B:B,'🚛 FROTA'!A:A,"")</f>
        <v>24</v>
      </c>
      <c r="I267" s="119"/>
      <c r="J267" s="119" t="str">
        <f>IF(G267="","",_xlfn.XLOOKUP(G267,'🚛 FROTA'!B:B,'🚛 FROTA'!E:E,""))</f>
        <v>14.190 Constellation</v>
      </c>
      <c r="K267" s="119" t="str">
        <f>IF(G267="","",_xlfn.XLOOKUP(G267,'🚛 FROTA'!B:B,'🚛 FROTA'!K:K,""))</f>
        <v>Munck</v>
      </c>
      <c r="L267" s="143" t="s">
        <v>703</v>
      </c>
      <c r="M267" s="143" t="s">
        <v>1069</v>
      </c>
      <c r="N267" s="145">
        <v>45947</v>
      </c>
      <c r="O267" s="143">
        <v>3</v>
      </c>
      <c r="P267" s="143">
        <v>3</v>
      </c>
      <c r="Q267" s="167">
        <v>72.6666666666667</v>
      </c>
      <c r="R267" s="143" t="s">
        <v>554</v>
      </c>
      <c r="S267" s="122" t="s">
        <v>534</v>
      </c>
      <c r="T267" s="120" t="s">
        <v>522</v>
      </c>
      <c r="U267" s="121" t="s">
        <v>555</v>
      </c>
      <c r="V267" s="119" t="s">
        <v>573</v>
      </c>
      <c r="W267" s="119" t="s">
        <v>585</v>
      </c>
      <c r="X267" s="123" t="s">
        <v>1070</v>
      </c>
      <c r="Y267" s="119" t="s">
        <v>576</v>
      </c>
      <c r="Z267" s="124">
        <v>121119</v>
      </c>
      <c r="AA267" s="122" t="s">
        <v>577</v>
      </c>
      <c r="AB267" s="122">
        <v>2</v>
      </c>
      <c r="AC267" s="131" t="s">
        <v>1071</v>
      </c>
      <c r="AD267" s="131"/>
      <c r="AE267" s="131" t="s">
        <v>1072</v>
      </c>
      <c r="AF267" s="131"/>
      <c r="AG267" s="125" t="s">
        <v>587</v>
      </c>
      <c r="AH267" s="128">
        <f t="shared" ca="1" si="15"/>
        <v>45859</v>
      </c>
      <c r="AI267" s="129"/>
      <c r="AJ267" s="129"/>
      <c r="AK267" s="129"/>
      <c r="AL267" s="129"/>
      <c r="AM267" s="129"/>
    </row>
    <row r="268" spans="1:39" ht="18" customHeight="1" x14ac:dyDescent="0.25">
      <c r="A268" s="117">
        <v>267</v>
      </c>
      <c r="B268" s="117"/>
      <c r="C268" s="118" t="s">
        <v>1068</v>
      </c>
      <c r="D268" s="146">
        <f t="array" aca="1" ref="D268" ca="1">SUM(--(_xlfn.UNIQUE(_xlfn._xlws.FILTER($M$2:$M$1011 &amp; "", ($C$2:$C$1011 = C268) * ($M$2:$M$1011 &lt;&gt; ""))) &lt;&gt; ""))</f>
        <v>2</v>
      </c>
      <c r="E268" s="166">
        <f t="shared" ca="1" si="16"/>
        <v>4070</v>
      </c>
      <c r="F268" s="143">
        <v>1</v>
      </c>
      <c r="G268" s="143" t="s">
        <v>141</v>
      </c>
      <c r="H268" s="119">
        <f>_xlfn.XLOOKUP(G268,'🚛 FROTA'!B:B,'🚛 FROTA'!A:A,"")</f>
        <v>24</v>
      </c>
      <c r="I268" s="119"/>
      <c r="J268" s="119" t="str">
        <f>IF(G268="","",_xlfn.XLOOKUP(G268,'🚛 FROTA'!B:B,'🚛 FROTA'!E:E,""))</f>
        <v>14.190 Constellation</v>
      </c>
      <c r="K268" s="119" t="str">
        <f>IF(G268="","",_xlfn.XLOOKUP(G268,'🚛 FROTA'!B:B,'🚛 FROTA'!K:K,""))</f>
        <v>Munck</v>
      </c>
      <c r="L268" s="143" t="s">
        <v>703</v>
      </c>
      <c r="M268" s="143" t="s">
        <v>1065</v>
      </c>
      <c r="N268" s="145">
        <v>45947</v>
      </c>
      <c r="O268" s="143">
        <v>3</v>
      </c>
      <c r="P268" s="143">
        <v>3</v>
      </c>
      <c r="Q268" s="167">
        <v>1284</v>
      </c>
      <c r="R268" s="143" t="s">
        <v>554</v>
      </c>
      <c r="S268" s="122" t="s">
        <v>560</v>
      </c>
      <c r="T268" s="120" t="s">
        <v>522</v>
      </c>
      <c r="U268" s="121" t="s">
        <v>555</v>
      </c>
      <c r="V268" s="119" t="s">
        <v>573</v>
      </c>
      <c r="W268" s="119" t="s">
        <v>1073</v>
      </c>
      <c r="X268" s="123" t="s">
        <v>1074</v>
      </c>
      <c r="Y268" s="119" t="s">
        <v>576</v>
      </c>
      <c r="Z268" s="124">
        <v>121119</v>
      </c>
      <c r="AA268" s="122" t="s">
        <v>577</v>
      </c>
      <c r="AB268" s="122">
        <v>2</v>
      </c>
      <c r="AC268" s="131" t="s">
        <v>1071</v>
      </c>
      <c r="AD268" s="131" t="s">
        <v>1072</v>
      </c>
      <c r="AE268" s="131" t="s">
        <v>1075</v>
      </c>
      <c r="AF268" s="131" t="s">
        <v>581</v>
      </c>
      <c r="AG268" s="125" t="s">
        <v>582</v>
      </c>
      <c r="AH268" s="128">
        <f t="shared" ca="1" si="15"/>
        <v>45859</v>
      </c>
      <c r="AI268" s="129"/>
      <c r="AJ268" s="129"/>
      <c r="AK268" s="129"/>
      <c r="AL268" s="129"/>
      <c r="AM268" s="129"/>
    </row>
    <row r="269" spans="1:39" ht="18" hidden="1" customHeight="1" x14ac:dyDescent="0.25">
      <c r="A269" s="117">
        <v>268</v>
      </c>
      <c r="B269" s="117"/>
      <c r="C269" s="118" t="s">
        <v>1076</v>
      </c>
      <c r="D269" s="146">
        <f t="array" aca="1" ref="D269" ca="1">SUM(--(_xlfn.UNIQUE(_xlfn._xlws.FILTER($M$2:$M$1011 &amp; "", ($C$2:$C$1011 = C269) * ($M$2:$M$1011 &lt;&gt; ""))) &lt;&gt; ""))</f>
        <v>1</v>
      </c>
      <c r="E269" s="166">
        <f t="shared" ca="1" si="16"/>
        <v>350</v>
      </c>
      <c r="F269" s="143">
        <v>1</v>
      </c>
      <c r="G269" s="143" t="s">
        <v>141</v>
      </c>
      <c r="H269" s="119">
        <f>_xlfn.XLOOKUP(G269,'🚛 FROTA'!B:B,'🚛 FROTA'!A:A,"")</f>
        <v>24</v>
      </c>
      <c r="I269" s="119"/>
      <c r="J269" s="119" t="str">
        <f>IF(G269="","",_xlfn.XLOOKUP(G269,'🚛 FROTA'!B:B,'🚛 FROTA'!E:E,""))</f>
        <v>14.190 Constellation</v>
      </c>
      <c r="K269" s="119" t="str">
        <f>IF(G269="","",_xlfn.XLOOKUP(G269,'🚛 FROTA'!B:B,'🚛 FROTA'!K:K,""))</f>
        <v>Munck</v>
      </c>
      <c r="L269" s="143" t="s">
        <v>1033</v>
      </c>
      <c r="M269" s="143" t="s">
        <v>1077</v>
      </c>
      <c r="N269" s="145">
        <v>45894</v>
      </c>
      <c r="O269" s="143">
        <v>1</v>
      </c>
      <c r="P269" s="143">
        <v>1</v>
      </c>
      <c r="Q269" s="167">
        <v>350</v>
      </c>
      <c r="R269" s="143" t="s">
        <v>651</v>
      </c>
      <c r="S269" s="122" t="s">
        <v>534</v>
      </c>
      <c r="T269" s="120" t="s">
        <v>522</v>
      </c>
      <c r="U269" s="121" t="s">
        <v>555</v>
      </c>
      <c r="V269" s="119" t="s">
        <v>556</v>
      </c>
      <c r="W269" s="119" t="s">
        <v>1078</v>
      </c>
      <c r="X269" s="123" t="s">
        <v>1079</v>
      </c>
      <c r="Y269" s="119"/>
      <c r="Z269" s="124">
        <v>124427</v>
      </c>
      <c r="AA269" s="125"/>
      <c r="AB269" s="126"/>
      <c r="AC269" s="127"/>
      <c r="AD269" s="127"/>
      <c r="AE269" s="127"/>
      <c r="AF269" s="127"/>
      <c r="AG269" s="125"/>
      <c r="AH269" s="128">
        <f>IF(OR(R269="A Vista", R269="Crédito", R269="Adiantamento"), N269, IF(R269="Faturado", _xlfn.MINIFS(N:N, C:C, C269)-30, ""))</f>
        <v>45894</v>
      </c>
      <c r="AI269" s="129"/>
      <c r="AJ269" s="129"/>
      <c r="AK269" s="129"/>
      <c r="AL269" s="129"/>
      <c r="AM269" s="129"/>
    </row>
    <row r="270" spans="1:39" ht="18" hidden="1" customHeight="1" x14ac:dyDescent="0.25">
      <c r="A270" s="117">
        <v>269</v>
      </c>
      <c r="B270" s="117"/>
      <c r="C270" s="118" t="s">
        <v>1080</v>
      </c>
      <c r="D270" s="146">
        <f t="array" aca="1" ref="D270" ca="1">SUM(--(_xlfn.UNIQUE(_xlfn._xlws.FILTER($M$2:$M$1011 &amp; "", ($C$2:$C$1011 = C270) * ($M$2:$M$1011 &lt;&gt; ""))) &lt;&gt; ""))</f>
        <v>1</v>
      </c>
      <c r="E270" s="166">
        <f t="shared" ca="1" si="16"/>
        <v>441.12</v>
      </c>
      <c r="F270" s="143">
        <v>1</v>
      </c>
      <c r="G270" s="143" t="s">
        <v>85</v>
      </c>
      <c r="H270" s="119">
        <f>_xlfn.XLOOKUP(G270,'🚛 FROTA'!B:B,'🚛 FROTA'!A:A,"")</f>
        <v>6</v>
      </c>
      <c r="I270" s="119"/>
      <c r="J270" s="119" t="str">
        <f>IF(G270="","",_xlfn.XLOOKUP(G270,'🚛 FROTA'!B:B,'🚛 FROTA'!E:E,""))</f>
        <v>13.180 Constellation</v>
      </c>
      <c r="K270" s="119" t="str">
        <f>IF(G270="","",_xlfn.XLOOKUP(G270,'🚛 FROTA'!B:B,'🚛 FROTA'!K:K,""))</f>
        <v>Munck</v>
      </c>
      <c r="L270" s="143" t="s">
        <v>627</v>
      </c>
      <c r="M270" s="143" t="s">
        <v>1081</v>
      </c>
      <c r="N270" s="145">
        <v>45901</v>
      </c>
      <c r="O270" s="143">
        <v>1</v>
      </c>
      <c r="P270" s="143">
        <v>1</v>
      </c>
      <c r="Q270" s="167">
        <v>441.12</v>
      </c>
      <c r="R270" s="143" t="s">
        <v>554</v>
      </c>
      <c r="S270" s="122" t="s">
        <v>560</v>
      </c>
      <c r="T270" s="120" t="s">
        <v>522</v>
      </c>
      <c r="U270" s="121" t="s">
        <v>555</v>
      </c>
      <c r="V270" s="119" t="s">
        <v>619</v>
      </c>
      <c r="W270" s="119" t="s">
        <v>1082</v>
      </c>
      <c r="X270" s="123" t="s">
        <v>1083</v>
      </c>
      <c r="Y270" s="119" t="s">
        <v>1084</v>
      </c>
      <c r="Z270" s="130"/>
      <c r="AA270" s="125"/>
      <c r="AB270" s="126"/>
      <c r="AC270" s="127"/>
      <c r="AD270" s="127"/>
      <c r="AE270" s="127"/>
      <c r="AF270" s="127"/>
      <c r="AG270" s="125"/>
      <c r="AH270" s="128">
        <f t="shared" ref="AH270:AH304" ca="1" si="17">IF(OR(R270="A VISTA", R270="C. CRÉDITO", R270="ADIANTAMENTO"), N270, IF(R270="Faturado", _xlfn.MINIFS(N:N, C:C, C270)-30, ""))</f>
        <v>45871</v>
      </c>
      <c r="AI270" s="129" t="s">
        <v>631</v>
      </c>
      <c r="AJ270" s="129"/>
      <c r="AK270" s="129"/>
      <c r="AL270" s="129"/>
      <c r="AM270" s="129"/>
    </row>
    <row r="271" spans="1:39" ht="18" hidden="1" customHeight="1" x14ac:dyDescent="0.25">
      <c r="A271" s="117">
        <v>270</v>
      </c>
      <c r="B271" s="117"/>
      <c r="C271" s="118" t="s">
        <v>1085</v>
      </c>
      <c r="D271" s="146">
        <f t="array" aca="1" ref="D271" ca="1">SUM(--(_xlfn.UNIQUE(_xlfn._xlws.FILTER($M$2:$M$1011 &amp; "", ($C$2:$C$1011 = C271) * ($M$2:$M$1011 &lt;&gt; ""))) &lt;&gt; ""))</f>
        <v>1</v>
      </c>
      <c r="E271" s="166">
        <f t="shared" ca="1" si="16"/>
        <v>32</v>
      </c>
      <c r="F271" s="143">
        <v>1</v>
      </c>
      <c r="G271" s="143" t="s">
        <v>169</v>
      </c>
      <c r="H271" s="119">
        <f>_xlfn.XLOOKUP(G271,'🚛 FROTA'!B:B,'🚛 FROTA'!A:A,"")</f>
        <v>43</v>
      </c>
      <c r="I271" s="119"/>
      <c r="J271" s="119" t="str">
        <f>IF(G271="","",_xlfn.XLOOKUP(G271,'🚛 FROTA'!B:B,'🚛 FROTA'!E:E,""))</f>
        <v>Express Delivery</v>
      </c>
      <c r="K271" s="119" t="str">
        <f>IF(G271="","",_xlfn.XLOOKUP(G271,'🚛 FROTA'!B:B,'🚛 FROTA'!K:K,""))</f>
        <v>Carroceria</v>
      </c>
      <c r="L271" s="143" t="s">
        <v>729</v>
      </c>
      <c r="M271" s="143" t="s">
        <v>1086</v>
      </c>
      <c r="N271" s="145">
        <v>45904</v>
      </c>
      <c r="O271" s="143">
        <v>1</v>
      </c>
      <c r="P271" s="143">
        <v>1</v>
      </c>
      <c r="Q271" s="167">
        <v>32</v>
      </c>
      <c r="R271" s="143" t="s">
        <v>554</v>
      </c>
      <c r="S271" s="122" t="s">
        <v>534</v>
      </c>
      <c r="T271" s="120" t="s">
        <v>522</v>
      </c>
      <c r="U271" s="121" t="s">
        <v>555</v>
      </c>
      <c r="V271" s="119" t="s">
        <v>670</v>
      </c>
      <c r="W271" s="119" t="s">
        <v>731</v>
      </c>
      <c r="X271" s="123" t="s">
        <v>732</v>
      </c>
      <c r="Y271" s="119"/>
      <c r="Z271" s="130"/>
      <c r="AA271" s="125"/>
      <c r="AB271" s="126"/>
      <c r="AC271" s="127"/>
      <c r="AD271" s="127"/>
      <c r="AE271" s="127"/>
      <c r="AF271" s="127"/>
      <c r="AG271" s="125"/>
      <c r="AH271" s="128">
        <f t="shared" ca="1" si="17"/>
        <v>45874</v>
      </c>
      <c r="AI271" s="129"/>
      <c r="AJ271" s="129"/>
      <c r="AK271" s="129"/>
      <c r="AL271" s="129"/>
      <c r="AM271" s="129"/>
    </row>
    <row r="272" spans="1:39" ht="18" hidden="1" customHeight="1" x14ac:dyDescent="0.25">
      <c r="A272" s="117">
        <v>271</v>
      </c>
      <c r="B272" s="117"/>
      <c r="C272" s="118" t="s">
        <v>1087</v>
      </c>
      <c r="D272" s="146">
        <f t="array" aca="1" ref="D272" ca="1">SUM(--(_xlfn.UNIQUE(_xlfn._xlws.FILTER($M$2:$M$1011 &amp; "", ($C$2:$C$1011 = C272) * ($M$2:$M$1011 &lt;&gt; ""))) &lt;&gt; ""))</f>
        <v>1</v>
      </c>
      <c r="E272" s="166">
        <f t="shared" ca="1" si="16"/>
        <v>422.22</v>
      </c>
      <c r="F272" s="143">
        <v>1</v>
      </c>
      <c r="G272" s="143" t="s">
        <v>119</v>
      </c>
      <c r="H272" s="119">
        <f>_xlfn.XLOOKUP(G272,'🚛 FROTA'!B:B,'🚛 FROTA'!A:A,"")</f>
        <v>17</v>
      </c>
      <c r="I272" s="119"/>
      <c r="J272" s="119" t="str">
        <f>IF(G272="","",_xlfn.XLOOKUP(G272,'🚛 FROTA'!B:B,'🚛 FROTA'!E:E,""))</f>
        <v>CAT 416F2</v>
      </c>
      <c r="K272" s="119"/>
      <c r="L272" s="143" t="s">
        <v>822</v>
      </c>
      <c r="M272" s="143" t="s">
        <v>1088</v>
      </c>
      <c r="N272" s="145">
        <v>45908</v>
      </c>
      <c r="O272" s="143">
        <v>1</v>
      </c>
      <c r="P272" s="143">
        <v>1</v>
      </c>
      <c r="Q272" s="167">
        <v>422.22</v>
      </c>
      <c r="R272" s="143" t="s">
        <v>554</v>
      </c>
      <c r="S272" s="122" t="s">
        <v>560</v>
      </c>
      <c r="T272" s="120" t="s">
        <v>522</v>
      </c>
      <c r="U272" s="121" t="s">
        <v>555</v>
      </c>
      <c r="V272" s="119" t="s">
        <v>640</v>
      </c>
      <c r="W272" s="119" t="s">
        <v>1089</v>
      </c>
      <c r="X272" s="123" t="s">
        <v>1089</v>
      </c>
      <c r="Y272" s="119"/>
      <c r="Z272" s="130"/>
      <c r="AA272" s="125"/>
      <c r="AB272" s="126"/>
      <c r="AC272" s="127"/>
      <c r="AD272" s="127"/>
      <c r="AE272" s="127"/>
      <c r="AF272" s="127"/>
      <c r="AG272" s="125"/>
      <c r="AH272" s="128">
        <f t="shared" ca="1" si="17"/>
        <v>45878</v>
      </c>
      <c r="AI272" s="129"/>
      <c r="AJ272" s="129"/>
      <c r="AK272" s="129"/>
      <c r="AL272" s="129"/>
      <c r="AM272" s="129"/>
    </row>
    <row r="273" spans="1:39" ht="18" hidden="1" customHeight="1" x14ac:dyDescent="0.25">
      <c r="A273" s="117">
        <v>272</v>
      </c>
      <c r="B273" s="117"/>
      <c r="C273" s="118" t="s">
        <v>1090</v>
      </c>
      <c r="D273" s="146">
        <f t="array" aca="1" ref="D273" ca="1">SUM(--(_xlfn.UNIQUE(_xlfn._xlws.FILTER($M$2:$M$1011 &amp; "", ($C$2:$C$1011 = C273) * ($M$2:$M$1011 &lt;&gt; ""))) &lt;&gt; ""))</f>
        <v>1</v>
      </c>
      <c r="E273" s="166">
        <f t="shared" ca="1" si="16"/>
        <v>800</v>
      </c>
      <c r="F273" s="143">
        <v>1</v>
      </c>
      <c r="G273" s="143" t="s">
        <v>141</v>
      </c>
      <c r="H273" s="119">
        <f>_xlfn.XLOOKUP(G273,'🚛 FROTA'!B:B,'🚛 FROTA'!A:A,"")</f>
        <v>24</v>
      </c>
      <c r="I273" s="119"/>
      <c r="J273" s="119" t="str">
        <f>IF(G273="","",_xlfn.XLOOKUP(G273,'🚛 FROTA'!B:B,'🚛 FROTA'!E:E,""))</f>
        <v>14.190 Constellation</v>
      </c>
      <c r="K273" s="119" t="str">
        <f>IF(G273="","",_xlfn.XLOOKUP(G273,'🚛 FROTA'!B:B,'🚛 FROTA'!K:K,""))</f>
        <v>Munck</v>
      </c>
      <c r="L273" s="143" t="s">
        <v>595</v>
      </c>
      <c r="M273" s="143" t="s">
        <v>1091</v>
      </c>
      <c r="N273" s="145">
        <v>45910</v>
      </c>
      <c r="O273" s="143">
        <v>1</v>
      </c>
      <c r="P273" s="143">
        <v>2</v>
      </c>
      <c r="Q273" s="167">
        <v>400</v>
      </c>
      <c r="R273" s="143" t="s">
        <v>554</v>
      </c>
      <c r="S273" s="122" t="s">
        <v>560</v>
      </c>
      <c r="T273" s="120" t="s">
        <v>522</v>
      </c>
      <c r="U273" s="121" t="s">
        <v>597</v>
      </c>
      <c r="V273" s="119" t="s">
        <v>598</v>
      </c>
      <c r="W273" s="119" t="s">
        <v>1092</v>
      </c>
      <c r="X273" s="123" t="s">
        <v>1093</v>
      </c>
      <c r="Y273" s="119" t="s">
        <v>1094</v>
      </c>
      <c r="Z273" s="130">
        <v>123086</v>
      </c>
      <c r="AA273" s="125"/>
      <c r="AB273" s="126"/>
      <c r="AC273" s="127"/>
      <c r="AD273" s="127"/>
      <c r="AE273" s="127"/>
      <c r="AF273" s="127"/>
      <c r="AG273" s="125"/>
      <c r="AH273" s="128">
        <f t="shared" ca="1" si="17"/>
        <v>45880</v>
      </c>
      <c r="AI273" s="129" t="s">
        <v>602</v>
      </c>
      <c r="AJ273" s="129"/>
      <c r="AK273" s="132">
        <f>IF(Z273="",0,Z273+10000)</f>
        <v>133086</v>
      </c>
      <c r="AL273" s="129"/>
      <c r="AM273" s="129"/>
    </row>
    <row r="274" spans="1:39" ht="18" hidden="1" customHeight="1" x14ac:dyDescent="0.25">
      <c r="A274" s="117">
        <v>273</v>
      </c>
      <c r="B274" s="117"/>
      <c r="C274" s="118" t="s">
        <v>1090</v>
      </c>
      <c r="D274" s="146">
        <f t="array" aca="1" ref="D274" ca="1">SUM(--(_xlfn.UNIQUE(_xlfn._xlws.FILTER($M$2:$M$1011 &amp; "", ($C$2:$C$1011 = C274) * ($M$2:$M$1011 &lt;&gt; ""))) &lt;&gt; ""))</f>
        <v>1</v>
      </c>
      <c r="E274" s="166">
        <f t="shared" ca="1" si="16"/>
        <v>800</v>
      </c>
      <c r="F274" s="143">
        <v>1</v>
      </c>
      <c r="G274" s="143" t="s">
        <v>141</v>
      </c>
      <c r="H274" s="119">
        <f>_xlfn.XLOOKUP(G274,'🚛 FROTA'!B:B,'🚛 FROTA'!A:A,"")</f>
        <v>24</v>
      </c>
      <c r="I274" s="119"/>
      <c r="J274" s="119" t="str">
        <f>IF(G274="","",_xlfn.XLOOKUP(G274,'🚛 FROTA'!B:B,'🚛 FROTA'!E:E,""))</f>
        <v>14.190 Constellation</v>
      </c>
      <c r="K274" s="119" t="str">
        <f>IF(G274="","",_xlfn.XLOOKUP(G274,'🚛 FROTA'!B:B,'🚛 FROTA'!K:K,""))</f>
        <v>Munck</v>
      </c>
      <c r="L274" s="143" t="s">
        <v>595</v>
      </c>
      <c r="M274" s="143" t="s">
        <v>1091</v>
      </c>
      <c r="N274" s="145">
        <v>45940</v>
      </c>
      <c r="O274" s="143">
        <v>2</v>
      </c>
      <c r="P274" s="143">
        <v>2</v>
      </c>
      <c r="Q274" s="167">
        <v>400</v>
      </c>
      <c r="R274" s="143" t="s">
        <v>554</v>
      </c>
      <c r="S274" s="122" t="s">
        <v>560</v>
      </c>
      <c r="T274" s="120" t="s">
        <v>522</v>
      </c>
      <c r="U274" s="121" t="s">
        <v>597</v>
      </c>
      <c r="V274" s="119" t="s">
        <v>598</v>
      </c>
      <c r="W274" s="119" t="s">
        <v>1092</v>
      </c>
      <c r="X274" s="123" t="s">
        <v>1093</v>
      </c>
      <c r="Y274" s="119" t="s">
        <v>1094</v>
      </c>
      <c r="Z274" s="130">
        <v>123086</v>
      </c>
      <c r="AA274" s="125"/>
      <c r="AB274" s="126"/>
      <c r="AC274" s="127"/>
      <c r="AD274" s="127"/>
      <c r="AE274" s="127"/>
      <c r="AF274" s="127"/>
      <c r="AG274" s="125"/>
      <c r="AH274" s="128">
        <f t="shared" ca="1" si="17"/>
        <v>45880</v>
      </c>
      <c r="AI274" s="129" t="s">
        <v>602</v>
      </c>
      <c r="AJ274" s="129"/>
      <c r="AK274" s="132">
        <f>IF(Z274="",0,Z274+10000)</f>
        <v>133086</v>
      </c>
      <c r="AL274" s="129"/>
      <c r="AM274" s="129"/>
    </row>
    <row r="275" spans="1:39" ht="18" hidden="1" customHeight="1" x14ac:dyDescent="0.25">
      <c r="A275" s="117">
        <v>274</v>
      </c>
      <c r="B275" s="117"/>
      <c r="C275" s="118" t="s">
        <v>1095</v>
      </c>
      <c r="D275" s="146">
        <f t="array" aca="1" ref="D275" ca="1">SUM(--(_xlfn.UNIQUE(_xlfn._xlws.FILTER($M$2:$M$1011 &amp; "", ($C$2:$C$1011 = C275) * ($M$2:$M$1011 &lt;&gt; ""))) &lt;&gt; ""))</f>
        <v>1</v>
      </c>
      <c r="E275" s="166">
        <f t="shared" ca="1" si="16"/>
        <v>570</v>
      </c>
      <c r="F275" s="143">
        <v>1</v>
      </c>
      <c r="G275" s="143" t="s">
        <v>172</v>
      </c>
      <c r="H275" s="119">
        <f>_xlfn.XLOOKUP(G275,'🚛 FROTA'!B:B,'🚛 FROTA'!A:A,"")</f>
        <v>45</v>
      </c>
      <c r="I275" s="119"/>
      <c r="J275" s="119" t="str">
        <f>IF(G275="","",_xlfn.XLOOKUP(G275,'🚛 FROTA'!B:B,'🚛 FROTA'!E:E,""))</f>
        <v>Express Delivery</v>
      </c>
      <c r="K275" s="119" t="str">
        <f>IF(G275="","",_xlfn.XLOOKUP(G275,'🚛 FROTA'!B:B,'🚛 FROTA'!K:K,""))</f>
        <v>Carroceria</v>
      </c>
      <c r="L275" s="143" t="s">
        <v>1096</v>
      </c>
      <c r="M275" s="143" t="s">
        <v>1097</v>
      </c>
      <c r="N275" s="145">
        <v>45911</v>
      </c>
      <c r="O275" s="143">
        <v>1</v>
      </c>
      <c r="P275" s="143">
        <v>1</v>
      </c>
      <c r="Q275" s="167">
        <v>570</v>
      </c>
      <c r="R275" s="143" t="s">
        <v>554</v>
      </c>
      <c r="S275" s="122" t="s">
        <v>560</v>
      </c>
      <c r="T275" s="120" t="s">
        <v>522</v>
      </c>
      <c r="U275" s="121" t="s">
        <v>555</v>
      </c>
      <c r="V275" s="119" t="s">
        <v>670</v>
      </c>
      <c r="W275" s="119" t="s">
        <v>1098</v>
      </c>
      <c r="X275" s="123" t="s">
        <v>1098</v>
      </c>
      <c r="Y275" s="119"/>
      <c r="Z275" s="130"/>
      <c r="AA275" s="125"/>
      <c r="AB275" s="126"/>
      <c r="AC275" s="127"/>
      <c r="AD275" s="127"/>
      <c r="AE275" s="127"/>
      <c r="AF275" s="127"/>
      <c r="AG275" s="125"/>
      <c r="AH275" s="128">
        <f t="shared" ca="1" si="17"/>
        <v>45881</v>
      </c>
      <c r="AI275" s="129"/>
      <c r="AJ275" s="129"/>
      <c r="AK275" s="129"/>
      <c r="AL275" s="129"/>
      <c r="AM275" s="129"/>
    </row>
    <row r="276" spans="1:39" ht="18" hidden="1" customHeight="1" x14ac:dyDescent="0.25">
      <c r="A276" s="117">
        <v>275</v>
      </c>
      <c r="B276" s="117"/>
      <c r="C276" s="118" t="s">
        <v>1099</v>
      </c>
      <c r="D276" s="146">
        <f t="array" aca="1" ref="D276" ca="1">SUM(--(_xlfn.UNIQUE(_xlfn._xlws.FILTER($M$2:$M$1011 &amp; "", ($C$2:$C$1011 = C276) * ($M$2:$M$1011 &lt;&gt; ""))) &lt;&gt; ""))</f>
        <v>1</v>
      </c>
      <c r="E276" s="166">
        <f t="shared" ca="1" si="16"/>
        <v>3069.9900000000002</v>
      </c>
      <c r="F276" s="143">
        <v>1</v>
      </c>
      <c r="G276" s="143" t="s">
        <v>141</v>
      </c>
      <c r="H276" s="119">
        <f>_xlfn.XLOOKUP(G276,'🚛 FROTA'!B:B,'🚛 FROTA'!A:A,"")</f>
        <v>24</v>
      </c>
      <c r="I276" s="119"/>
      <c r="J276" s="119" t="str">
        <f>IF(G276="","",_xlfn.XLOOKUP(G276,'🚛 FROTA'!B:B,'🚛 FROTA'!E:E,""))</f>
        <v>14.190 Constellation</v>
      </c>
      <c r="K276" s="119" t="str">
        <f>IF(G276="","",_xlfn.XLOOKUP(G276,'🚛 FROTA'!B:B,'🚛 FROTA'!K:K,""))</f>
        <v>Munck</v>
      </c>
      <c r="L276" s="143" t="s">
        <v>876</v>
      </c>
      <c r="M276" s="143" t="s">
        <v>1100</v>
      </c>
      <c r="N276" s="145">
        <v>45915</v>
      </c>
      <c r="O276" s="143">
        <v>1</v>
      </c>
      <c r="P276" s="143">
        <v>3</v>
      </c>
      <c r="Q276" s="167">
        <v>1023.33</v>
      </c>
      <c r="R276" s="143" t="s">
        <v>554</v>
      </c>
      <c r="S276" s="122" t="s">
        <v>534</v>
      </c>
      <c r="T276" s="120" t="s">
        <v>522</v>
      </c>
      <c r="U276" s="121" t="s">
        <v>555</v>
      </c>
      <c r="V276" s="119" t="s">
        <v>634</v>
      </c>
      <c r="W276" s="119" t="s">
        <v>1101</v>
      </c>
      <c r="X276" s="123" t="s">
        <v>1102</v>
      </c>
      <c r="Y276" s="119"/>
      <c r="Z276" s="130">
        <v>123476</v>
      </c>
      <c r="AA276" s="125"/>
      <c r="AB276" s="126"/>
      <c r="AC276" s="127"/>
      <c r="AD276" s="127"/>
      <c r="AE276" s="127"/>
      <c r="AF276" s="127"/>
      <c r="AG276" s="125"/>
      <c r="AH276" s="128">
        <f t="shared" ca="1" si="17"/>
        <v>45885</v>
      </c>
      <c r="AI276" s="129" t="s">
        <v>880</v>
      </c>
      <c r="AJ276" s="129"/>
      <c r="AK276" s="129"/>
      <c r="AL276" s="129"/>
      <c r="AM276" s="129"/>
    </row>
    <row r="277" spans="1:39" ht="18" hidden="1" customHeight="1" x14ac:dyDescent="0.25">
      <c r="A277" s="117">
        <v>276</v>
      </c>
      <c r="B277" s="117"/>
      <c r="C277" s="118" t="s">
        <v>1099</v>
      </c>
      <c r="D277" s="146">
        <f t="array" aca="1" ref="D277" ca="1">SUM(--(_xlfn.UNIQUE(_xlfn._xlws.FILTER($M$2:$M$1011 &amp; "", ($C$2:$C$1011 = C277) * ($M$2:$M$1011 &lt;&gt; ""))) &lt;&gt; ""))</f>
        <v>1</v>
      </c>
      <c r="E277" s="166">
        <f t="shared" ca="1" si="16"/>
        <v>3069.9900000000002</v>
      </c>
      <c r="F277" s="143">
        <v>1</v>
      </c>
      <c r="G277" s="143" t="s">
        <v>141</v>
      </c>
      <c r="H277" s="119">
        <f>_xlfn.XLOOKUP(G277,'🚛 FROTA'!B:B,'🚛 FROTA'!A:A,"")</f>
        <v>24</v>
      </c>
      <c r="I277" s="119"/>
      <c r="J277" s="119" t="str">
        <f>IF(G277="","",_xlfn.XLOOKUP(G277,'🚛 FROTA'!B:B,'🚛 FROTA'!E:E,""))</f>
        <v>14.190 Constellation</v>
      </c>
      <c r="K277" s="119" t="str">
        <f>IF(G277="","",_xlfn.XLOOKUP(G277,'🚛 FROTA'!B:B,'🚛 FROTA'!K:K,""))</f>
        <v>Munck</v>
      </c>
      <c r="L277" s="143" t="s">
        <v>876</v>
      </c>
      <c r="M277" s="143" t="s">
        <v>1100</v>
      </c>
      <c r="N277" s="145">
        <v>45945</v>
      </c>
      <c r="O277" s="143">
        <v>2</v>
      </c>
      <c r="P277" s="143">
        <v>3</v>
      </c>
      <c r="Q277" s="167">
        <v>1023.33</v>
      </c>
      <c r="R277" s="143" t="s">
        <v>554</v>
      </c>
      <c r="S277" s="122" t="s">
        <v>534</v>
      </c>
      <c r="T277" s="120" t="s">
        <v>522</v>
      </c>
      <c r="U277" s="121" t="s">
        <v>555</v>
      </c>
      <c r="V277" s="119" t="s">
        <v>634</v>
      </c>
      <c r="W277" s="119" t="s">
        <v>1101</v>
      </c>
      <c r="X277" s="123" t="s">
        <v>1102</v>
      </c>
      <c r="Y277" s="119"/>
      <c r="Z277" s="130">
        <v>123476</v>
      </c>
      <c r="AA277" s="125"/>
      <c r="AB277" s="126"/>
      <c r="AC277" s="127"/>
      <c r="AD277" s="127"/>
      <c r="AE277" s="127"/>
      <c r="AF277" s="127"/>
      <c r="AG277" s="125"/>
      <c r="AH277" s="128">
        <f t="shared" ca="1" si="17"/>
        <v>45885</v>
      </c>
      <c r="AI277" s="129" t="s">
        <v>880</v>
      </c>
      <c r="AJ277" s="129"/>
      <c r="AK277" s="129"/>
      <c r="AL277" s="129"/>
      <c r="AM277" s="129"/>
    </row>
    <row r="278" spans="1:39" ht="18" hidden="1" customHeight="1" x14ac:dyDescent="0.25">
      <c r="A278" s="117">
        <v>277</v>
      </c>
      <c r="B278" s="117"/>
      <c r="C278" s="118" t="s">
        <v>1099</v>
      </c>
      <c r="D278" s="146">
        <f t="array" aca="1" ref="D278" ca="1">SUM(--(_xlfn.UNIQUE(_xlfn._xlws.FILTER($M$2:$M$1011 &amp; "", ($C$2:$C$1011 = C278) * ($M$2:$M$1011 &lt;&gt; ""))) &lt;&gt; ""))</f>
        <v>1</v>
      </c>
      <c r="E278" s="166">
        <f t="shared" ca="1" si="16"/>
        <v>3069.9900000000002</v>
      </c>
      <c r="F278" s="143">
        <v>1</v>
      </c>
      <c r="G278" s="143" t="s">
        <v>141</v>
      </c>
      <c r="H278" s="119">
        <f>_xlfn.XLOOKUP(G278,'🚛 FROTA'!B:B,'🚛 FROTA'!A:A,"")</f>
        <v>24</v>
      </c>
      <c r="I278" s="119"/>
      <c r="J278" s="119" t="str">
        <f>IF(G278="","",_xlfn.XLOOKUP(G278,'🚛 FROTA'!B:B,'🚛 FROTA'!E:E,""))</f>
        <v>14.190 Constellation</v>
      </c>
      <c r="K278" s="119" t="str">
        <f>IF(G278="","",_xlfn.XLOOKUP(G278,'🚛 FROTA'!B:B,'🚛 FROTA'!K:K,""))</f>
        <v>Munck</v>
      </c>
      <c r="L278" s="143" t="s">
        <v>876</v>
      </c>
      <c r="M278" s="143" t="s">
        <v>1100</v>
      </c>
      <c r="N278" s="145">
        <v>45976</v>
      </c>
      <c r="O278" s="143">
        <v>3</v>
      </c>
      <c r="P278" s="143">
        <v>3</v>
      </c>
      <c r="Q278" s="167">
        <v>1023.33</v>
      </c>
      <c r="R278" s="143" t="s">
        <v>554</v>
      </c>
      <c r="S278" s="122" t="s">
        <v>534</v>
      </c>
      <c r="T278" s="120" t="s">
        <v>522</v>
      </c>
      <c r="U278" s="121" t="s">
        <v>555</v>
      </c>
      <c r="V278" s="119" t="s">
        <v>634</v>
      </c>
      <c r="W278" s="119" t="s">
        <v>1101</v>
      </c>
      <c r="X278" s="123" t="s">
        <v>1102</v>
      </c>
      <c r="Y278" s="119"/>
      <c r="Z278" s="124">
        <v>123476</v>
      </c>
      <c r="AA278" s="125"/>
      <c r="AB278" s="126"/>
      <c r="AC278" s="127"/>
      <c r="AD278" s="127"/>
      <c r="AE278" s="127"/>
      <c r="AF278" s="127"/>
      <c r="AG278" s="125"/>
      <c r="AH278" s="128">
        <f t="shared" ca="1" si="17"/>
        <v>45885</v>
      </c>
      <c r="AI278" s="129" t="s">
        <v>880</v>
      </c>
      <c r="AJ278" s="129"/>
      <c r="AK278" s="129"/>
      <c r="AL278" s="129"/>
      <c r="AM278" s="129"/>
    </row>
    <row r="279" spans="1:39" ht="18" hidden="1" customHeight="1" x14ac:dyDescent="0.25">
      <c r="A279" s="117">
        <v>278</v>
      </c>
      <c r="B279" s="117"/>
      <c r="C279" s="118" t="s">
        <v>1103</v>
      </c>
      <c r="D279" s="146">
        <f t="array" aca="1" ref="D279" ca="1">SUM(--(_xlfn.UNIQUE(_xlfn._xlws.FILTER($M$2:$M$1011 &amp; "", ($C$2:$C$1011 = C279) * ($M$2:$M$1011 &lt;&gt; ""))) &lt;&gt; ""))</f>
        <v>1</v>
      </c>
      <c r="E279" s="166">
        <f t="shared" ca="1" si="16"/>
        <v>627.46</v>
      </c>
      <c r="F279" s="143">
        <v>1</v>
      </c>
      <c r="G279" s="143" t="s">
        <v>141</v>
      </c>
      <c r="H279" s="119">
        <f>_xlfn.XLOOKUP(G279,'🚛 FROTA'!B:B,'🚛 FROTA'!A:A,"")</f>
        <v>24</v>
      </c>
      <c r="I279" s="119"/>
      <c r="J279" s="119" t="str">
        <f>IF(G279="","",_xlfn.XLOOKUP(G279,'🚛 FROTA'!B:B,'🚛 FROTA'!E:E,""))</f>
        <v>14.190 Constellation</v>
      </c>
      <c r="K279" s="119" t="str">
        <f>IF(G279="","",_xlfn.XLOOKUP(G279,'🚛 FROTA'!B:B,'🚛 FROTA'!K:K,""))</f>
        <v>Munck</v>
      </c>
      <c r="L279" s="143" t="s">
        <v>627</v>
      </c>
      <c r="M279" s="143" t="s">
        <v>1104</v>
      </c>
      <c r="N279" s="145">
        <v>45915</v>
      </c>
      <c r="O279" s="143">
        <v>1</v>
      </c>
      <c r="P279" s="143">
        <v>2</v>
      </c>
      <c r="Q279" s="167">
        <v>313.73</v>
      </c>
      <c r="R279" s="143" t="s">
        <v>554</v>
      </c>
      <c r="S279" s="122" t="s">
        <v>560</v>
      </c>
      <c r="T279" s="120" t="s">
        <v>522</v>
      </c>
      <c r="U279" s="121" t="s">
        <v>555</v>
      </c>
      <c r="V279" s="119" t="s">
        <v>556</v>
      </c>
      <c r="W279" s="119" t="s">
        <v>1105</v>
      </c>
      <c r="X279" s="123" t="s">
        <v>1106</v>
      </c>
      <c r="Y279" s="119"/>
      <c r="Z279" s="130">
        <v>123476</v>
      </c>
      <c r="AA279" s="125"/>
      <c r="AB279" s="126"/>
      <c r="AC279" s="127"/>
      <c r="AD279" s="127"/>
      <c r="AE279" s="127"/>
      <c r="AF279" s="127"/>
      <c r="AG279" s="125"/>
      <c r="AH279" s="128">
        <f t="shared" ca="1" si="17"/>
        <v>45885</v>
      </c>
      <c r="AI279" s="129" t="s">
        <v>631</v>
      </c>
      <c r="AJ279" s="129"/>
      <c r="AK279" s="129"/>
      <c r="AL279" s="129"/>
      <c r="AM279" s="129"/>
    </row>
    <row r="280" spans="1:39" ht="18" hidden="1" customHeight="1" x14ac:dyDescent="0.25">
      <c r="A280" s="117">
        <v>279</v>
      </c>
      <c r="B280" s="117"/>
      <c r="C280" s="118" t="s">
        <v>1103</v>
      </c>
      <c r="D280" s="146">
        <f t="array" aca="1" ref="D280" ca="1">SUM(--(_xlfn.UNIQUE(_xlfn._xlws.FILTER($M$2:$M$1011 &amp; "", ($C$2:$C$1011 = C280) * ($M$2:$M$1011 &lt;&gt; ""))) &lt;&gt; ""))</f>
        <v>1</v>
      </c>
      <c r="E280" s="166">
        <f t="shared" ca="1" si="16"/>
        <v>627.46</v>
      </c>
      <c r="F280" s="143">
        <v>1</v>
      </c>
      <c r="G280" s="143" t="s">
        <v>141</v>
      </c>
      <c r="H280" s="119">
        <f>_xlfn.XLOOKUP(G280,'🚛 FROTA'!B:B,'🚛 FROTA'!A:A,"")</f>
        <v>24</v>
      </c>
      <c r="I280" s="119"/>
      <c r="J280" s="119" t="str">
        <f>IF(G280="","",_xlfn.XLOOKUP(G280,'🚛 FROTA'!B:B,'🚛 FROTA'!E:E,""))</f>
        <v>14.190 Constellation</v>
      </c>
      <c r="K280" s="119" t="str">
        <f>IF(G280="","",_xlfn.XLOOKUP(G280,'🚛 FROTA'!B:B,'🚛 FROTA'!K:K,""))</f>
        <v>Munck</v>
      </c>
      <c r="L280" s="143" t="s">
        <v>627</v>
      </c>
      <c r="M280" s="143" t="s">
        <v>1104</v>
      </c>
      <c r="N280" s="145">
        <v>45929</v>
      </c>
      <c r="O280" s="143">
        <v>2</v>
      </c>
      <c r="P280" s="143">
        <v>2</v>
      </c>
      <c r="Q280" s="167">
        <v>313.73</v>
      </c>
      <c r="R280" s="143" t="s">
        <v>554</v>
      </c>
      <c r="S280" s="122" t="s">
        <v>560</v>
      </c>
      <c r="T280" s="120" t="s">
        <v>522</v>
      </c>
      <c r="U280" s="121" t="s">
        <v>555</v>
      </c>
      <c r="V280" s="119" t="s">
        <v>556</v>
      </c>
      <c r="W280" s="119" t="s">
        <v>1105</v>
      </c>
      <c r="X280" s="123" t="s">
        <v>1106</v>
      </c>
      <c r="Y280" s="119"/>
      <c r="Z280" s="130">
        <v>123476</v>
      </c>
      <c r="AA280" s="125"/>
      <c r="AB280" s="126"/>
      <c r="AC280" s="127"/>
      <c r="AD280" s="127"/>
      <c r="AE280" s="127"/>
      <c r="AF280" s="127"/>
      <c r="AG280" s="125"/>
      <c r="AH280" s="128">
        <f t="shared" ca="1" si="17"/>
        <v>45885</v>
      </c>
      <c r="AI280" s="129" t="s">
        <v>631</v>
      </c>
      <c r="AJ280" s="129"/>
      <c r="AK280" s="129"/>
      <c r="AL280" s="129"/>
      <c r="AM280" s="129"/>
    </row>
    <row r="281" spans="1:39" ht="18" hidden="1" customHeight="1" x14ac:dyDescent="0.25">
      <c r="A281" s="117">
        <v>280</v>
      </c>
      <c r="B281" s="117"/>
      <c r="C281" s="118" t="s">
        <v>1107</v>
      </c>
      <c r="D281" s="146">
        <f t="array" aca="1" ref="D281" ca="1">SUM(--(_xlfn.UNIQUE(_xlfn._xlws.FILTER($M$2:$M$1011 &amp; "", ($C$2:$C$1011 = C281) * ($M$2:$M$1011 &lt;&gt; ""))) &lt;&gt; ""))</f>
        <v>2</v>
      </c>
      <c r="E281" s="166">
        <f t="shared" ca="1" si="16"/>
        <v>3076.0000000000009</v>
      </c>
      <c r="F281" s="143">
        <v>1</v>
      </c>
      <c r="G281" s="143" t="s">
        <v>162</v>
      </c>
      <c r="H281" s="119">
        <f>_xlfn.XLOOKUP(G281,'🚛 FROTA'!B:B,'🚛 FROTA'!A:A,"")</f>
        <v>39</v>
      </c>
      <c r="I281" s="119"/>
      <c r="J281" s="119" t="str">
        <f>IF(G281="","",_xlfn.XLOOKUP(G281,'🚛 FROTA'!B:B,'🚛 FROTA'!E:E,""))</f>
        <v>Express Delivery</v>
      </c>
      <c r="K281" s="119" t="str">
        <f>IF(G281="","",_xlfn.XLOOKUP(G281,'🚛 FROTA'!B:B,'🚛 FROTA'!K:K,""))</f>
        <v>Carroceria Cabinado</v>
      </c>
      <c r="L281" s="143" t="s">
        <v>703</v>
      </c>
      <c r="M281" s="143" t="s">
        <v>1108</v>
      </c>
      <c r="N281" s="145">
        <v>45918</v>
      </c>
      <c r="O281" s="143">
        <v>1</v>
      </c>
      <c r="P281" s="143">
        <v>3</v>
      </c>
      <c r="Q281" s="167">
        <v>66.6666666666667</v>
      </c>
      <c r="R281" s="143" t="s">
        <v>554</v>
      </c>
      <c r="S281" s="122" t="s">
        <v>534</v>
      </c>
      <c r="T281" s="120" t="s">
        <v>522</v>
      </c>
      <c r="U281" s="121" t="s">
        <v>555</v>
      </c>
      <c r="V281" s="119" t="s">
        <v>573</v>
      </c>
      <c r="W281" s="119" t="s">
        <v>1109</v>
      </c>
      <c r="X281" s="123" t="s">
        <v>1110</v>
      </c>
      <c r="Y281" s="119" t="s">
        <v>753</v>
      </c>
      <c r="Z281" s="124">
        <v>77138</v>
      </c>
      <c r="AA281" s="134" t="s">
        <v>759</v>
      </c>
      <c r="AB281" s="122">
        <v>4</v>
      </c>
      <c r="AC281" s="131" t="s">
        <v>578</v>
      </c>
      <c r="AD281" s="131"/>
      <c r="AE281" s="131" t="s">
        <v>1111</v>
      </c>
      <c r="AF281" s="131"/>
      <c r="AG281" s="125" t="s">
        <v>587</v>
      </c>
      <c r="AH281" s="128">
        <f t="shared" ca="1" si="17"/>
        <v>45888</v>
      </c>
      <c r="AI281" s="129"/>
      <c r="AJ281" s="129"/>
      <c r="AK281" s="129"/>
      <c r="AL281" s="129"/>
      <c r="AM281" s="129"/>
    </row>
    <row r="282" spans="1:39" ht="18" customHeight="1" x14ac:dyDescent="0.25">
      <c r="A282" s="117">
        <v>281</v>
      </c>
      <c r="B282" s="117"/>
      <c r="C282" s="118" t="s">
        <v>1107</v>
      </c>
      <c r="D282" s="146">
        <f t="array" aca="1" ref="D282" ca="1">SUM(--(_xlfn.UNIQUE(_xlfn._xlws.FILTER($M$2:$M$1011 &amp; "", ($C$2:$C$1011 = C282) * ($M$2:$M$1011 &lt;&gt; ""))) &lt;&gt; ""))</f>
        <v>2</v>
      </c>
      <c r="E282" s="166">
        <f t="shared" ca="1" si="16"/>
        <v>3076.0000000000009</v>
      </c>
      <c r="F282" s="143">
        <v>1</v>
      </c>
      <c r="G282" s="143" t="s">
        <v>162</v>
      </c>
      <c r="H282" s="119">
        <f>_xlfn.XLOOKUP(G282,'🚛 FROTA'!B:B,'🚛 FROTA'!A:A,"")</f>
        <v>39</v>
      </c>
      <c r="I282" s="119"/>
      <c r="J282" s="119" t="str">
        <f>IF(G282="","",_xlfn.XLOOKUP(G282,'🚛 FROTA'!B:B,'🚛 FROTA'!E:E,""))</f>
        <v>Express Delivery</v>
      </c>
      <c r="K282" s="119" t="str">
        <f>IF(G282="","",_xlfn.XLOOKUP(G282,'🚛 FROTA'!B:B,'🚛 FROTA'!K:K,""))</f>
        <v>Carroceria Cabinado</v>
      </c>
      <c r="L282" s="143" t="s">
        <v>703</v>
      </c>
      <c r="M282" s="143" t="s">
        <v>1112</v>
      </c>
      <c r="N282" s="145">
        <v>45918</v>
      </c>
      <c r="O282" s="143">
        <v>1</v>
      </c>
      <c r="P282" s="143">
        <v>3</v>
      </c>
      <c r="Q282" s="167">
        <v>958.66666666666697</v>
      </c>
      <c r="R282" s="143" t="s">
        <v>554</v>
      </c>
      <c r="S282" s="122" t="s">
        <v>560</v>
      </c>
      <c r="T282" s="120" t="s">
        <v>522</v>
      </c>
      <c r="U282" s="121" t="s">
        <v>555</v>
      </c>
      <c r="V282" s="119" t="s">
        <v>573</v>
      </c>
      <c r="W282" s="119" t="s">
        <v>1073</v>
      </c>
      <c r="X282" s="123" t="s">
        <v>1113</v>
      </c>
      <c r="Y282" s="119" t="s">
        <v>753</v>
      </c>
      <c r="Z282" s="124">
        <v>77138</v>
      </c>
      <c r="AA282" s="134" t="s">
        <v>759</v>
      </c>
      <c r="AB282" s="122">
        <v>4</v>
      </c>
      <c r="AC282" s="131" t="s">
        <v>578</v>
      </c>
      <c r="AD282" s="131" t="s">
        <v>1111</v>
      </c>
      <c r="AE282" s="131" t="s">
        <v>1114</v>
      </c>
      <c r="AF282" s="131" t="s">
        <v>581</v>
      </c>
      <c r="AG282" s="125" t="s">
        <v>582</v>
      </c>
      <c r="AH282" s="128">
        <f t="shared" ca="1" si="17"/>
        <v>45888</v>
      </c>
      <c r="AI282" s="129"/>
      <c r="AJ282" s="129"/>
      <c r="AK282" s="129"/>
      <c r="AL282" s="129"/>
      <c r="AM282" s="129"/>
    </row>
    <row r="283" spans="1:39" ht="18" hidden="1" customHeight="1" x14ac:dyDescent="0.25">
      <c r="A283" s="117">
        <v>282</v>
      </c>
      <c r="B283" s="117"/>
      <c r="C283" s="118" t="s">
        <v>1107</v>
      </c>
      <c r="D283" s="146">
        <f t="array" aca="1" ref="D283" ca="1">SUM(--(_xlfn.UNIQUE(_xlfn._xlws.FILTER($M$2:$M$1011 &amp; "", ($C$2:$C$1011 = C283) * ($M$2:$M$1011 &lt;&gt; ""))) &lt;&gt; ""))</f>
        <v>2</v>
      </c>
      <c r="E283" s="166">
        <f t="shared" ca="1" si="16"/>
        <v>3076.0000000000009</v>
      </c>
      <c r="F283" s="143">
        <v>1</v>
      </c>
      <c r="G283" s="143" t="s">
        <v>162</v>
      </c>
      <c r="H283" s="119">
        <f>_xlfn.XLOOKUP(G283,'🚛 FROTA'!B:B,'🚛 FROTA'!A:A,"")</f>
        <v>39</v>
      </c>
      <c r="I283" s="119"/>
      <c r="J283" s="119" t="str">
        <f>IF(G283="","",_xlfn.XLOOKUP(G283,'🚛 FROTA'!B:B,'🚛 FROTA'!E:E,""))</f>
        <v>Express Delivery</v>
      </c>
      <c r="K283" s="119" t="str">
        <f>IF(G283="","",_xlfn.XLOOKUP(G283,'🚛 FROTA'!B:B,'🚛 FROTA'!K:K,""))</f>
        <v>Carroceria Cabinado</v>
      </c>
      <c r="L283" s="143" t="s">
        <v>703</v>
      </c>
      <c r="M283" s="143" t="s">
        <v>1108</v>
      </c>
      <c r="N283" s="145">
        <v>45950</v>
      </c>
      <c r="O283" s="143">
        <v>2</v>
      </c>
      <c r="P283" s="143">
        <v>3</v>
      </c>
      <c r="Q283" s="167">
        <v>66.6666666666667</v>
      </c>
      <c r="R283" s="143" t="s">
        <v>554</v>
      </c>
      <c r="S283" s="122" t="s">
        <v>534</v>
      </c>
      <c r="T283" s="120" t="s">
        <v>522</v>
      </c>
      <c r="U283" s="121" t="s">
        <v>555</v>
      </c>
      <c r="V283" s="119" t="s">
        <v>573</v>
      </c>
      <c r="W283" s="119" t="s">
        <v>1109</v>
      </c>
      <c r="X283" s="123" t="s">
        <v>1110</v>
      </c>
      <c r="Y283" s="119" t="s">
        <v>753</v>
      </c>
      <c r="Z283" s="124">
        <v>77138</v>
      </c>
      <c r="AA283" s="134" t="s">
        <v>759</v>
      </c>
      <c r="AB283" s="122">
        <v>4</v>
      </c>
      <c r="AC283" s="131" t="s">
        <v>578</v>
      </c>
      <c r="AD283" s="131"/>
      <c r="AE283" s="131" t="s">
        <v>1111</v>
      </c>
      <c r="AF283" s="131"/>
      <c r="AG283" s="125" t="s">
        <v>587</v>
      </c>
      <c r="AH283" s="128">
        <f t="shared" ca="1" si="17"/>
        <v>45888</v>
      </c>
      <c r="AI283" s="129"/>
      <c r="AJ283" s="129"/>
      <c r="AK283" s="129"/>
      <c r="AL283" s="129"/>
      <c r="AM283" s="129"/>
    </row>
    <row r="284" spans="1:39" ht="18" customHeight="1" x14ac:dyDescent="0.25">
      <c r="A284" s="117">
        <v>283</v>
      </c>
      <c r="B284" s="117"/>
      <c r="C284" s="118" t="s">
        <v>1107</v>
      </c>
      <c r="D284" s="146">
        <f t="array" aca="1" ref="D284" ca="1">SUM(--(_xlfn.UNIQUE(_xlfn._xlws.FILTER($M$2:$M$1011 &amp; "", ($C$2:$C$1011 = C284) * ($M$2:$M$1011 &lt;&gt; ""))) &lt;&gt; ""))</f>
        <v>2</v>
      </c>
      <c r="E284" s="166">
        <f t="shared" ca="1" si="16"/>
        <v>3076.0000000000009</v>
      </c>
      <c r="F284" s="143">
        <v>1</v>
      </c>
      <c r="G284" s="143" t="s">
        <v>162</v>
      </c>
      <c r="H284" s="119">
        <f>_xlfn.XLOOKUP(G284,'🚛 FROTA'!B:B,'🚛 FROTA'!A:A,"")</f>
        <v>39</v>
      </c>
      <c r="I284" s="119"/>
      <c r="J284" s="119" t="str">
        <f>IF(G284="","",_xlfn.XLOOKUP(G284,'🚛 FROTA'!B:B,'🚛 FROTA'!E:E,""))</f>
        <v>Express Delivery</v>
      </c>
      <c r="K284" s="119" t="str">
        <f>IF(G284="","",_xlfn.XLOOKUP(G284,'🚛 FROTA'!B:B,'🚛 FROTA'!K:K,""))</f>
        <v>Carroceria Cabinado</v>
      </c>
      <c r="L284" s="143" t="s">
        <v>703</v>
      </c>
      <c r="M284" s="143" t="s">
        <v>1112</v>
      </c>
      <c r="N284" s="145">
        <v>45950</v>
      </c>
      <c r="O284" s="143">
        <v>2</v>
      </c>
      <c r="P284" s="143">
        <v>3</v>
      </c>
      <c r="Q284" s="167">
        <v>958.66666666666697</v>
      </c>
      <c r="R284" s="143" t="s">
        <v>554</v>
      </c>
      <c r="S284" s="122" t="s">
        <v>560</v>
      </c>
      <c r="T284" s="120" t="s">
        <v>522</v>
      </c>
      <c r="U284" s="121" t="s">
        <v>555</v>
      </c>
      <c r="V284" s="119" t="s">
        <v>573</v>
      </c>
      <c r="W284" s="119" t="s">
        <v>1073</v>
      </c>
      <c r="X284" s="123" t="s">
        <v>1113</v>
      </c>
      <c r="Y284" s="119" t="s">
        <v>753</v>
      </c>
      <c r="Z284" s="124">
        <v>77138</v>
      </c>
      <c r="AA284" s="134" t="s">
        <v>759</v>
      </c>
      <c r="AB284" s="122">
        <v>4</v>
      </c>
      <c r="AC284" s="131" t="s">
        <v>578</v>
      </c>
      <c r="AD284" s="131" t="s">
        <v>1111</v>
      </c>
      <c r="AE284" s="131" t="s">
        <v>1114</v>
      </c>
      <c r="AF284" s="131" t="s">
        <v>581</v>
      </c>
      <c r="AG284" s="125" t="s">
        <v>582</v>
      </c>
      <c r="AH284" s="128">
        <f t="shared" ca="1" si="17"/>
        <v>45888</v>
      </c>
      <c r="AI284" s="129"/>
      <c r="AJ284" s="129"/>
      <c r="AK284" s="129"/>
      <c r="AL284" s="129"/>
      <c r="AM284" s="129"/>
    </row>
    <row r="285" spans="1:39" ht="18" hidden="1" customHeight="1" x14ac:dyDescent="0.25">
      <c r="A285" s="117">
        <v>284</v>
      </c>
      <c r="B285" s="117"/>
      <c r="C285" s="118" t="s">
        <v>1107</v>
      </c>
      <c r="D285" s="146">
        <f t="array" aca="1" ref="D285" ca="1">SUM(--(_xlfn.UNIQUE(_xlfn._xlws.FILTER($M$2:$M$1011 &amp; "", ($C$2:$C$1011 = C285) * ($M$2:$M$1011 &lt;&gt; ""))) &lt;&gt; ""))</f>
        <v>2</v>
      </c>
      <c r="E285" s="166">
        <f t="shared" ca="1" si="16"/>
        <v>3076.0000000000009</v>
      </c>
      <c r="F285" s="143">
        <v>1</v>
      </c>
      <c r="G285" s="143" t="s">
        <v>162</v>
      </c>
      <c r="H285" s="119">
        <f>_xlfn.XLOOKUP(G285,'🚛 FROTA'!B:B,'🚛 FROTA'!A:A,"")</f>
        <v>39</v>
      </c>
      <c r="I285" s="119"/>
      <c r="J285" s="119" t="str">
        <f>IF(G285="","",_xlfn.XLOOKUP(G285,'🚛 FROTA'!B:B,'🚛 FROTA'!E:E,""))</f>
        <v>Express Delivery</v>
      </c>
      <c r="K285" s="119" t="str">
        <f>IF(G285="","",_xlfn.XLOOKUP(G285,'🚛 FROTA'!B:B,'🚛 FROTA'!K:K,""))</f>
        <v>Carroceria Cabinado</v>
      </c>
      <c r="L285" s="143" t="s">
        <v>703</v>
      </c>
      <c r="M285" s="143" t="s">
        <v>1108</v>
      </c>
      <c r="N285" s="145">
        <v>45978</v>
      </c>
      <c r="O285" s="143">
        <v>3</v>
      </c>
      <c r="P285" s="143">
        <v>3</v>
      </c>
      <c r="Q285" s="167">
        <v>66.6666666666667</v>
      </c>
      <c r="R285" s="143" t="s">
        <v>554</v>
      </c>
      <c r="S285" s="122" t="s">
        <v>534</v>
      </c>
      <c r="T285" s="120" t="s">
        <v>522</v>
      </c>
      <c r="U285" s="121" t="s">
        <v>555</v>
      </c>
      <c r="V285" s="119" t="s">
        <v>573</v>
      </c>
      <c r="W285" s="119" t="s">
        <v>1109</v>
      </c>
      <c r="X285" s="123" t="s">
        <v>1110</v>
      </c>
      <c r="Y285" s="119" t="s">
        <v>753</v>
      </c>
      <c r="Z285" s="124">
        <v>77138</v>
      </c>
      <c r="AA285" s="134" t="s">
        <v>759</v>
      </c>
      <c r="AB285" s="122">
        <v>4</v>
      </c>
      <c r="AC285" s="131" t="s">
        <v>578</v>
      </c>
      <c r="AD285" s="131"/>
      <c r="AE285" s="131" t="s">
        <v>1111</v>
      </c>
      <c r="AF285" s="131"/>
      <c r="AG285" s="125" t="s">
        <v>587</v>
      </c>
      <c r="AH285" s="128">
        <f t="shared" ca="1" si="17"/>
        <v>45888</v>
      </c>
      <c r="AI285" s="129"/>
      <c r="AJ285" s="129"/>
      <c r="AK285" s="129"/>
      <c r="AL285" s="129"/>
      <c r="AM285" s="129"/>
    </row>
    <row r="286" spans="1:39" ht="18" customHeight="1" x14ac:dyDescent="0.25">
      <c r="A286" s="117">
        <v>285</v>
      </c>
      <c r="B286" s="117"/>
      <c r="C286" s="118" t="s">
        <v>1107</v>
      </c>
      <c r="D286" s="146">
        <f t="array" aca="1" ref="D286" ca="1">SUM(--(_xlfn.UNIQUE(_xlfn._xlws.FILTER($M$2:$M$1011 &amp; "", ($C$2:$C$1011 = C286) * ($M$2:$M$1011 &lt;&gt; ""))) &lt;&gt; ""))</f>
        <v>2</v>
      </c>
      <c r="E286" s="166">
        <f t="shared" ca="1" si="16"/>
        <v>3076.0000000000009</v>
      </c>
      <c r="F286" s="143">
        <v>1</v>
      </c>
      <c r="G286" s="143" t="s">
        <v>162</v>
      </c>
      <c r="H286" s="119">
        <f>_xlfn.XLOOKUP(G286,'🚛 FROTA'!B:B,'🚛 FROTA'!A:A,"")</f>
        <v>39</v>
      </c>
      <c r="I286" s="119"/>
      <c r="J286" s="119" t="str">
        <f>IF(G286="","",_xlfn.XLOOKUP(G286,'🚛 FROTA'!B:B,'🚛 FROTA'!E:E,""))</f>
        <v>Express Delivery</v>
      </c>
      <c r="K286" s="119" t="str">
        <f>IF(G286="","",_xlfn.XLOOKUP(G286,'🚛 FROTA'!B:B,'🚛 FROTA'!K:K,""))</f>
        <v>Carroceria Cabinado</v>
      </c>
      <c r="L286" s="143" t="s">
        <v>703</v>
      </c>
      <c r="M286" s="143" t="s">
        <v>1112</v>
      </c>
      <c r="N286" s="145">
        <v>45978</v>
      </c>
      <c r="O286" s="143">
        <v>3</v>
      </c>
      <c r="P286" s="143">
        <v>3</v>
      </c>
      <c r="Q286" s="167">
        <v>958.66666666666697</v>
      </c>
      <c r="R286" s="143" t="s">
        <v>554</v>
      </c>
      <c r="S286" s="122" t="s">
        <v>560</v>
      </c>
      <c r="T286" s="120" t="s">
        <v>522</v>
      </c>
      <c r="U286" s="121" t="s">
        <v>555</v>
      </c>
      <c r="V286" s="119" t="s">
        <v>573</v>
      </c>
      <c r="W286" s="119" t="s">
        <v>1073</v>
      </c>
      <c r="X286" s="123" t="s">
        <v>1113</v>
      </c>
      <c r="Y286" s="119" t="s">
        <v>753</v>
      </c>
      <c r="Z286" s="124">
        <v>77138</v>
      </c>
      <c r="AA286" s="134" t="s">
        <v>759</v>
      </c>
      <c r="AB286" s="122">
        <v>4</v>
      </c>
      <c r="AC286" s="131" t="s">
        <v>578</v>
      </c>
      <c r="AD286" s="131" t="s">
        <v>1111</v>
      </c>
      <c r="AE286" s="131" t="s">
        <v>1114</v>
      </c>
      <c r="AF286" s="131" t="s">
        <v>581</v>
      </c>
      <c r="AG286" s="125" t="s">
        <v>582</v>
      </c>
      <c r="AH286" s="128">
        <f t="shared" ca="1" si="17"/>
        <v>45888</v>
      </c>
      <c r="AI286" s="129"/>
      <c r="AJ286" s="129"/>
      <c r="AK286" s="129"/>
      <c r="AL286" s="129"/>
      <c r="AM286" s="129"/>
    </row>
    <row r="287" spans="1:39" ht="18" hidden="1" customHeight="1" x14ac:dyDescent="0.25">
      <c r="A287" s="117">
        <v>286</v>
      </c>
      <c r="B287" s="117"/>
      <c r="C287" s="118" t="s">
        <v>1115</v>
      </c>
      <c r="D287" s="146">
        <f t="array" aca="1" ref="D287" ca="1">SUM(--(_xlfn.UNIQUE(_xlfn._xlws.FILTER($M$2:$M$1011 &amp; "", ($C$2:$C$1011 = C287) * ($M$2:$M$1011 &lt;&gt; ""))) &lt;&gt; ""))</f>
        <v>1</v>
      </c>
      <c r="E287" s="166">
        <f t="shared" ca="1" si="16"/>
        <v>485</v>
      </c>
      <c r="F287" s="143">
        <v>1</v>
      </c>
      <c r="G287" s="143" t="s">
        <v>141</v>
      </c>
      <c r="H287" s="119">
        <f>_xlfn.XLOOKUP(G287,'🚛 FROTA'!B:B,'🚛 FROTA'!A:A,"")</f>
        <v>24</v>
      </c>
      <c r="I287" s="119"/>
      <c r="J287" s="119" t="str">
        <f>IF(G287="","",_xlfn.XLOOKUP(G287,'🚛 FROTA'!B:B,'🚛 FROTA'!E:E,""))</f>
        <v>14.190 Constellation</v>
      </c>
      <c r="K287" s="119" t="str">
        <f>IF(G287="","",_xlfn.XLOOKUP(G287,'🚛 FROTA'!B:B,'🚛 FROTA'!K:K,""))</f>
        <v>Munck</v>
      </c>
      <c r="L287" s="143" t="s">
        <v>638</v>
      </c>
      <c r="M287" s="143" t="s">
        <v>1116</v>
      </c>
      <c r="N287" s="145">
        <v>45922</v>
      </c>
      <c r="O287" s="143">
        <v>1</v>
      </c>
      <c r="P287" s="143">
        <v>1</v>
      </c>
      <c r="Q287" s="167">
        <v>485</v>
      </c>
      <c r="R287" s="143" t="s">
        <v>554</v>
      </c>
      <c r="S287" s="122" t="s">
        <v>534</v>
      </c>
      <c r="T287" s="120" t="s">
        <v>522</v>
      </c>
      <c r="U287" s="121" t="s">
        <v>555</v>
      </c>
      <c r="V287" s="119" t="s">
        <v>56</v>
      </c>
      <c r="W287" s="119" t="s">
        <v>1117</v>
      </c>
      <c r="X287" s="123" t="s">
        <v>1118</v>
      </c>
      <c r="Y287" s="119"/>
      <c r="Z287" s="130">
        <v>124194</v>
      </c>
      <c r="AA287" s="125"/>
      <c r="AB287" s="126"/>
      <c r="AC287" s="127"/>
      <c r="AD287" s="127"/>
      <c r="AE287" s="127"/>
      <c r="AF287" s="127"/>
      <c r="AG287" s="125"/>
      <c r="AH287" s="128">
        <f t="shared" ca="1" si="17"/>
        <v>45892</v>
      </c>
      <c r="AI287" s="129"/>
      <c r="AJ287" s="129"/>
      <c r="AK287" s="129"/>
      <c r="AL287" s="129"/>
      <c r="AM287" s="129"/>
    </row>
    <row r="288" spans="1:39" ht="18" hidden="1" customHeight="1" x14ac:dyDescent="0.25">
      <c r="A288" s="117">
        <v>287</v>
      </c>
      <c r="B288" s="117"/>
      <c r="C288" s="118" t="s">
        <v>1119</v>
      </c>
      <c r="D288" s="146">
        <f t="array" aca="1" ref="D288" ca="1">SUM(--(_xlfn.UNIQUE(_xlfn._xlws.FILTER($M$2:$M$1011 &amp; "", ($C$2:$C$1011 = C288) * ($M$2:$M$1011 &lt;&gt; ""))) &lt;&gt; ""))</f>
        <v>1</v>
      </c>
      <c r="E288" s="166">
        <f t="shared" ca="1" si="16"/>
        <v>170</v>
      </c>
      <c r="F288" s="143">
        <v>1</v>
      </c>
      <c r="G288" s="143" t="s">
        <v>141</v>
      </c>
      <c r="H288" s="119">
        <f>_xlfn.XLOOKUP(G288,'🚛 FROTA'!B:B,'🚛 FROTA'!A:A,"")</f>
        <v>24</v>
      </c>
      <c r="I288" s="119"/>
      <c r="J288" s="119" t="str">
        <f>IF(G288="","",_xlfn.XLOOKUP(G288,'🚛 FROTA'!B:B,'🚛 FROTA'!E:E,""))</f>
        <v>14.190 Constellation</v>
      </c>
      <c r="K288" s="119" t="str">
        <f>IF(G288="","",_xlfn.XLOOKUP(G288,'🚛 FROTA'!B:B,'🚛 FROTA'!K:K,""))</f>
        <v>Munck</v>
      </c>
      <c r="L288" s="143" t="s">
        <v>703</v>
      </c>
      <c r="M288" s="143" t="s">
        <v>1120</v>
      </c>
      <c r="N288" s="145">
        <v>45922</v>
      </c>
      <c r="O288" s="143">
        <v>1</v>
      </c>
      <c r="P288" s="143">
        <v>1</v>
      </c>
      <c r="Q288" s="167">
        <v>170</v>
      </c>
      <c r="R288" s="143" t="s">
        <v>554</v>
      </c>
      <c r="S288" s="122" t="s">
        <v>534</v>
      </c>
      <c r="T288" s="120" t="s">
        <v>522</v>
      </c>
      <c r="U288" s="121" t="s">
        <v>555</v>
      </c>
      <c r="V288" s="119" t="s">
        <v>573</v>
      </c>
      <c r="W288" s="119" t="s">
        <v>1121</v>
      </c>
      <c r="X288" s="123" t="s">
        <v>1122</v>
      </c>
      <c r="Y288" s="119"/>
      <c r="Z288" s="124">
        <v>124194</v>
      </c>
      <c r="AA288" s="122" t="s">
        <v>577</v>
      </c>
      <c r="AB288" s="122">
        <v>2</v>
      </c>
      <c r="AC288" s="131"/>
      <c r="AD288" s="131"/>
      <c r="AE288" s="131" t="s">
        <v>1072</v>
      </c>
      <c r="AF288" s="131"/>
      <c r="AG288" s="125" t="s">
        <v>587</v>
      </c>
      <c r="AH288" s="128">
        <f t="shared" ca="1" si="17"/>
        <v>45892</v>
      </c>
      <c r="AI288" s="129"/>
      <c r="AJ288" s="129"/>
      <c r="AK288" s="129"/>
      <c r="AL288" s="129"/>
      <c r="AM288" s="129"/>
    </row>
    <row r="289" spans="1:39" ht="18" hidden="1" customHeight="1" x14ac:dyDescent="0.25">
      <c r="A289" s="117">
        <v>288</v>
      </c>
      <c r="B289" s="117"/>
      <c r="C289" s="118" t="s">
        <v>467</v>
      </c>
      <c r="D289" s="146">
        <f t="array" aca="1" ref="D289" ca="1">SUM(--(_xlfn.UNIQUE(_xlfn._xlws.FILTER($M$2:$M$1011 &amp; "", ($C$2:$C$1011 = C289) * ($M$2:$M$1011 &lt;&gt; ""))) &lt;&gt; ""))</f>
        <v>1</v>
      </c>
      <c r="E289" s="166">
        <f t="shared" ca="1" si="16"/>
        <v>32243.300000000003</v>
      </c>
      <c r="F289" s="143">
        <v>3</v>
      </c>
      <c r="G289" s="143" t="s">
        <v>85</v>
      </c>
      <c r="H289" s="119">
        <f>_xlfn.XLOOKUP(G289,'🚛 FROTA'!B:B,'🚛 FROTA'!A:A,"")</f>
        <v>6</v>
      </c>
      <c r="I289" s="119"/>
      <c r="J289" s="119" t="str">
        <f>IF(G289="","",_xlfn.XLOOKUP(G289,'🚛 FROTA'!B:B,'🚛 FROTA'!E:E,""))</f>
        <v>13.180 Constellation</v>
      </c>
      <c r="K289" s="119" t="str">
        <f>IF(G289="","",_xlfn.XLOOKUP(G289,'🚛 FROTA'!B:B,'🚛 FROTA'!K:K,""))</f>
        <v>Munck</v>
      </c>
      <c r="L289" s="143" t="s">
        <v>638</v>
      </c>
      <c r="M289" s="143" t="s">
        <v>1123</v>
      </c>
      <c r="N289" s="145">
        <v>45922</v>
      </c>
      <c r="O289" s="143">
        <v>1</v>
      </c>
      <c r="P289" s="143">
        <v>5</v>
      </c>
      <c r="Q289" s="167">
        <v>9300</v>
      </c>
      <c r="R289" s="143" t="s">
        <v>554</v>
      </c>
      <c r="S289" s="122" t="s">
        <v>534</v>
      </c>
      <c r="T289" s="120" t="s">
        <v>522</v>
      </c>
      <c r="U289" s="121" t="s">
        <v>555</v>
      </c>
      <c r="V289" s="119" t="s">
        <v>56</v>
      </c>
      <c r="W289" s="119" t="s">
        <v>1124</v>
      </c>
      <c r="X289" s="123" t="s">
        <v>1125</v>
      </c>
      <c r="Y289" s="119"/>
      <c r="Z289" s="124">
        <v>320100</v>
      </c>
      <c r="AA289" s="125"/>
      <c r="AB289" s="126"/>
      <c r="AC289" s="127"/>
      <c r="AD289" s="127"/>
      <c r="AE289" s="127"/>
      <c r="AF289" s="127"/>
      <c r="AG289" s="125"/>
      <c r="AH289" s="128">
        <f t="shared" ca="1" si="17"/>
        <v>45892</v>
      </c>
      <c r="AI289" s="129"/>
      <c r="AJ289" s="129"/>
      <c r="AK289" s="129"/>
      <c r="AL289" s="129"/>
      <c r="AM289" s="129"/>
    </row>
    <row r="290" spans="1:39" ht="18" hidden="1" customHeight="1" x14ac:dyDescent="0.25">
      <c r="A290" s="117">
        <v>289</v>
      </c>
      <c r="B290" s="117"/>
      <c r="C290" s="118" t="s">
        <v>467</v>
      </c>
      <c r="D290" s="146">
        <f t="array" aca="1" ref="D290" ca="1">SUM(--(_xlfn.UNIQUE(_xlfn._xlws.FILTER($M$2:$M$1011 &amp; "", ($C$2:$C$1011 = C290) * ($M$2:$M$1011 &lt;&gt; ""))) &lt;&gt; ""))</f>
        <v>1</v>
      </c>
      <c r="E290" s="166">
        <f t="shared" ca="1" si="16"/>
        <v>32243.300000000003</v>
      </c>
      <c r="F290" s="143">
        <v>3</v>
      </c>
      <c r="G290" s="143" t="s">
        <v>85</v>
      </c>
      <c r="H290" s="119">
        <f>_xlfn.XLOOKUP(G290,'🚛 FROTA'!B:B,'🚛 FROTA'!A:A,"")</f>
        <v>6</v>
      </c>
      <c r="I290" s="119"/>
      <c r="J290" s="119" t="str">
        <f>IF(G290="","",_xlfn.XLOOKUP(G290,'🚛 FROTA'!B:B,'🚛 FROTA'!E:E,""))</f>
        <v>13.180 Constellation</v>
      </c>
      <c r="K290" s="119" t="str">
        <f>IF(G290="","",_xlfn.XLOOKUP(G290,'🚛 FROTA'!B:B,'🚛 FROTA'!K:K,""))</f>
        <v>Munck</v>
      </c>
      <c r="L290" s="143" t="s">
        <v>638</v>
      </c>
      <c r="M290" s="143" t="s">
        <v>1123</v>
      </c>
      <c r="N290" s="145">
        <v>45999</v>
      </c>
      <c r="O290" s="143">
        <v>2</v>
      </c>
      <c r="P290" s="143">
        <v>5</v>
      </c>
      <c r="Q290" s="167">
        <v>7647.77</v>
      </c>
      <c r="R290" s="143" t="s">
        <v>554</v>
      </c>
      <c r="S290" s="122" t="s">
        <v>534</v>
      </c>
      <c r="T290" s="120" t="s">
        <v>522</v>
      </c>
      <c r="U290" s="121" t="s">
        <v>555</v>
      </c>
      <c r="V290" s="119" t="s">
        <v>56</v>
      </c>
      <c r="W290" s="119" t="s">
        <v>1124</v>
      </c>
      <c r="X290" s="123" t="s">
        <v>1125</v>
      </c>
      <c r="Y290" s="119"/>
      <c r="Z290" s="124">
        <v>320100</v>
      </c>
      <c r="AA290" s="125"/>
      <c r="AB290" s="126"/>
      <c r="AC290" s="127"/>
      <c r="AD290" s="127"/>
      <c r="AE290" s="127"/>
      <c r="AF290" s="127"/>
      <c r="AG290" s="125"/>
      <c r="AH290" s="128">
        <f t="shared" ca="1" si="17"/>
        <v>45892</v>
      </c>
      <c r="AI290" s="129"/>
      <c r="AJ290" s="129"/>
      <c r="AK290" s="129"/>
      <c r="AL290" s="129"/>
      <c r="AM290" s="129"/>
    </row>
    <row r="291" spans="1:39" ht="18" hidden="1" customHeight="1" x14ac:dyDescent="0.25">
      <c r="A291" s="117">
        <v>290</v>
      </c>
      <c r="B291" s="117"/>
      <c r="C291" s="118" t="s">
        <v>467</v>
      </c>
      <c r="D291" s="146">
        <f t="array" aca="1" ref="D291" ca="1">SUM(--(_xlfn.UNIQUE(_xlfn._xlws.FILTER($M$2:$M$1011 &amp; "", ($C$2:$C$1011 = C291) * ($M$2:$M$1011 &lt;&gt; ""))) &lt;&gt; ""))</f>
        <v>1</v>
      </c>
      <c r="E291" s="166">
        <f t="shared" ca="1" si="16"/>
        <v>32243.300000000003</v>
      </c>
      <c r="F291" s="143">
        <v>3</v>
      </c>
      <c r="G291" s="143" t="s">
        <v>85</v>
      </c>
      <c r="H291" s="119">
        <f>_xlfn.XLOOKUP(G291,'🚛 FROTA'!B:B,'🚛 FROTA'!A:A,"")</f>
        <v>6</v>
      </c>
      <c r="I291" s="119"/>
      <c r="J291" s="119" t="str">
        <f>IF(G291="","",_xlfn.XLOOKUP(G291,'🚛 FROTA'!B:B,'🚛 FROTA'!E:E,""))</f>
        <v>13.180 Constellation</v>
      </c>
      <c r="K291" s="119" t="str">
        <f>IF(G291="","",_xlfn.XLOOKUP(G291,'🚛 FROTA'!B:B,'🚛 FROTA'!K:K,""))</f>
        <v>Munck</v>
      </c>
      <c r="L291" s="143" t="s">
        <v>638</v>
      </c>
      <c r="M291" s="143" t="s">
        <v>1123</v>
      </c>
      <c r="N291" s="145">
        <v>45999</v>
      </c>
      <c r="O291" s="143">
        <v>3</v>
      </c>
      <c r="P291" s="143">
        <v>5</v>
      </c>
      <c r="Q291" s="167">
        <v>7647.77</v>
      </c>
      <c r="R291" s="143" t="s">
        <v>554</v>
      </c>
      <c r="S291" s="122" t="s">
        <v>534</v>
      </c>
      <c r="T291" s="120" t="s">
        <v>522</v>
      </c>
      <c r="U291" s="121" t="s">
        <v>555</v>
      </c>
      <c r="V291" s="119" t="s">
        <v>56</v>
      </c>
      <c r="W291" s="119" t="s">
        <v>1124</v>
      </c>
      <c r="X291" s="123" t="s">
        <v>1125</v>
      </c>
      <c r="Y291" s="119"/>
      <c r="Z291" s="124">
        <v>320100</v>
      </c>
      <c r="AA291" s="125"/>
      <c r="AB291" s="126"/>
      <c r="AC291" s="127"/>
      <c r="AD291" s="127"/>
      <c r="AE291" s="127"/>
      <c r="AF291" s="127"/>
      <c r="AG291" s="125"/>
      <c r="AH291" s="128">
        <f t="shared" ca="1" si="17"/>
        <v>45892</v>
      </c>
      <c r="AI291" s="129"/>
      <c r="AJ291" s="129"/>
      <c r="AK291" s="129"/>
      <c r="AL291" s="129"/>
      <c r="AM291" s="129"/>
    </row>
    <row r="292" spans="1:39" ht="18" hidden="1" customHeight="1" x14ac:dyDescent="0.25">
      <c r="A292" s="117">
        <v>291</v>
      </c>
      <c r="B292" s="117"/>
      <c r="C292" s="118" t="s">
        <v>467</v>
      </c>
      <c r="D292" s="146">
        <f t="array" aca="1" ref="D292" ca="1">SUM(--(_xlfn.UNIQUE(_xlfn._xlws.FILTER($M$2:$M$1011 &amp; "", ($C$2:$C$1011 = C292) * ($M$2:$M$1011 &lt;&gt; ""))) &lt;&gt; ""))</f>
        <v>1</v>
      </c>
      <c r="E292" s="166">
        <f t="shared" ca="1" si="16"/>
        <v>32243.300000000003</v>
      </c>
      <c r="F292" s="143">
        <v>3</v>
      </c>
      <c r="G292" s="143" t="s">
        <v>85</v>
      </c>
      <c r="H292" s="119">
        <f>_xlfn.XLOOKUP(G292,'🚛 FROTA'!B:B,'🚛 FROTA'!A:A,"")</f>
        <v>6</v>
      </c>
      <c r="I292" s="119"/>
      <c r="J292" s="119" t="str">
        <f>IF(G292="","",_xlfn.XLOOKUP(G292,'🚛 FROTA'!B:B,'🚛 FROTA'!E:E,""))</f>
        <v>13.180 Constellation</v>
      </c>
      <c r="K292" s="119" t="str">
        <f>IF(G292="","",_xlfn.XLOOKUP(G292,'🚛 FROTA'!B:B,'🚛 FROTA'!K:K,""))</f>
        <v>Munck</v>
      </c>
      <c r="L292" s="143" t="s">
        <v>638</v>
      </c>
      <c r="M292" s="143" t="s">
        <v>1123</v>
      </c>
      <c r="N292" s="145">
        <v>46027</v>
      </c>
      <c r="O292" s="143">
        <v>4</v>
      </c>
      <c r="P292" s="143">
        <v>5</v>
      </c>
      <c r="Q292" s="167">
        <v>3823.88</v>
      </c>
      <c r="R292" s="143" t="s">
        <v>554</v>
      </c>
      <c r="S292" s="122" t="s">
        <v>534</v>
      </c>
      <c r="T292" s="120" t="s">
        <v>522</v>
      </c>
      <c r="U292" s="121" t="s">
        <v>555</v>
      </c>
      <c r="V292" s="119" t="s">
        <v>56</v>
      </c>
      <c r="W292" s="119" t="s">
        <v>1124</v>
      </c>
      <c r="X292" s="123" t="s">
        <v>1125</v>
      </c>
      <c r="Y292" s="119"/>
      <c r="Z292" s="124">
        <v>320100</v>
      </c>
      <c r="AA292" s="125"/>
      <c r="AB292" s="126"/>
      <c r="AC292" s="127"/>
      <c r="AD292" s="127"/>
      <c r="AE292" s="127"/>
      <c r="AF292" s="127"/>
      <c r="AG292" s="125"/>
      <c r="AH292" s="128">
        <f t="shared" ca="1" si="17"/>
        <v>45892</v>
      </c>
      <c r="AI292" s="129"/>
      <c r="AJ292" s="129"/>
      <c r="AK292" s="129"/>
      <c r="AL292" s="129"/>
      <c r="AM292" s="129"/>
    </row>
    <row r="293" spans="1:39" ht="18" hidden="1" customHeight="1" x14ac:dyDescent="0.25">
      <c r="A293" s="117">
        <v>292</v>
      </c>
      <c r="B293" s="117"/>
      <c r="C293" s="118" t="s">
        <v>467</v>
      </c>
      <c r="D293" s="146">
        <f t="array" aca="1" ref="D293" ca="1">SUM(--(_xlfn.UNIQUE(_xlfn._xlws.FILTER($M$2:$M$1011 &amp; "", ($C$2:$C$1011 = C293) * ($M$2:$M$1011 &lt;&gt; ""))) &lt;&gt; ""))</f>
        <v>1</v>
      </c>
      <c r="E293" s="166">
        <f t="shared" ca="1" si="16"/>
        <v>32243.300000000003</v>
      </c>
      <c r="F293" s="143">
        <v>3</v>
      </c>
      <c r="G293" s="143" t="s">
        <v>85</v>
      </c>
      <c r="H293" s="119">
        <f>_xlfn.XLOOKUP(G293,'🚛 FROTA'!B:B,'🚛 FROTA'!A:A,"")</f>
        <v>6</v>
      </c>
      <c r="I293" s="119"/>
      <c r="J293" s="119" t="str">
        <f>IF(G293="","",_xlfn.XLOOKUP(G293,'🚛 FROTA'!B:B,'🚛 FROTA'!E:E,""))</f>
        <v>13.180 Constellation</v>
      </c>
      <c r="K293" s="119" t="str">
        <f>IF(G293="","",_xlfn.XLOOKUP(G293,'🚛 FROTA'!B:B,'🚛 FROTA'!K:K,""))</f>
        <v>Munck</v>
      </c>
      <c r="L293" s="143" t="s">
        <v>638</v>
      </c>
      <c r="M293" s="143" t="s">
        <v>1123</v>
      </c>
      <c r="N293" s="145">
        <v>46059</v>
      </c>
      <c r="O293" s="143">
        <v>5</v>
      </c>
      <c r="P293" s="143">
        <v>5</v>
      </c>
      <c r="Q293" s="167">
        <v>3823.88</v>
      </c>
      <c r="R293" s="143" t="s">
        <v>554</v>
      </c>
      <c r="S293" s="122" t="s">
        <v>534</v>
      </c>
      <c r="T293" s="120" t="s">
        <v>522</v>
      </c>
      <c r="U293" s="121" t="s">
        <v>555</v>
      </c>
      <c r="V293" s="119" t="s">
        <v>56</v>
      </c>
      <c r="W293" s="119" t="s">
        <v>1124</v>
      </c>
      <c r="X293" s="123" t="s">
        <v>1125</v>
      </c>
      <c r="Y293" s="119"/>
      <c r="Z293" s="124">
        <v>320100</v>
      </c>
      <c r="AA293" s="125"/>
      <c r="AB293" s="126"/>
      <c r="AC293" s="127"/>
      <c r="AD293" s="127"/>
      <c r="AE293" s="127"/>
      <c r="AF293" s="127"/>
      <c r="AG293" s="125"/>
      <c r="AH293" s="128">
        <f t="shared" ca="1" si="17"/>
        <v>45892</v>
      </c>
      <c r="AI293" s="129"/>
      <c r="AJ293" s="129"/>
      <c r="AK293" s="129"/>
      <c r="AL293" s="129"/>
      <c r="AM293" s="129"/>
    </row>
    <row r="294" spans="1:39" ht="18" hidden="1" customHeight="1" x14ac:dyDescent="0.25">
      <c r="A294" s="117">
        <v>293</v>
      </c>
      <c r="B294" s="117"/>
      <c r="C294" s="118" t="s">
        <v>1126</v>
      </c>
      <c r="D294" s="146">
        <f t="array" aca="1" ref="D294" ca="1">SUM(--(_xlfn.UNIQUE(_xlfn._xlws.FILTER($M$2:$M$1011 &amp; "", ($C$2:$C$1011 = C294) * ($M$2:$M$1011 &lt;&gt; ""))) &lt;&gt; ""))</f>
        <v>1</v>
      </c>
      <c r="E294" s="166">
        <f t="shared" ca="1" si="16"/>
        <v>832</v>
      </c>
      <c r="F294" s="143">
        <v>1</v>
      </c>
      <c r="G294" s="143" t="s">
        <v>170</v>
      </c>
      <c r="H294" s="119">
        <f>_xlfn.XLOOKUP(G294,'🚛 FROTA'!B:B,'🚛 FROTA'!A:A,"")</f>
        <v>44</v>
      </c>
      <c r="I294" s="119"/>
      <c r="J294" s="119" t="str">
        <f>IF(G294="","",_xlfn.XLOOKUP(G294,'🚛 FROTA'!B:B,'🚛 FROTA'!E:E,""))</f>
        <v>Express Delivery</v>
      </c>
      <c r="K294" s="119" t="str">
        <f>IF(G294="","",_xlfn.XLOOKUP(G294,'🚛 FROTA'!B:B,'🚛 FROTA'!K:K,""))</f>
        <v>Carroceria</v>
      </c>
      <c r="L294" s="143" t="s">
        <v>1050</v>
      </c>
      <c r="M294" s="143" t="s">
        <v>1127</v>
      </c>
      <c r="N294" s="145">
        <v>45926</v>
      </c>
      <c r="O294" s="143">
        <v>1</v>
      </c>
      <c r="P294" s="143">
        <v>2</v>
      </c>
      <c r="Q294" s="167">
        <v>416</v>
      </c>
      <c r="R294" s="143" t="s">
        <v>554</v>
      </c>
      <c r="S294" s="122" t="s">
        <v>534</v>
      </c>
      <c r="T294" s="120" t="s">
        <v>522</v>
      </c>
      <c r="U294" s="121" t="s">
        <v>597</v>
      </c>
      <c r="V294" s="119" t="s">
        <v>598</v>
      </c>
      <c r="W294" s="119" t="s">
        <v>916</v>
      </c>
      <c r="X294" s="123" t="s">
        <v>916</v>
      </c>
      <c r="Y294" s="119"/>
      <c r="Z294" s="124">
        <v>39750</v>
      </c>
      <c r="AA294" s="125"/>
      <c r="AB294" s="126"/>
      <c r="AC294" s="127"/>
      <c r="AD294" s="127"/>
      <c r="AE294" s="127"/>
      <c r="AF294" s="127"/>
      <c r="AG294" s="125"/>
      <c r="AH294" s="128">
        <f t="shared" ca="1" si="17"/>
        <v>45896</v>
      </c>
      <c r="AI294" s="129"/>
      <c r="AJ294" s="129"/>
      <c r="AK294" s="132">
        <f>IF(Z294="",0,Z294+10000)</f>
        <v>49750</v>
      </c>
      <c r="AL294" s="129"/>
      <c r="AM294" s="129"/>
    </row>
    <row r="295" spans="1:39" ht="18" hidden="1" customHeight="1" x14ac:dyDescent="0.25">
      <c r="A295" s="117">
        <v>294</v>
      </c>
      <c r="B295" s="117"/>
      <c r="C295" s="118" t="s">
        <v>1126</v>
      </c>
      <c r="D295" s="146">
        <f t="array" aca="1" ref="D295" ca="1">SUM(--(_xlfn.UNIQUE(_xlfn._xlws.FILTER($M$2:$M$1011 &amp; "", ($C$2:$C$1011 = C295) * ($M$2:$M$1011 &lt;&gt; ""))) &lt;&gt; ""))</f>
        <v>1</v>
      </c>
      <c r="E295" s="166">
        <f t="shared" ca="1" si="16"/>
        <v>832</v>
      </c>
      <c r="F295" s="143">
        <v>1</v>
      </c>
      <c r="G295" s="143" t="s">
        <v>170</v>
      </c>
      <c r="H295" s="119">
        <f>_xlfn.XLOOKUP(G295,'🚛 FROTA'!B:B,'🚛 FROTA'!A:A,"")</f>
        <v>44</v>
      </c>
      <c r="I295" s="119"/>
      <c r="J295" s="119" t="str">
        <f>IF(G295="","",_xlfn.XLOOKUP(G295,'🚛 FROTA'!B:B,'🚛 FROTA'!E:E,""))</f>
        <v>Express Delivery</v>
      </c>
      <c r="K295" s="119" t="str">
        <f>IF(G295="","",_xlfn.XLOOKUP(G295,'🚛 FROTA'!B:B,'🚛 FROTA'!K:K,""))</f>
        <v>Carroceria</v>
      </c>
      <c r="L295" s="143" t="s">
        <v>1050</v>
      </c>
      <c r="M295" s="143" t="s">
        <v>1127</v>
      </c>
      <c r="N295" s="145">
        <v>45940</v>
      </c>
      <c r="O295" s="143">
        <v>2</v>
      </c>
      <c r="P295" s="143">
        <v>2</v>
      </c>
      <c r="Q295" s="167">
        <v>416</v>
      </c>
      <c r="R295" s="143" t="s">
        <v>554</v>
      </c>
      <c r="S295" s="122" t="s">
        <v>534</v>
      </c>
      <c r="T295" s="120" t="s">
        <v>522</v>
      </c>
      <c r="U295" s="121" t="s">
        <v>597</v>
      </c>
      <c r="V295" s="119" t="s">
        <v>598</v>
      </c>
      <c r="W295" s="119" t="s">
        <v>916</v>
      </c>
      <c r="X295" s="123" t="s">
        <v>916</v>
      </c>
      <c r="Y295" s="119"/>
      <c r="Z295" s="124">
        <v>39750</v>
      </c>
      <c r="AA295" s="125"/>
      <c r="AB295" s="126"/>
      <c r="AC295" s="127"/>
      <c r="AD295" s="127"/>
      <c r="AE295" s="127"/>
      <c r="AF295" s="127"/>
      <c r="AG295" s="125"/>
      <c r="AH295" s="128">
        <f t="shared" ca="1" si="17"/>
        <v>45896</v>
      </c>
      <c r="AI295" s="129"/>
      <c r="AJ295" s="129"/>
      <c r="AK295" s="132">
        <f>IF(Z295="",0,Z295+10000)</f>
        <v>49750</v>
      </c>
      <c r="AL295" s="129"/>
      <c r="AM295" s="129"/>
    </row>
    <row r="296" spans="1:39" ht="18" hidden="1" customHeight="1" x14ac:dyDescent="0.25">
      <c r="A296" s="117">
        <v>295</v>
      </c>
      <c r="B296" s="117"/>
      <c r="C296" s="118" t="s">
        <v>1128</v>
      </c>
      <c r="D296" s="146">
        <f t="array" aca="1" ref="D296" ca="1">SUM(--(_xlfn.UNIQUE(_xlfn._xlws.FILTER($M$2:$M$1011 &amp; "", ($C$2:$C$1011 = C296) * ($M$2:$M$1011 &lt;&gt; ""))) &lt;&gt; ""))</f>
        <v>1</v>
      </c>
      <c r="E296" s="166">
        <f t="shared" ca="1" si="16"/>
        <v>1815</v>
      </c>
      <c r="F296" s="143">
        <v>1</v>
      </c>
      <c r="G296" s="143" t="s">
        <v>165</v>
      </c>
      <c r="H296" s="119">
        <f>_xlfn.XLOOKUP(G296,'🚛 FROTA'!B:B,'🚛 FROTA'!A:A,"")</f>
        <v>40</v>
      </c>
      <c r="I296" s="119"/>
      <c r="J296" s="119" t="str">
        <f>IF(G296="","",_xlfn.XLOOKUP(G296,'🚛 FROTA'!B:B,'🚛 FROTA'!E:E,""))</f>
        <v>Express Delivery</v>
      </c>
      <c r="K296" s="119" t="str">
        <f>IF(G296="","",_xlfn.XLOOKUP(G296,'🚛 FROTA'!B:B,'🚛 FROTA'!K:K,""))</f>
        <v>Carroceria Cabinado</v>
      </c>
      <c r="L296" s="143" t="s">
        <v>1129</v>
      </c>
      <c r="M296" s="143" t="s">
        <v>1130</v>
      </c>
      <c r="N296" s="145">
        <v>45938</v>
      </c>
      <c r="O296" s="143">
        <v>1</v>
      </c>
      <c r="P296" s="143">
        <v>2</v>
      </c>
      <c r="Q296" s="167">
        <v>1355</v>
      </c>
      <c r="R296" s="143" t="s">
        <v>554</v>
      </c>
      <c r="S296" s="122" t="s">
        <v>560</v>
      </c>
      <c r="T296" s="120" t="s">
        <v>522</v>
      </c>
      <c r="U296" s="121" t="s">
        <v>555</v>
      </c>
      <c r="V296" s="119" t="s">
        <v>556</v>
      </c>
      <c r="W296" s="119" t="s">
        <v>986</v>
      </c>
      <c r="X296" s="123" t="s">
        <v>1131</v>
      </c>
      <c r="Y296" s="119"/>
      <c r="Z296" s="124">
        <v>51455</v>
      </c>
      <c r="AA296" s="125"/>
      <c r="AB296" s="126"/>
      <c r="AC296" s="127"/>
      <c r="AD296" s="127"/>
      <c r="AE296" s="127"/>
      <c r="AF296" s="127"/>
      <c r="AG296" s="125"/>
      <c r="AH296" s="128">
        <f t="shared" ca="1" si="17"/>
        <v>45908</v>
      </c>
      <c r="AI296" s="129" t="s">
        <v>1132</v>
      </c>
      <c r="AJ296" s="129"/>
      <c r="AK296" s="129"/>
      <c r="AL296" s="129"/>
      <c r="AM296" s="129"/>
    </row>
    <row r="297" spans="1:39" ht="18" hidden="1" customHeight="1" x14ac:dyDescent="0.25">
      <c r="A297" s="117">
        <v>296</v>
      </c>
      <c r="B297" s="117"/>
      <c r="C297" s="118" t="s">
        <v>1128</v>
      </c>
      <c r="D297" s="146">
        <f t="array" aca="1" ref="D297" ca="1">SUM(--(_xlfn.UNIQUE(_xlfn._xlws.FILTER($M$2:$M$1011 &amp; "", ($C$2:$C$1011 = C297) * ($M$2:$M$1011 &lt;&gt; ""))) &lt;&gt; ""))</f>
        <v>1</v>
      </c>
      <c r="E297" s="166">
        <f t="shared" ca="1" si="16"/>
        <v>1815</v>
      </c>
      <c r="F297" s="143">
        <v>1</v>
      </c>
      <c r="G297" s="143" t="s">
        <v>165</v>
      </c>
      <c r="H297" s="119">
        <f>_xlfn.XLOOKUP(G297,'🚛 FROTA'!B:B,'🚛 FROTA'!A:A,"")</f>
        <v>40</v>
      </c>
      <c r="I297" s="119"/>
      <c r="J297" s="119" t="str">
        <f>IF(G297="","",_xlfn.XLOOKUP(G297,'🚛 FROTA'!B:B,'🚛 FROTA'!E:E,""))</f>
        <v>Express Delivery</v>
      </c>
      <c r="K297" s="119" t="str">
        <f>IF(G297="","",_xlfn.XLOOKUP(G297,'🚛 FROTA'!B:B,'🚛 FROTA'!K:K,""))</f>
        <v>Carroceria Cabinado</v>
      </c>
      <c r="L297" s="143" t="s">
        <v>1129</v>
      </c>
      <c r="M297" s="143" t="s">
        <v>1130</v>
      </c>
      <c r="N297" s="145">
        <v>45962</v>
      </c>
      <c r="O297" s="143">
        <v>2</v>
      </c>
      <c r="P297" s="143">
        <v>2</v>
      </c>
      <c r="Q297" s="167">
        <v>460</v>
      </c>
      <c r="R297" s="143" t="s">
        <v>554</v>
      </c>
      <c r="S297" s="122" t="s">
        <v>534</v>
      </c>
      <c r="T297" s="120" t="s">
        <v>522</v>
      </c>
      <c r="U297" s="121" t="s">
        <v>555</v>
      </c>
      <c r="V297" s="119" t="s">
        <v>556</v>
      </c>
      <c r="W297" s="119" t="s">
        <v>986</v>
      </c>
      <c r="X297" s="123" t="s">
        <v>1131</v>
      </c>
      <c r="Y297" s="119"/>
      <c r="Z297" s="124">
        <v>51455</v>
      </c>
      <c r="AA297" s="125"/>
      <c r="AB297" s="126"/>
      <c r="AC297" s="127"/>
      <c r="AD297" s="127"/>
      <c r="AE297" s="127"/>
      <c r="AF297" s="127"/>
      <c r="AG297" s="125"/>
      <c r="AH297" s="128">
        <f t="shared" ca="1" si="17"/>
        <v>45908</v>
      </c>
      <c r="AI297" s="129" t="s">
        <v>1132</v>
      </c>
      <c r="AJ297" s="129"/>
      <c r="AK297" s="129"/>
      <c r="AL297" s="129"/>
      <c r="AM297" s="129"/>
    </row>
    <row r="298" spans="1:39" ht="18" hidden="1" customHeight="1" x14ac:dyDescent="0.25">
      <c r="A298" s="117">
        <v>297</v>
      </c>
      <c r="B298" s="117"/>
      <c r="C298" s="118" t="s">
        <v>1133</v>
      </c>
      <c r="D298" s="146">
        <f t="array" aca="1" ref="D298" ca="1">SUM(--(_xlfn.UNIQUE(_xlfn._xlws.FILTER($M$2:$M$1011 &amp; "", ($C$2:$C$1011 = C298) * ($M$2:$M$1011 &lt;&gt; ""))) &lt;&gt; ""))</f>
        <v>1</v>
      </c>
      <c r="E298" s="166">
        <f t="shared" ca="1" si="16"/>
        <v>3068.3999999999996</v>
      </c>
      <c r="F298" s="143">
        <v>3</v>
      </c>
      <c r="G298" s="143" t="s">
        <v>169</v>
      </c>
      <c r="H298" s="119">
        <f>_xlfn.XLOOKUP(G298,'🚛 FROTA'!B:B,'🚛 FROTA'!A:A,"")</f>
        <v>43</v>
      </c>
      <c r="I298" s="119"/>
      <c r="J298" s="119" t="str">
        <f>IF(G298="","",_xlfn.XLOOKUP(G298,'🚛 FROTA'!B:B,'🚛 FROTA'!E:E,""))</f>
        <v>Express Delivery</v>
      </c>
      <c r="K298" s="119" t="str">
        <f>IF(G298="","",_xlfn.XLOOKUP(G298,'🚛 FROTA'!B:B,'🚛 FROTA'!K:K,""))</f>
        <v>Carroceria</v>
      </c>
      <c r="L298" s="143" t="s">
        <v>552</v>
      </c>
      <c r="M298" s="143" t="s">
        <v>1134</v>
      </c>
      <c r="N298" s="145">
        <v>45954</v>
      </c>
      <c r="O298" s="143">
        <v>1</v>
      </c>
      <c r="P298" s="143">
        <v>3</v>
      </c>
      <c r="Q298" s="167">
        <v>1022.8</v>
      </c>
      <c r="R298" s="143" t="s">
        <v>554</v>
      </c>
      <c r="S298" s="122" t="s">
        <v>534</v>
      </c>
      <c r="T298" s="120" t="s">
        <v>522</v>
      </c>
      <c r="U298" s="121" t="s">
        <v>555</v>
      </c>
      <c r="V298" s="119" t="s">
        <v>556</v>
      </c>
      <c r="W298" s="119" t="s">
        <v>1135</v>
      </c>
      <c r="X298" s="123" t="s">
        <v>1136</v>
      </c>
      <c r="Y298" s="119"/>
      <c r="Z298" s="124">
        <v>55513</v>
      </c>
      <c r="AA298" s="125"/>
      <c r="AB298" s="126"/>
      <c r="AC298" s="127"/>
      <c r="AD298" s="127"/>
      <c r="AE298" s="127"/>
      <c r="AF298" s="127"/>
      <c r="AG298" s="125"/>
      <c r="AH298" s="128">
        <f t="shared" ca="1" si="17"/>
        <v>45924</v>
      </c>
      <c r="AI298" s="129" t="s">
        <v>559</v>
      </c>
      <c r="AJ298" s="129"/>
      <c r="AK298" s="129"/>
      <c r="AL298" s="129"/>
      <c r="AM298" s="129"/>
    </row>
    <row r="299" spans="1:39" ht="18" hidden="1" customHeight="1" x14ac:dyDescent="0.25">
      <c r="A299" s="117">
        <v>298</v>
      </c>
      <c r="B299" s="117"/>
      <c r="C299" s="118" t="s">
        <v>1133</v>
      </c>
      <c r="D299" s="146">
        <f t="array" aca="1" ref="D299" ca="1">SUM(--(_xlfn.UNIQUE(_xlfn._xlws.FILTER($M$2:$M$1011 &amp; "", ($C$2:$C$1011 = C299) * ($M$2:$M$1011 &lt;&gt; ""))) &lt;&gt; ""))</f>
        <v>1</v>
      </c>
      <c r="E299" s="166">
        <f t="shared" ca="1" si="16"/>
        <v>3068.3999999999996</v>
      </c>
      <c r="F299" s="143">
        <v>3</v>
      </c>
      <c r="G299" s="143" t="s">
        <v>169</v>
      </c>
      <c r="H299" s="119">
        <f>_xlfn.XLOOKUP(G299,'🚛 FROTA'!B:B,'🚛 FROTA'!A:A,"")</f>
        <v>43</v>
      </c>
      <c r="I299" s="119"/>
      <c r="J299" s="119" t="str">
        <f>IF(G299="","",_xlfn.XLOOKUP(G299,'🚛 FROTA'!B:B,'🚛 FROTA'!E:E,""))</f>
        <v>Express Delivery</v>
      </c>
      <c r="K299" s="119" t="str">
        <f>IF(G299="","",_xlfn.XLOOKUP(G299,'🚛 FROTA'!B:B,'🚛 FROTA'!K:K,""))</f>
        <v>Carroceria</v>
      </c>
      <c r="L299" s="143" t="s">
        <v>552</v>
      </c>
      <c r="M299" s="143" t="s">
        <v>1134</v>
      </c>
      <c r="N299" s="145">
        <v>45984</v>
      </c>
      <c r="O299" s="143">
        <v>2</v>
      </c>
      <c r="P299" s="143">
        <v>3</v>
      </c>
      <c r="Q299" s="167">
        <v>1022.8</v>
      </c>
      <c r="R299" s="143" t="s">
        <v>554</v>
      </c>
      <c r="S299" s="122" t="s">
        <v>534</v>
      </c>
      <c r="T299" s="120" t="s">
        <v>522</v>
      </c>
      <c r="U299" s="121" t="s">
        <v>555</v>
      </c>
      <c r="V299" s="119" t="s">
        <v>556</v>
      </c>
      <c r="W299" s="119" t="s">
        <v>1135</v>
      </c>
      <c r="X299" s="123" t="s">
        <v>1136</v>
      </c>
      <c r="Y299" s="119"/>
      <c r="Z299" s="124">
        <v>55513</v>
      </c>
      <c r="AA299" s="125"/>
      <c r="AB299" s="126"/>
      <c r="AC299" s="127"/>
      <c r="AD299" s="127"/>
      <c r="AE299" s="127"/>
      <c r="AF299" s="127"/>
      <c r="AG299" s="125"/>
      <c r="AH299" s="128">
        <f t="shared" ca="1" si="17"/>
        <v>45924</v>
      </c>
      <c r="AI299" s="129" t="s">
        <v>559</v>
      </c>
      <c r="AJ299" s="129"/>
      <c r="AK299" s="129"/>
      <c r="AL299" s="129"/>
      <c r="AM299" s="129"/>
    </row>
    <row r="300" spans="1:39" ht="18" hidden="1" customHeight="1" x14ac:dyDescent="0.25">
      <c r="A300" s="117">
        <v>299</v>
      </c>
      <c r="B300" s="117"/>
      <c r="C300" s="118" t="s">
        <v>1133</v>
      </c>
      <c r="D300" s="146">
        <f t="array" aca="1" ref="D300" ca="1">SUM(--(_xlfn.UNIQUE(_xlfn._xlws.FILTER($M$2:$M$1011 &amp; "", ($C$2:$C$1011 = C300) * ($M$2:$M$1011 &lt;&gt; ""))) &lt;&gt; ""))</f>
        <v>1</v>
      </c>
      <c r="E300" s="166">
        <f t="shared" ca="1" si="16"/>
        <v>3068.3999999999996</v>
      </c>
      <c r="F300" s="143">
        <v>3</v>
      </c>
      <c r="G300" s="143" t="s">
        <v>169</v>
      </c>
      <c r="H300" s="119">
        <f>_xlfn.XLOOKUP(G300,'🚛 FROTA'!B:B,'🚛 FROTA'!A:A,"")</f>
        <v>43</v>
      </c>
      <c r="I300" s="119"/>
      <c r="J300" s="119" t="str">
        <f>IF(G300="","",_xlfn.XLOOKUP(G300,'🚛 FROTA'!B:B,'🚛 FROTA'!E:E,""))</f>
        <v>Express Delivery</v>
      </c>
      <c r="K300" s="119" t="str">
        <f>IF(G300="","",_xlfn.XLOOKUP(G300,'🚛 FROTA'!B:B,'🚛 FROTA'!K:K,""))</f>
        <v>Carroceria</v>
      </c>
      <c r="L300" s="143" t="s">
        <v>552</v>
      </c>
      <c r="M300" s="143" t="s">
        <v>1134</v>
      </c>
      <c r="N300" s="145">
        <v>46014</v>
      </c>
      <c r="O300" s="143">
        <v>3</v>
      </c>
      <c r="P300" s="143">
        <v>3</v>
      </c>
      <c r="Q300" s="167">
        <v>1022.8</v>
      </c>
      <c r="R300" s="143" t="s">
        <v>554</v>
      </c>
      <c r="S300" s="122" t="s">
        <v>534</v>
      </c>
      <c r="T300" s="120" t="s">
        <v>522</v>
      </c>
      <c r="U300" s="121" t="s">
        <v>555</v>
      </c>
      <c r="V300" s="119" t="s">
        <v>556</v>
      </c>
      <c r="W300" s="119" t="s">
        <v>1135</v>
      </c>
      <c r="X300" s="123" t="s">
        <v>1136</v>
      </c>
      <c r="Y300" s="119"/>
      <c r="Z300" s="124">
        <v>55513</v>
      </c>
      <c r="AA300" s="125"/>
      <c r="AB300" s="126"/>
      <c r="AC300" s="127"/>
      <c r="AD300" s="127"/>
      <c r="AE300" s="127"/>
      <c r="AF300" s="127"/>
      <c r="AG300" s="125"/>
      <c r="AH300" s="128">
        <f t="shared" ca="1" si="17"/>
        <v>45924</v>
      </c>
      <c r="AI300" s="129" t="s">
        <v>559</v>
      </c>
      <c r="AJ300" s="129"/>
      <c r="AK300" s="129"/>
      <c r="AL300" s="129"/>
      <c r="AM300" s="129"/>
    </row>
    <row r="301" spans="1:39" ht="18" customHeight="1" x14ac:dyDescent="0.25">
      <c r="A301" s="117">
        <v>300</v>
      </c>
      <c r="B301" s="117"/>
      <c r="C301" s="118" t="s">
        <v>1137</v>
      </c>
      <c r="D301" s="146">
        <f t="array" aca="1" ref="D301" ca="1">SUM(--(_xlfn.UNIQUE(_xlfn._xlws.FILTER($M$2:$M$1011 &amp; "", ($C$2:$C$1011 = C301) * ($M$2:$M$1011 &lt;&gt; ""))) &lt;&gt; ""))</f>
        <v>1</v>
      </c>
      <c r="E301" s="166">
        <f t="shared" ca="1" si="16"/>
        <v>2306</v>
      </c>
      <c r="F301" s="143">
        <v>1</v>
      </c>
      <c r="G301" s="143" t="s">
        <v>169</v>
      </c>
      <c r="H301" s="119">
        <f>_xlfn.XLOOKUP(G301,'🚛 FROTA'!B:B,'🚛 FROTA'!A:A,"")</f>
        <v>43</v>
      </c>
      <c r="I301" s="119"/>
      <c r="J301" s="119" t="str">
        <f>IF(G301="","",_xlfn.XLOOKUP(G301,'🚛 FROTA'!B:B,'🚛 FROTA'!E:E,""))</f>
        <v>Express Delivery</v>
      </c>
      <c r="K301" s="119" t="str">
        <f>IF(G301="","",_xlfn.XLOOKUP(G301,'🚛 FROTA'!B:B,'🚛 FROTA'!K:K,""))</f>
        <v>Carroceria</v>
      </c>
      <c r="L301" s="143" t="s">
        <v>1138</v>
      </c>
      <c r="M301" s="143" t="s">
        <v>1139</v>
      </c>
      <c r="N301" s="145">
        <v>45954</v>
      </c>
      <c r="O301" s="143">
        <v>1</v>
      </c>
      <c r="P301" s="143">
        <v>3</v>
      </c>
      <c r="Q301" s="167">
        <v>768.67</v>
      </c>
      <c r="R301" s="143" t="s">
        <v>554</v>
      </c>
      <c r="S301" s="122" t="s">
        <v>560</v>
      </c>
      <c r="T301" s="120" t="s">
        <v>522</v>
      </c>
      <c r="U301" s="121" t="s">
        <v>555</v>
      </c>
      <c r="V301" s="119" t="s">
        <v>573</v>
      </c>
      <c r="W301" s="119" t="s">
        <v>574</v>
      </c>
      <c r="X301" s="123" t="s">
        <v>1140</v>
      </c>
      <c r="Y301" s="119" t="s">
        <v>576</v>
      </c>
      <c r="Z301" s="124">
        <v>55600</v>
      </c>
      <c r="AA301" s="122" t="s">
        <v>577</v>
      </c>
      <c r="AB301" s="122">
        <v>2</v>
      </c>
      <c r="AC301" s="131" t="s">
        <v>578</v>
      </c>
      <c r="AD301" s="131" t="s">
        <v>1141</v>
      </c>
      <c r="AE301" s="131" t="s">
        <v>1142</v>
      </c>
      <c r="AF301" s="131" t="s">
        <v>581</v>
      </c>
      <c r="AG301" s="125" t="s">
        <v>582</v>
      </c>
      <c r="AH301" s="128">
        <f t="shared" ca="1" si="17"/>
        <v>45924</v>
      </c>
      <c r="AI301" s="129"/>
      <c r="AJ301" s="129"/>
      <c r="AK301" s="129"/>
      <c r="AL301" s="129"/>
      <c r="AM301" s="129"/>
    </row>
    <row r="302" spans="1:39" ht="18" customHeight="1" x14ac:dyDescent="0.25">
      <c r="A302" s="117">
        <v>301</v>
      </c>
      <c r="B302" s="117"/>
      <c r="C302" s="118" t="s">
        <v>1137</v>
      </c>
      <c r="D302" s="146">
        <f t="array" aca="1" ref="D302" ca="1">SUM(--(_xlfn.UNIQUE(_xlfn._xlws.FILTER($M$2:$M$1011 &amp; "", ($C$2:$C$1011 = C302) * ($M$2:$M$1011 &lt;&gt; ""))) &lt;&gt; ""))</f>
        <v>1</v>
      </c>
      <c r="E302" s="166">
        <f t="shared" ca="1" si="16"/>
        <v>2306</v>
      </c>
      <c r="F302" s="143">
        <v>1</v>
      </c>
      <c r="G302" s="143" t="s">
        <v>169</v>
      </c>
      <c r="H302" s="119">
        <f>_xlfn.XLOOKUP(G302,'🚛 FROTA'!B:B,'🚛 FROTA'!A:A,"")</f>
        <v>43</v>
      </c>
      <c r="I302" s="119"/>
      <c r="J302" s="119" t="str">
        <f>IF(G302="","",_xlfn.XLOOKUP(G302,'🚛 FROTA'!B:B,'🚛 FROTA'!E:E,""))</f>
        <v>Express Delivery</v>
      </c>
      <c r="K302" s="119" t="str">
        <f>IF(G302="","",_xlfn.XLOOKUP(G302,'🚛 FROTA'!B:B,'🚛 FROTA'!K:K,""))</f>
        <v>Carroceria</v>
      </c>
      <c r="L302" s="143" t="s">
        <v>1138</v>
      </c>
      <c r="M302" s="143" t="s">
        <v>1139</v>
      </c>
      <c r="N302" s="145">
        <v>45985</v>
      </c>
      <c r="O302" s="143">
        <v>2</v>
      </c>
      <c r="P302" s="143">
        <v>3</v>
      </c>
      <c r="Q302" s="167">
        <v>768.67</v>
      </c>
      <c r="R302" s="143" t="s">
        <v>554</v>
      </c>
      <c r="S302" s="122" t="s">
        <v>560</v>
      </c>
      <c r="T302" s="120" t="s">
        <v>522</v>
      </c>
      <c r="U302" s="121" t="s">
        <v>555</v>
      </c>
      <c r="V302" s="119" t="s">
        <v>573</v>
      </c>
      <c r="W302" s="119" t="s">
        <v>574</v>
      </c>
      <c r="X302" s="123" t="s">
        <v>1140</v>
      </c>
      <c r="Y302" s="119" t="s">
        <v>576</v>
      </c>
      <c r="Z302" s="124">
        <v>55600</v>
      </c>
      <c r="AA302" s="122" t="s">
        <v>577</v>
      </c>
      <c r="AB302" s="122">
        <v>2</v>
      </c>
      <c r="AC302" s="131" t="s">
        <v>578</v>
      </c>
      <c r="AD302" s="131" t="s">
        <v>1141</v>
      </c>
      <c r="AE302" s="131" t="s">
        <v>1142</v>
      </c>
      <c r="AF302" s="131" t="s">
        <v>581</v>
      </c>
      <c r="AG302" s="125" t="s">
        <v>582</v>
      </c>
      <c r="AH302" s="128">
        <f t="shared" ca="1" si="17"/>
        <v>45924</v>
      </c>
      <c r="AI302" s="129"/>
      <c r="AJ302" s="129"/>
      <c r="AK302" s="129"/>
      <c r="AL302" s="129"/>
      <c r="AM302" s="129"/>
    </row>
    <row r="303" spans="1:39" ht="18" customHeight="1" x14ac:dyDescent="0.25">
      <c r="A303" s="117">
        <v>302</v>
      </c>
      <c r="B303" s="117"/>
      <c r="C303" s="118" t="s">
        <v>1137</v>
      </c>
      <c r="D303" s="146">
        <f t="array" aca="1" ref="D303" ca="1">SUM(--(_xlfn.UNIQUE(_xlfn._xlws.FILTER($M$2:$M$1011 &amp; "", ($C$2:$C$1011 = C303) * ($M$2:$M$1011 &lt;&gt; ""))) &lt;&gt; ""))</f>
        <v>1</v>
      </c>
      <c r="E303" s="166">
        <f t="shared" ca="1" si="16"/>
        <v>2306</v>
      </c>
      <c r="F303" s="143">
        <v>1</v>
      </c>
      <c r="G303" s="143" t="s">
        <v>169</v>
      </c>
      <c r="H303" s="119">
        <f>_xlfn.XLOOKUP(G303,'🚛 FROTA'!B:B,'🚛 FROTA'!A:A,"")</f>
        <v>43</v>
      </c>
      <c r="I303" s="119"/>
      <c r="J303" s="119" t="str">
        <f>IF(G303="","",_xlfn.XLOOKUP(G303,'🚛 FROTA'!B:B,'🚛 FROTA'!E:E,""))</f>
        <v>Express Delivery</v>
      </c>
      <c r="K303" s="119" t="str">
        <f>IF(G303="","",_xlfn.XLOOKUP(G303,'🚛 FROTA'!B:B,'🚛 FROTA'!K:K,""))</f>
        <v>Carroceria</v>
      </c>
      <c r="L303" s="143" t="s">
        <v>1138</v>
      </c>
      <c r="M303" s="143" t="s">
        <v>1139</v>
      </c>
      <c r="N303" s="145">
        <v>46014</v>
      </c>
      <c r="O303" s="143">
        <v>3</v>
      </c>
      <c r="P303" s="143">
        <v>3</v>
      </c>
      <c r="Q303" s="167">
        <v>768.66</v>
      </c>
      <c r="R303" s="143" t="s">
        <v>554</v>
      </c>
      <c r="S303" s="122" t="s">
        <v>560</v>
      </c>
      <c r="T303" s="120" t="s">
        <v>522</v>
      </c>
      <c r="U303" s="121" t="s">
        <v>555</v>
      </c>
      <c r="V303" s="119" t="s">
        <v>573</v>
      </c>
      <c r="W303" s="119" t="s">
        <v>574</v>
      </c>
      <c r="X303" s="123" t="s">
        <v>1140</v>
      </c>
      <c r="Y303" s="119" t="s">
        <v>576</v>
      </c>
      <c r="Z303" s="124">
        <v>55600</v>
      </c>
      <c r="AA303" s="122" t="s">
        <v>577</v>
      </c>
      <c r="AB303" s="122">
        <v>2</v>
      </c>
      <c r="AC303" s="131" t="s">
        <v>578</v>
      </c>
      <c r="AD303" s="131" t="s">
        <v>1141</v>
      </c>
      <c r="AE303" s="131" t="s">
        <v>1142</v>
      </c>
      <c r="AF303" s="131" t="s">
        <v>581</v>
      </c>
      <c r="AG303" s="125" t="s">
        <v>582</v>
      </c>
      <c r="AH303" s="128">
        <f t="shared" ca="1" si="17"/>
        <v>45924</v>
      </c>
      <c r="AI303" s="129"/>
      <c r="AJ303" s="129"/>
      <c r="AK303" s="129"/>
      <c r="AL303" s="129"/>
      <c r="AM303" s="129"/>
    </row>
    <row r="304" spans="1:39" ht="18" hidden="1" customHeight="1" x14ac:dyDescent="0.25">
      <c r="A304" s="117">
        <v>303</v>
      </c>
      <c r="B304" s="117"/>
      <c r="C304" s="118" t="s">
        <v>1143</v>
      </c>
      <c r="D304" s="146">
        <f t="array" aca="1" ref="D304" ca="1">SUM(--(_xlfn.UNIQUE(_xlfn._xlws.FILTER($M$2:$M$1011 &amp; "", ($C$2:$C$1011 = C304) * ($M$2:$M$1011 &lt;&gt; ""))) &lt;&gt; ""))</f>
        <v>1</v>
      </c>
      <c r="E304" s="166">
        <f t="shared" ca="1" si="16"/>
        <v>548</v>
      </c>
      <c r="F304" s="143">
        <v>1</v>
      </c>
      <c r="G304" s="143" t="s">
        <v>141</v>
      </c>
      <c r="H304" s="119">
        <f>_xlfn.XLOOKUP(G304,'🚛 FROTA'!B:B,'🚛 FROTA'!A:A,"")</f>
        <v>24</v>
      </c>
      <c r="I304" s="119"/>
      <c r="J304" s="119" t="str">
        <f>IF(G304="","",_xlfn.XLOOKUP(G304,'🚛 FROTA'!B:B,'🚛 FROTA'!E:E,""))</f>
        <v>14.190 Constellation</v>
      </c>
      <c r="K304" s="119" t="str">
        <f>IF(G304="","",_xlfn.XLOOKUP(G304,'🚛 FROTA'!B:B,'🚛 FROTA'!K:K,""))</f>
        <v>Munck</v>
      </c>
      <c r="L304" s="143" t="s">
        <v>682</v>
      </c>
      <c r="M304" s="143" t="s">
        <v>1144</v>
      </c>
      <c r="N304" s="145">
        <v>45954</v>
      </c>
      <c r="O304" s="143">
        <v>1</v>
      </c>
      <c r="P304" s="143">
        <v>1</v>
      </c>
      <c r="Q304" s="167">
        <v>548</v>
      </c>
      <c r="R304" s="143" t="s">
        <v>554</v>
      </c>
      <c r="S304" s="122" t="s">
        <v>560</v>
      </c>
      <c r="T304" s="120" t="s">
        <v>522</v>
      </c>
      <c r="U304" s="121" t="s">
        <v>555</v>
      </c>
      <c r="V304" s="119" t="s">
        <v>619</v>
      </c>
      <c r="W304" s="119" t="s">
        <v>1145</v>
      </c>
      <c r="X304" s="123" t="s">
        <v>1146</v>
      </c>
      <c r="Y304" s="119" t="s">
        <v>1147</v>
      </c>
      <c r="Z304" s="124">
        <v>128788</v>
      </c>
      <c r="AA304" s="125"/>
      <c r="AB304" s="126"/>
      <c r="AC304" s="127"/>
      <c r="AD304" s="127"/>
      <c r="AE304" s="127"/>
      <c r="AF304" s="127"/>
      <c r="AG304" s="125"/>
      <c r="AH304" s="128">
        <f t="shared" ca="1" si="17"/>
        <v>45924</v>
      </c>
      <c r="AI304" s="129" t="s">
        <v>686</v>
      </c>
      <c r="AJ304" s="129"/>
      <c r="AK304" s="129"/>
      <c r="AL304" s="129"/>
      <c r="AM304" s="129"/>
    </row>
    <row r="305" spans="1:39" ht="18" hidden="1" customHeight="1" x14ac:dyDescent="0.25">
      <c r="A305" s="117">
        <v>304</v>
      </c>
      <c r="B305" s="117"/>
      <c r="C305" s="118" t="s">
        <v>1148</v>
      </c>
      <c r="D305" s="146">
        <f t="array" aca="1" ref="D305" ca="1">SUM(--(_xlfn.UNIQUE(_xlfn._xlws.FILTER($M$2:$M$1011 &amp; "", ($C$2:$C$1011 = C305) * ($M$2:$M$1011 &lt;&gt; ""))) &lt;&gt; ""))</f>
        <v>1</v>
      </c>
      <c r="E305" s="166">
        <f t="shared" ca="1" si="16"/>
        <v>362.5</v>
      </c>
      <c r="F305" s="143">
        <v>3</v>
      </c>
      <c r="G305" s="143" t="s">
        <v>128</v>
      </c>
      <c r="H305" s="119">
        <f>_xlfn.XLOOKUP(G305,'🚛 FROTA'!B:B,'🚛 FROTA'!A:A,"")</f>
        <v>20</v>
      </c>
      <c r="I305" s="119"/>
      <c r="J305" s="119" t="str">
        <f>IF(G305="","",_xlfn.XLOOKUP(G305,'🚛 FROTA'!B:B,'🚛 FROTA'!E:E,""))</f>
        <v>3CX</v>
      </c>
      <c r="K305" s="119"/>
      <c r="L305" s="143" t="s">
        <v>1149</v>
      </c>
      <c r="M305" s="143" t="s">
        <v>1150</v>
      </c>
      <c r="N305" s="145">
        <v>45958</v>
      </c>
      <c r="O305" s="143">
        <v>1</v>
      </c>
      <c r="P305" s="143">
        <v>1</v>
      </c>
      <c r="Q305" s="167">
        <v>362.5</v>
      </c>
      <c r="R305" s="143" t="s">
        <v>651</v>
      </c>
      <c r="S305" s="122" t="s">
        <v>560</v>
      </c>
      <c r="T305" s="120" t="s">
        <v>522</v>
      </c>
      <c r="U305" s="121" t="s">
        <v>597</v>
      </c>
      <c r="V305" s="119" t="s">
        <v>619</v>
      </c>
      <c r="W305" s="119" t="s">
        <v>1151</v>
      </c>
      <c r="X305" s="123" t="s">
        <v>1152</v>
      </c>
      <c r="Y305" s="119" t="s">
        <v>1153</v>
      </c>
      <c r="Z305" s="130"/>
      <c r="AA305" s="125"/>
      <c r="AB305" s="126"/>
      <c r="AC305" s="127"/>
      <c r="AD305" s="127"/>
      <c r="AE305" s="127"/>
      <c r="AF305" s="127"/>
      <c r="AG305" s="125"/>
      <c r="AH305" s="128">
        <f>IF(OR(R305="A Vista", R305="Crédito", R305="Adiantamento"), N305, IF(R305="Faturado", _xlfn.MINIFS(N:N, C:C, C305)-30, ""))</f>
        <v>45958</v>
      </c>
      <c r="AI305" s="129"/>
      <c r="AJ305" s="129"/>
      <c r="AK305" s="129"/>
      <c r="AL305" s="129"/>
      <c r="AM305" s="129"/>
    </row>
    <row r="306" spans="1:39" ht="18" hidden="1" customHeight="1" x14ac:dyDescent="0.25">
      <c r="A306" s="117">
        <v>305</v>
      </c>
      <c r="B306" s="117"/>
      <c r="C306" s="118" t="s">
        <v>1154</v>
      </c>
      <c r="D306" s="146">
        <f t="array" aca="1" ref="D306" ca="1">SUM(--(_xlfn.UNIQUE(_xlfn._xlws.FILTER($M$2:$M$1011 &amp; "", ($C$2:$C$1011 = C306) * ($M$2:$M$1011 &lt;&gt; ""))) &lt;&gt; ""))</f>
        <v>1</v>
      </c>
      <c r="E306" s="166">
        <f t="shared" ca="1" si="16"/>
        <v>440</v>
      </c>
      <c r="F306" s="143">
        <v>1</v>
      </c>
      <c r="G306" s="143" t="s">
        <v>172</v>
      </c>
      <c r="H306" s="119">
        <f>_xlfn.XLOOKUP(G306,'🚛 FROTA'!B:B,'🚛 FROTA'!A:A,"")</f>
        <v>45</v>
      </c>
      <c r="I306" s="119"/>
      <c r="J306" s="119" t="str">
        <f>IF(G306="","",_xlfn.XLOOKUP(G306,'🚛 FROTA'!B:B,'🚛 FROTA'!E:E,""))</f>
        <v>Express Delivery</v>
      </c>
      <c r="K306" s="119" t="str">
        <f>IF(G306="","",_xlfn.XLOOKUP(G306,'🚛 FROTA'!B:B,'🚛 FROTA'!K:K,""))</f>
        <v>Carroceria</v>
      </c>
      <c r="L306" s="143" t="s">
        <v>1129</v>
      </c>
      <c r="M306" s="143" t="s">
        <v>1130</v>
      </c>
      <c r="N306" s="145">
        <v>45962</v>
      </c>
      <c r="O306" s="143">
        <v>1</v>
      </c>
      <c r="P306" s="143">
        <v>1</v>
      </c>
      <c r="Q306" s="167">
        <v>440</v>
      </c>
      <c r="R306" s="143" t="s">
        <v>554</v>
      </c>
      <c r="S306" s="122" t="s">
        <v>534</v>
      </c>
      <c r="T306" s="120" t="s">
        <v>522</v>
      </c>
      <c r="U306" s="121" t="s">
        <v>555</v>
      </c>
      <c r="V306" s="119" t="s">
        <v>556</v>
      </c>
      <c r="W306" s="119" t="s">
        <v>1155</v>
      </c>
      <c r="X306" s="123" t="s">
        <v>1156</v>
      </c>
      <c r="Y306" s="119" t="s">
        <v>1157</v>
      </c>
      <c r="Z306" s="124">
        <v>49800</v>
      </c>
      <c r="AA306" s="125"/>
      <c r="AB306" s="126"/>
      <c r="AC306" s="127"/>
      <c r="AD306" s="127"/>
      <c r="AE306" s="127"/>
      <c r="AF306" s="127"/>
      <c r="AG306" s="125"/>
      <c r="AH306" s="128">
        <f t="shared" ref="AH306:AH312" ca="1" si="18">IF(OR(R306="A VISTA", R306="C. CRÉDITO", R306="ADIANTAMENTO"), N306, IF(R306="Faturado", _xlfn.MINIFS(N:N, C:C, C306)-30, ""))</f>
        <v>45932</v>
      </c>
      <c r="AI306" s="129" t="s">
        <v>1132</v>
      </c>
      <c r="AJ306" s="129"/>
      <c r="AK306" s="129"/>
      <c r="AL306" s="129"/>
      <c r="AM306" s="129"/>
    </row>
    <row r="307" spans="1:39" ht="18" hidden="1" customHeight="1" x14ac:dyDescent="0.25">
      <c r="A307" s="117">
        <v>306</v>
      </c>
      <c r="B307" s="117"/>
      <c r="C307" s="118" t="s">
        <v>1158</v>
      </c>
      <c r="D307" s="146">
        <f t="array" aca="1" ref="D307" ca="1">SUM(--(_xlfn.UNIQUE(_xlfn._xlws.FILTER($M$2:$M$1011 &amp; "", ($C$2:$C$1011 = C307) * ($M$2:$M$1011 &lt;&gt; ""))) &lt;&gt; ""))</f>
        <v>1</v>
      </c>
      <c r="E307" s="166">
        <f t="shared" ca="1" si="16"/>
        <v>466.66</v>
      </c>
      <c r="F307" s="143">
        <v>3</v>
      </c>
      <c r="G307" s="143" t="s">
        <v>155</v>
      </c>
      <c r="H307" s="119">
        <f>_xlfn.XLOOKUP(G307,'🚛 FROTA'!B:B,'🚛 FROTA'!A:A,"")</f>
        <v>34</v>
      </c>
      <c r="I307" s="119"/>
      <c r="J307" s="119" t="str">
        <f>IF(G307="","",_xlfn.XLOOKUP(G307,'🚛 FROTA'!B:B,'🚛 FROTA'!E:E,""))</f>
        <v>9.170 Delivery</v>
      </c>
      <c r="K307" s="119" t="str">
        <f>IF(G307="","",_xlfn.XLOOKUP(G307,'🚛 FROTA'!B:B,'🚛 FROTA'!K:K,""))</f>
        <v>Basculante</v>
      </c>
      <c r="L307" s="143" t="s">
        <v>552</v>
      </c>
      <c r="M307" s="143" t="s">
        <v>1159</v>
      </c>
      <c r="N307" s="145">
        <v>45962</v>
      </c>
      <c r="O307" s="143">
        <v>1</v>
      </c>
      <c r="P307" s="143">
        <v>3</v>
      </c>
      <c r="Q307" s="167">
        <v>466.66</v>
      </c>
      <c r="R307" s="143" t="s">
        <v>554</v>
      </c>
      <c r="S307" s="122" t="s">
        <v>534</v>
      </c>
      <c r="T307" s="120" t="s">
        <v>522</v>
      </c>
      <c r="U307" s="121" t="s">
        <v>555</v>
      </c>
      <c r="V307" s="119" t="s">
        <v>670</v>
      </c>
      <c r="W307" s="119" t="s">
        <v>1160</v>
      </c>
      <c r="X307" s="123" t="s">
        <v>1161</v>
      </c>
      <c r="Y307" s="119"/>
      <c r="Z307" s="124">
        <v>77397</v>
      </c>
      <c r="AA307" s="125"/>
      <c r="AB307" s="126"/>
      <c r="AC307" s="127"/>
      <c r="AD307" s="127"/>
      <c r="AE307" s="127"/>
      <c r="AF307" s="127"/>
      <c r="AG307" s="125"/>
      <c r="AH307" s="128">
        <f t="shared" ca="1" si="18"/>
        <v>45932</v>
      </c>
      <c r="AI307" s="129" t="s">
        <v>559</v>
      </c>
      <c r="AJ307" s="129"/>
      <c r="AK307" s="129"/>
      <c r="AL307" s="129"/>
      <c r="AM307" s="129"/>
    </row>
    <row r="308" spans="1:39" ht="18" hidden="1" customHeight="1" x14ac:dyDescent="0.25">
      <c r="A308" s="117">
        <v>307</v>
      </c>
      <c r="B308" s="117"/>
      <c r="C308" s="118" t="s">
        <v>1162</v>
      </c>
      <c r="D308" s="146">
        <f t="array" aca="1" ref="D308" ca="1">SUM(--(_xlfn.UNIQUE(_xlfn._xlws.FILTER($M$2:$M$1011 &amp; "", ($C$2:$C$1011 = C308) * ($M$2:$M$1011 &lt;&gt; ""))) &lt;&gt; ""))</f>
        <v>1</v>
      </c>
      <c r="E308" s="166">
        <f t="shared" ca="1" si="16"/>
        <v>1970.76</v>
      </c>
      <c r="F308" s="143">
        <v>3</v>
      </c>
      <c r="G308" s="143" t="s">
        <v>155</v>
      </c>
      <c r="H308" s="119">
        <f>_xlfn.XLOOKUP(G308,'🚛 FROTA'!B:B,'🚛 FROTA'!A:A,"")</f>
        <v>34</v>
      </c>
      <c r="I308" s="119"/>
      <c r="J308" s="119" t="str">
        <f>IF(G308="","",_xlfn.XLOOKUP(G308,'🚛 FROTA'!B:B,'🚛 FROTA'!E:E,""))</f>
        <v>9.170 Delivery</v>
      </c>
      <c r="K308" s="119" t="str">
        <f>IF(G308="","",_xlfn.XLOOKUP(G308,'🚛 FROTA'!B:B,'🚛 FROTA'!K:K,""))</f>
        <v>Basculante</v>
      </c>
      <c r="L308" s="143" t="s">
        <v>552</v>
      </c>
      <c r="M308" s="143" t="s">
        <v>1159</v>
      </c>
      <c r="N308" s="145">
        <v>45962</v>
      </c>
      <c r="O308" s="143">
        <v>1</v>
      </c>
      <c r="P308" s="143">
        <v>3</v>
      </c>
      <c r="Q308" s="167">
        <v>345.81</v>
      </c>
      <c r="R308" s="143" t="s">
        <v>554</v>
      </c>
      <c r="S308" s="122" t="s">
        <v>534</v>
      </c>
      <c r="T308" s="120" t="s">
        <v>522</v>
      </c>
      <c r="U308" s="121" t="s">
        <v>555</v>
      </c>
      <c r="V308" s="119" t="s">
        <v>556</v>
      </c>
      <c r="W308" s="119" t="s">
        <v>1163</v>
      </c>
      <c r="X308" s="123" t="s">
        <v>1164</v>
      </c>
      <c r="Y308" s="119"/>
      <c r="Z308" s="124">
        <v>77397</v>
      </c>
      <c r="AA308" s="125"/>
      <c r="AB308" s="126"/>
      <c r="AC308" s="127"/>
      <c r="AD308" s="127"/>
      <c r="AE308" s="127"/>
      <c r="AF308" s="127"/>
      <c r="AG308" s="125"/>
      <c r="AH308" s="128">
        <f t="shared" ca="1" si="18"/>
        <v>45932</v>
      </c>
      <c r="AI308" s="129" t="s">
        <v>559</v>
      </c>
      <c r="AJ308" s="129"/>
      <c r="AK308" s="129"/>
      <c r="AL308" s="129"/>
      <c r="AM308" s="129"/>
    </row>
    <row r="309" spans="1:39" ht="18" hidden="1" customHeight="1" x14ac:dyDescent="0.25">
      <c r="A309" s="117">
        <v>308</v>
      </c>
      <c r="B309" s="117"/>
      <c r="C309" s="118" t="s">
        <v>1162</v>
      </c>
      <c r="D309" s="146">
        <f t="array" aca="1" ref="D309" ca="1">SUM(--(_xlfn.UNIQUE(_xlfn._xlws.FILTER($M$2:$M$1011 &amp; "", ($C$2:$C$1011 = C309) * ($M$2:$M$1011 &lt;&gt; ""))) &lt;&gt; ""))</f>
        <v>1</v>
      </c>
      <c r="E309" s="166">
        <f t="shared" ca="1" si="16"/>
        <v>1970.76</v>
      </c>
      <c r="F309" s="143">
        <v>3</v>
      </c>
      <c r="G309" s="143" t="s">
        <v>155</v>
      </c>
      <c r="H309" s="119">
        <f>_xlfn.XLOOKUP(G309,'🚛 FROTA'!B:B,'🚛 FROTA'!A:A,"")</f>
        <v>34</v>
      </c>
      <c r="I309" s="119"/>
      <c r="J309" s="119" t="str">
        <f>IF(G309="","",_xlfn.XLOOKUP(G309,'🚛 FROTA'!B:B,'🚛 FROTA'!E:E,""))</f>
        <v>9.170 Delivery</v>
      </c>
      <c r="K309" s="119" t="str">
        <f>IF(G309="","",_xlfn.XLOOKUP(G309,'🚛 FROTA'!B:B,'🚛 FROTA'!K:K,""))</f>
        <v>Basculante</v>
      </c>
      <c r="L309" s="143" t="s">
        <v>552</v>
      </c>
      <c r="M309" s="143" t="s">
        <v>1159</v>
      </c>
      <c r="N309" s="145">
        <v>45992</v>
      </c>
      <c r="O309" s="143">
        <v>2</v>
      </c>
      <c r="P309" s="143">
        <v>3</v>
      </c>
      <c r="Q309" s="167">
        <v>345.81</v>
      </c>
      <c r="R309" s="143" t="s">
        <v>554</v>
      </c>
      <c r="S309" s="122" t="s">
        <v>534</v>
      </c>
      <c r="T309" s="120" t="s">
        <v>522</v>
      </c>
      <c r="U309" s="121" t="s">
        <v>555</v>
      </c>
      <c r="V309" s="119" t="s">
        <v>556</v>
      </c>
      <c r="W309" s="119" t="s">
        <v>1163</v>
      </c>
      <c r="X309" s="123" t="s">
        <v>1164</v>
      </c>
      <c r="Y309" s="119"/>
      <c r="Z309" s="124">
        <v>77397</v>
      </c>
      <c r="AA309" s="125"/>
      <c r="AB309" s="126"/>
      <c r="AC309" s="127"/>
      <c r="AD309" s="127"/>
      <c r="AE309" s="127"/>
      <c r="AF309" s="127"/>
      <c r="AG309" s="125"/>
      <c r="AH309" s="128">
        <f t="shared" ca="1" si="18"/>
        <v>45932</v>
      </c>
      <c r="AI309" s="129" t="s">
        <v>559</v>
      </c>
      <c r="AJ309" s="129"/>
      <c r="AK309" s="129"/>
      <c r="AL309" s="129"/>
      <c r="AM309" s="129"/>
    </row>
    <row r="310" spans="1:39" ht="18" hidden="1" customHeight="1" x14ac:dyDescent="0.25">
      <c r="A310" s="117">
        <v>309</v>
      </c>
      <c r="B310" s="117"/>
      <c r="C310" s="118" t="s">
        <v>1162</v>
      </c>
      <c r="D310" s="146">
        <f t="array" aca="1" ref="D310" ca="1">SUM(--(_xlfn.UNIQUE(_xlfn._xlws.FILTER($M$2:$M$1011 &amp; "", ($C$2:$C$1011 = C310) * ($M$2:$M$1011 &lt;&gt; ""))) &lt;&gt; ""))</f>
        <v>1</v>
      </c>
      <c r="E310" s="166">
        <f t="shared" ca="1" si="16"/>
        <v>1970.76</v>
      </c>
      <c r="F310" s="143">
        <v>3</v>
      </c>
      <c r="G310" s="143" t="s">
        <v>155</v>
      </c>
      <c r="H310" s="119">
        <f>_xlfn.XLOOKUP(G310,'🚛 FROTA'!B:B,'🚛 FROTA'!A:A,"")</f>
        <v>34</v>
      </c>
      <c r="I310" s="119"/>
      <c r="J310" s="119" t="str">
        <f>IF(G310="","",_xlfn.XLOOKUP(G310,'🚛 FROTA'!B:B,'🚛 FROTA'!E:E,""))</f>
        <v>9.170 Delivery</v>
      </c>
      <c r="K310" s="119" t="str">
        <f>IF(G310="","",_xlfn.XLOOKUP(G310,'🚛 FROTA'!B:B,'🚛 FROTA'!K:K,""))</f>
        <v>Basculante</v>
      </c>
      <c r="L310" s="143" t="s">
        <v>552</v>
      </c>
      <c r="M310" s="143" t="s">
        <v>1159</v>
      </c>
      <c r="N310" s="145">
        <v>45992</v>
      </c>
      <c r="O310" s="143">
        <v>2</v>
      </c>
      <c r="P310" s="143">
        <v>3</v>
      </c>
      <c r="Q310" s="167">
        <v>466.67</v>
      </c>
      <c r="R310" s="143" t="s">
        <v>554</v>
      </c>
      <c r="S310" s="122" t="s">
        <v>534</v>
      </c>
      <c r="T310" s="120" t="s">
        <v>522</v>
      </c>
      <c r="U310" s="121" t="s">
        <v>555</v>
      </c>
      <c r="V310" s="119" t="s">
        <v>670</v>
      </c>
      <c r="W310" s="119" t="s">
        <v>1160</v>
      </c>
      <c r="X310" s="123" t="s">
        <v>1161</v>
      </c>
      <c r="Y310" s="119"/>
      <c r="Z310" s="124">
        <v>77397</v>
      </c>
      <c r="AA310" s="125"/>
      <c r="AB310" s="126"/>
      <c r="AC310" s="127"/>
      <c r="AD310" s="127"/>
      <c r="AE310" s="127"/>
      <c r="AF310" s="127"/>
      <c r="AG310" s="125"/>
      <c r="AH310" s="128">
        <f t="shared" ca="1" si="18"/>
        <v>45932</v>
      </c>
      <c r="AI310" s="129" t="s">
        <v>559</v>
      </c>
      <c r="AJ310" s="129"/>
      <c r="AK310" s="129"/>
      <c r="AL310" s="129"/>
      <c r="AM310" s="129"/>
    </row>
    <row r="311" spans="1:39" ht="18" hidden="1" customHeight="1" x14ac:dyDescent="0.25">
      <c r="A311" s="117">
        <v>310</v>
      </c>
      <c r="B311" s="117"/>
      <c r="C311" s="118" t="s">
        <v>1162</v>
      </c>
      <c r="D311" s="146">
        <f t="array" aca="1" ref="D311" ca="1">SUM(--(_xlfn.UNIQUE(_xlfn._xlws.FILTER($M$2:$M$1011 &amp; "", ($C$2:$C$1011 = C311) * ($M$2:$M$1011 &lt;&gt; ""))) &lt;&gt; ""))</f>
        <v>1</v>
      </c>
      <c r="E311" s="166">
        <f t="shared" ca="1" si="16"/>
        <v>1970.76</v>
      </c>
      <c r="F311" s="143">
        <v>3</v>
      </c>
      <c r="G311" s="143" t="s">
        <v>155</v>
      </c>
      <c r="H311" s="119">
        <f>_xlfn.XLOOKUP(G311,'🚛 FROTA'!B:B,'🚛 FROTA'!A:A,"")</f>
        <v>34</v>
      </c>
      <c r="I311" s="119"/>
      <c r="J311" s="119" t="str">
        <f>IF(G311="","",_xlfn.XLOOKUP(G311,'🚛 FROTA'!B:B,'🚛 FROTA'!E:E,""))</f>
        <v>9.170 Delivery</v>
      </c>
      <c r="K311" s="119" t="str">
        <f>IF(G311="","",_xlfn.XLOOKUP(G311,'🚛 FROTA'!B:B,'🚛 FROTA'!K:K,""))</f>
        <v>Basculante</v>
      </c>
      <c r="L311" s="143" t="s">
        <v>552</v>
      </c>
      <c r="M311" s="143" t="s">
        <v>1159</v>
      </c>
      <c r="N311" s="145">
        <v>46023</v>
      </c>
      <c r="O311" s="143">
        <v>3</v>
      </c>
      <c r="P311" s="143">
        <v>3</v>
      </c>
      <c r="Q311" s="167">
        <v>345.8</v>
      </c>
      <c r="R311" s="143" t="s">
        <v>554</v>
      </c>
      <c r="S311" s="122" t="s">
        <v>534</v>
      </c>
      <c r="T311" s="120" t="s">
        <v>522</v>
      </c>
      <c r="U311" s="121" t="s">
        <v>555</v>
      </c>
      <c r="V311" s="119" t="s">
        <v>556</v>
      </c>
      <c r="W311" s="119" t="s">
        <v>1163</v>
      </c>
      <c r="X311" s="123" t="s">
        <v>1164</v>
      </c>
      <c r="Y311" s="119"/>
      <c r="Z311" s="124">
        <v>77397</v>
      </c>
      <c r="AA311" s="125"/>
      <c r="AB311" s="126"/>
      <c r="AC311" s="127"/>
      <c r="AD311" s="127"/>
      <c r="AE311" s="127"/>
      <c r="AF311" s="127"/>
      <c r="AG311" s="125"/>
      <c r="AH311" s="128">
        <f t="shared" ca="1" si="18"/>
        <v>45932</v>
      </c>
      <c r="AI311" s="129" t="s">
        <v>559</v>
      </c>
      <c r="AJ311" s="129"/>
      <c r="AK311" s="129"/>
      <c r="AL311" s="129"/>
      <c r="AM311" s="129"/>
    </row>
    <row r="312" spans="1:39" ht="18" hidden="1" customHeight="1" x14ac:dyDescent="0.25">
      <c r="A312" s="117">
        <v>311</v>
      </c>
      <c r="B312" s="117"/>
      <c r="C312" s="118" t="s">
        <v>1162</v>
      </c>
      <c r="D312" s="146">
        <f t="array" aca="1" ref="D312" ca="1">SUM(--(_xlfn.UNIQUE(_xlfn._xlws.FILTER($M$2:$M$1011 &amp; "", ($C$2:$C$1011 = C312) * ($M$2:$M$1011 &lt;&gt; ""))) &lt;&gt; ""))</f>
        <v>1</v>
      </c>
      <c r="E312" s="166">
        <f t="shared" ca="1" si="16"/>
        <v>1970.76</v>
      </c>
      <c r="F312" s="143">
        <v>3</v>
      </c>
      <c r="G312" s="143" t="s">
        <v>155</v>
      </c>
      <c r="H312" s="119">
        <f>_xlfn.XLOOKUP(G312,'🚛 FROTA'!B:B,'🚛 FROTA'!A:A,"")</f>
        <v>34</v>
      </c>
      <c r="I312" s="119"/>
      <c r="J312" s="119" t="str">
        <f>IF(G312="","",_xlfn.XLOOKUP(G312,'🚛 FROTA'!B:B,'🚛 FROTA'!E:E,""))</f>
        <v>9.170 Delivery</v>
      </c>
      <c r="K312" s="119" t="str">
        <f>IF(G312="","",_xlfn.XLOOKUP(G312,'🚛 FROTA'!B:B,'🚛 FROTA'!K:K,""))</f>
        <v>Basculante</v>
      </c>
      <c r="L312" s="143" t="s">
        <v>552</v>
      </c>
      <c r="M312" s="143" t="s">
        <v>1159</v>
      </c>
      <c r="N312" s="145">
        <v>46023</v>
      </c>
      <c r="O312" s="143">
        <v>3</v>
      </c>
      <c r="P312" s="143">
        <v>3</v>
      </c>
      <c r="Q312" s="167">
        <v>466.67</v>
      </c>
      <c r="R312" s="143" t="s">
        <v>554</v>
      </c>
      <c r="S312" s="122" t="s">
        <v>534</v>
      </c>
      <c r="T312" s="120" t="s">
        <v>522</v>
      </c>
      <c r="U312" s="121" t="s">
        <v>555</v>
      </c>
      <c r="V312" s="119" t="s">
        <v>670</v>
      </c>
      <c r="W312" s="119" t="s">
        <v>1160</v>
      </c>
      <c r="X312" s="123" t="s">
        <v>1161</v>
      </c>
      <c r="Y312" s="119"/>
      <c r="Z312" s="124">
        <v>77397</v>
      </c>
      <c r="AA312" s="125"/>
      <c r="AB312" s="126"/>
      <c r="AC312" s="127"/>
      <c r="AD312" s="127"/>
      <c r="AE312" s="127"/>
      <c r="AF312" s="127"/>
      <c r="AG312" s="125"/>
      <c r="AH312" s="128">
        <f t="shared" ca="1" si="18"/>
        <v>45932</v>
      </c>
      <c r="AI312" s="129" t="s">
        <v>559</v>
      </c>
      <c r="AJ312" s="129"/>
      <c r="AK312" s="129"/>
      <c r="AL312" s="129"/>
      <c r="AM312" s="129"/>
    </row>
    <row r="313" spans="1:39" ht="18" hidden="1" customHeight="1" x14ac:dyDescent="0.25">
      <c r="A313" s="117">
        <v>312</v>
      </c>
      <c r="B313" s="117"/>
      <c r="C313" s="118" t="s">
        <v>1165</v>
      </c>
      <c r="D313" s="146">
        <f t="array" aca="1" ref="D313" ca="1">SUM(--(_xlfn.UNIQUE(_xlfn._xlws.FILTER($M$2:$M$1011 &amp; "", ($C$2:$C$1011 = C313) * ($M$2:$M$1011 &lt;&gt; ""))) &lt;&gt; ""))</f>
        <v>1</v>
      </c>
      <c r="E313" s="166">
        <f t="shared" ca="1" si="16"/>
        <v>629</v>
      </c>
      <c r="F313" s="143">
        <v>3</v>
      </c>
      <c r="G313" s="143" t="s">
        <v>128</v>
      </c>
      <c r="H313" s="119">
        <f>_xlfn.XLOOKUP(G313,'🚛 FROTA'!B:B,'🚛 FROTA'!A:A,"")</f>
        <v>20</v>
      </c>
      <c r="I313" s="119"/>
      <c r="J313" s="119" t="str">
        <f>IF(G313="","",_xlfn.XLOOKUP(G313,'🚛 FROTA'!B:B,'🚛 FROTA'!E:E,""))</f>
        <v>3CX</v>
      </c>
      <c r="K313" s="119"/>
      <c r="L313" s="143" t="s">
        <v>1166</v>
      </c>
      <c r="M313" s="143" t="s">
        <v>1167</v>
      </c>
      <c r="N313" s="145">
        <v>45964</v>
      </c>
      <c r="O313" s="143">
        <v>1</v>
      </c>
      <c r="P313" s="143">
        <v>1</v>
      </c>
      <c r="Q313" s="167">
        <v>629</v>
      </c>
      <c r="R313" s="143" t="s">
        <v>651</v>
      </c>
      <c r="S313" s="122" t="s">
        <v>560</v>
      </c>
      <c r="T313" s="120" t="s">
        <v>522</v>
      </c>
      <c r="U313" s="121" t="s">
        <v>555</v>
      </c>
      <c r="V313" s="119" t="s">
        <v>689</v>
      </c>
      <c r="W313" s="119" t="s">
        <v>1168</v>
      </c>
      <c r="X313" s="123" t="s">
        <v>1169</v>
      </c>
      <c r="Y313" s="119" t="s">
        <v>1170</v>
      </c>
      <c r="Z313" s="130"/>
      <c r="AA313" s="125"/>
      <c r="AB313" s="126"/>
      <c r="AC313" s="127"/>
      <c r="AD313" s="127"/>
      <c r="AE313" s="127"/>
      <c r="AF313" s="127"/>
      <c r="AG313" s="125"/>
      <c r="AH313" s="128">
        <f>IF(OR(R313="A Vista", R313="Crédito", R313="Adiantamento"), N313, IF(R313="Faturado", _xlfn.MINIFS(N:N, C:C, C313)-30, ""))</f>
        <v>45964</v>
      </c>
      <c r="AI313" s="129"/>
      <c r="AJ313" s="129"/>
      <c r="AK313" s="129"/>
      <c r="AL313" s="129"/>
      <c r="AM313" s="129"/>
    </row>
    <row r="314" spans="1:39" ht="18" hidden="1" customHeight="1" x14ac:dyDescent="0.25">
      <c r="A314" s="117">
        <v>313</v>
      </c>
      <c r="B314" s="117"/>
      <c r="C314" s="118" t="s">
        <v>1171</v>
      </c>
      <c r="D314" s="146">
        <f t="array" aca="1" ref="D314" ca="1">SUM(--(_xlfn.UNIQUE(_xlfn._xlws.FILTER($M$2:$M$1011 &amp; "", ($C$2:$C$1011 = C314) * ($M$2:$M$1011 &lt;&gt; ""))) &lt;&gt; ""))</f>
        <v>1</v>
      </c>
      <c r="E314" s="166">
        <f t="shared" ca="1" si="16"/>
        <v>280</v>
      </c>
      <c r="F314" s="143">
        <v>3</v>
      </c>
      <c r="G314" s="143" t="s">
        <v>119</v>
      </c>
      <c r="H314" s="119">
        <f>_xlfn.XLOOKUP(G314,'🚛 FROTA'!B:B,'🚛 FROTA'!A:A,"")</f>
        <v>17</v>
      </c>
      <c r="I314" s="119"/>
      <c r="J314" s="119" t="str">
        <f>IF(G314="","",_xlfn.XLOOKUP(G314,'🚛 FROTA'!B:B,'🚛 FROTA'!E:E,""))</f>
        <v>CAT 416F2</v>
      </c>
      <c r="K314" s="119"/>
      <c r="L314" s="143" t="s">
        <v>1172</v>
      </c>
      <c r="M314" s="143" t="s">
        <v>1173</v>
      </c>
      <c r="N314" s="145">
        <v>45965</v>
      </c>
      <c r="O314" s="143">
        <v>1</v>
      </c>
      <c r="P314" s="143">
        <v>1</v>
      </c>
      <c r="Q314" s="167">
        <v>280</v>
      </c>
      <c r="R314" s="143" t="s">
        <v>651</v>
      </c>
      <c r="S314" s="122" t="s">
        <v>560</v>
      </c>
      <c r="T314" s="120" t="s">
        <v>522</v>
      </c>
      <c r="U314" s="121" t="s">
        <v>555</v>
      </c>
      <c r="V314" s="119" t="s">
        <v>640</v>
      </c>
      <c r="W314" s="119" t="s">
        <v>1174</v>
      </c>
      <c r="X314" s="123" t="s">
        <v>1175</v>
      </c>
      <c r="Y314" s="119" t="s">
        <v>1170</v>
      </c>
      <c r="Z314" s="130"/>
      <c r="AA314" s="125"/>
      <c r="AB314" s="126"/>
      <c r="AC314" s="127"/>
      <c r="AD314" s="127"/>
      <c r="AE314" s="127"/>
      <c r="AF314" s="127"/>
      <c r="AG314" s="125"/>
      <c r="AH314" s="128">
        <f>IF(OR(R314="A Vista", R314="Crédito", R314="Adiantamento"), N314, IF(R314="Faturado", _xlfn.MINIFS(N:N, C:C, C314)-30, ""))</f>
        <v>45965</v>
      </c>
      <c r="AI314" s="129"/>
      <c r="AJ314" s="129"/>
      <c r="AK314" s="129"/>
      <c r="AL314" s="129"/>
      <c r="AM314" s="129"/>
    </row>
    <row r="315" spans="1:39" ht="18" hidden="1" customHeight="1" x14ac:dyDescent="0.25">
      <c r="A315" s="117">
        <v>314</v>
      </c>
      <c r="B315" s="117"/>
      <c r="C315" s="118" t="s">
        <v>1176</v>
      </c>
      <c r="D315" s="146">
        <f t="array" aca="1" ref="D315" ca="1">SUM(--(_xlfn.UNIQUE(_xlfn._xlws.FILTER($M$2:$M$1011 &amp; "", ($C$2:$C$1011 = C315) * ($M$2:$M$1011 &lt;&gt; ""))) &lt;&gt; ""))</f>
        <v>1</v>
      </c>
      <c r="E315" s="166">
        <f t="shared" ca="1" si="16"/>
        <v>45</v>
      </c>
      <c r="F315" s="143">
        <v>3</v>
      </c>
      <c r="G315" s="143" t="s">
        <v>128</v>
      </c>
      <c r="H315" s="119">
        <f>_xlfn.XLOOKUP(G315,'🚛 FROTA'!B:B,'🚛 FROTA'!A:A,"")</f>
        <v>20</v>
      </c>
      <c r="I315" s="119"/>
      <c r="J315" s="119" t="str">
        <f>IF(G315="","",_xlfn.XLOOKUP(G315,'🚛 FROTA'!B:B,'🚛 FROTA'!E:E,""))</f>
        <v>3CX</v>
      </c>
      <c r="K315" s="119"/>
      <c r="L315" s="143" t="s">
        <v>932</v>
      </c>
      <c r="M315" s="143" t="s">
        <v>1177</v>
      </c>
      <c r="N315" s="145">
        <v>45965</v>
      </c>
      <c r="O315" s="143">
        <v>1</v>
      </c>
      <c r="P315" s="143">
        <v>1</v>
      </c>
      <c r="Q315" s="167">
        <v>45</v>
      </c>
      <c r="R315" s="143" t="s">
        <v>651</v>
      </c>
      <c r="S315" s="122" t="s">
        <v>534</v>
      </c>
      <c r="T315" s="120" t="s">
        <v>522</v>
      </c>
      <c r="U315" s="121" t="s">
        <v>597</v>
      </c>
      <c r="V315" s="119" t="s">
        <v>598</v>
      </c>
      <c r="W315" s="119" t="s">
        <v>1178</v>
      </c>
      <c r="X315" s="123" t="s">
        <v>1179</v>
      </c>
      <c r="Y315" s="119"/>
      <c r="Z315" s="130"/>
      <c r="AA315" s="125"/>
      <c r="AB315" s="126"/>
      <c r="AC315" s="127"/>
      <c r="AD315" s="127"/>
      <c r="AE315" s="127"/>
      <c r="AF315" s="127"/>
      <c r="AG315" s="125"/>
      <c r="AH315" s="128">
        <f>IF(OR(R315="A Vista", R315="Crédito", R315="Adiantamento"), N315, IF(R315="Faturado", _xlfn.MINIFS(N:N, C:C, C315)-30, ""))</f>
        <v>45965</v>
      </c>
      <c r="AI315" s="129"/>
      <c r="AJ315" s="129"/>
      <c r="AK315" s="132">
        <f>IF(Z315="",0,Z315+10000)</f>
        <v>0</v>
      </c>
      <c r="AL315" s="129"/>
      <c r="AM315" s="129"/>
    </row>
    <row r="316" spans="1:39" ht="18" hidden="1" customHeight="1" x14ac:dyDescent="0.25">
      <c r="A316" s="117">
        <v>315</v>
      </c>
      <c r="B316" s="117"/>
      <c r="C316" s="118" t="s">
        <v>1180</v>
      </c>
      <c r="D316" s="146">
        <f t="array" aca="1" ref="D316" ca="1">SUM(--(_xlfn.UNIQUE(_xlfn._xlws.FILTER($M$2:$M$1011 &amp; "", ($C$2:$C$1011 = C316) * ($M$2:$M$1011 &lt;&gt; ""))) &lt;&gt; ""))</f>
        <v>1</v>
      </c>
      <c r="E316" s="166">
        <f t="shared" ca="1" si="16"/>
        <v>2896</v>
      </c>
      <c r="F316" s="143">
        <v>3</v>
      </c>
      <c r="G316" s="143" t="s">
        <v>174</v>
      </c>
      <c r="H316" s="119">
        <f>_xlfn.XLOOKUP(G316,'🚛 FROTA'!B:B,'🚛 FROTA'!A:A,"")</f>
        <v>47</v>
      </c>
      <c r="I316" s="119"/>
      <c r="J316" s="119" t="str">
        <f>IF(G316="","",_xlfn.XLOOKUP(G316,'🚛 FROTA'!B:B,'🚛 FROTA'!E:E,""))</f>
        <v>Atego 3026</v>
      </c>
      <c r="K316" s="119" t="str">
        <f>IF(G316="","",_xlfn.XLOOKUP(G316,'🚛 FROTA'!B:B,'🚛 FROTA'!K:K,""))</f>
        <v>Prancha</v>
      </c>
      <c r="L316" s="143" t="s">
        <v>1181</v>
      </c>
      <c r="M316" s="143" t="s">
        <v>1182</v>
      </c>
      <c r="N316" s="145">
        <v>45971</v>
      </c>
      <c r="O316" s="143">
        <v>1</v>
      </c>
      <c r="P316" s="143">
        <v>2</v>
      </c>
      <c r="Q316" s="167">
        <v>1400</v>
      </c>
      <c r="R316" s="143" t="s">
        <v>651</v>
      </c>
      <c r="S316" s="122" t="s">
        <v>534</v>
      </c>
      <c r="T316" s="120" t="s">
        <v>522</v>
      </c>
      <c r="U316" s="121" t="s">
        <v>555</v>
      </c>
      <c r="V316" s="119" t="s">
        <v>619</v>
      </c>
      <c r="W316" s="119" t="s">
        <v>1183</v>
      </c>
      <c r="X316" s="123" t="s">
        <v>1184</v>
      </c>
      <c r="Y316" s="119"/>
      <c r="Z316" s="124">
        <v>42062</v>
      </c>
      <c r="AA316" s="125"/>
      <c r="AB316" s="126"/>
      <c r="AC316" s="127"/>
      <c r="AD316" s="127"/>
      <c r="AE316" s="127"/>
      <c r="AF316" s="127"/>
      <c r="AG316" s="125"/>
      <c r="AH316" s="128">
        <f>IF(OR(R316="A Vista", R316="Crédito", R316="Adiantamento"), N316, IF(R316="Faturado", _xlfn.MINIFS(N:N, C:C, C316)-30, ""))</f>
        <v>45971</v>
      </c>
      <c r="AI316" s="129"/>
      <c r="AJ316" s="129"/>
      <c r="AK316" s="129"/>
      <c r="AL316" s="129"/>
      <c r="AM316" s="129"/>
    </row>
    <row r="317" spans="1:39" ht="18" hidden="1" customHeight="1" x14ac:dyDescent="0.25">
      <c r="A317" s="117">
        <v>316</v>
      </c>
      <c r="B317" s="117"/>
      <c r="C317" s="118" t="s">
        <v>1180</v>
      </c>
      <c r="D317" s="146">
        <f t="array" aca="1" ref="D317" ca="1">SUM(--(_xlfn.UNIQUE(_xlfn._xlws.FILTER($M$2:$M$1011 &amp; "", ($C$2:$C$1011 = C317) * ($M$2:$M$1011 &lt;&gt; ""))) &lt;&gt; ""))</f>
        <v>1</v>
      </c>
      <c r="E317" s="166">
        <f t="shared" ca="1" si="16"/>
        <v>2896</v>
      </c>
      <c r="F317" s="143">
        <v>3</v>
      </c>
      <c r="G317" s="143" t="s">
        <v>174</v>
      </c>
      <c r="H317" s="119">
        <f>_xlfn.XLOOKUP(G317,'🚛 FROTA'!B:B,'🚛 FROTA'!A:A,"")</f>
        <v>47</v>
      </c>
      <c r="I317" s="119"/>
      <c r="J317" s="119" t="str">
        <f>IF(G317="","",_xlfn.XLOOKUP(G317,'🚛 FROTA'!B:B,'🚛 FROTA'!E:E,""))</f>
        <v>Atego 3026</v>
      </c>
      <c r="K317" s="119" t="str">
        <f>IF(G317="","",_xlfn.XLOOKUP(G317,'🚛 FROTA'!B:B,'🚛 FROTA'!K:K,""))</f>
        <v>Prancha</v>
      </c>
      <c r="L317" s="143" t="s">
        <v>1181</v>
      </c>
      <c r="M317" s="143" t="s">
        <v>1182</v>
      </c>
      <c r="N317" s="145">
        <v>45992</v>
      </c>
      <c r="O317" s="143">
        <v>2</v>
      </c>
      <c r="P317" s="143">
        <v>2</v>
      </c>
      <c r="Q317" s="167">
        <v>1496</v>
      </c>
      <c r="R317" s="143" t="s">
        <v>554</v>
      </c>
      <c r="S317" s="122" t="s">
        <v>534</v>
      </c>
      <c r="T317" s="120" t="s">
        <v>522</v>
      </c>
      <c r="U317" s="121" t="s">
        <v>555</v>
      </c>
      <c r="V317" s="119" t="s">
        <v>619</v>
      </c>
      <c r="W317" s="119" t="s">
        <v>1183</v>
      </c>
      <c r="X317" s="123" t="s">
        <v>1184</v>
      </c>
      <c r="Y317" s="119"/>
      <c r="Z317" s="124">
        <v>42062</v>
      </c>
      <c r="AA317" s="125"/>
      <c r="AB317" s="126"/>
      <c r="AC317" s="127"/>
      <c r="AD317" s="127"/>
      <c r="AE317" s="127"/>
      <c r="AF317" s="127"/>
      <c r="AG317" s="125"/>
      <c r="AH317" s="128">
        <f ca="1">IF(OR(R317="A VISTA", R317="C. CRÉDITO", R317="ADIANTAMENTO"), N317, IF(R317="Faturado", _xlfn.MINIFS(N:N, C:C, C317)-30, ""))</f>
        <v>45941</v>
      </c>
      <c r="AI317" s="129"/>
      <c r="AJ317" s="129"/>
      <c r="AK317" s="129"/>
      <c r="AL317" s="129"/>
      <c r="AM317" s="129"/>
    </row>
    <row r="318" spans="1:39" ht="18" hidden="1" customHeight="1" x14ac:dyDescent="0.25">
      <c r="A318" s="117">
        <v>317</v>
      </c>
      <c r="B318" s="117"/>
      <c r="C318" s="118" t="s">
        <v>1185</v>
      </c>
      <c r="D318" s="146">
        <f t="array" aca="1" ref="D318" ca="1">SUM(--(_xlfn.UNIQUE(_xlfn._xlws.FILTER($M$2:$M$1011 &amp; "", ($C$2:$C$1011 = C318) * ($M$2:$M$1011 &lt;&gt; ""))) &lt;&gt; ""))</f>
        <v>1</v>
      </c>
      <c r="E318" s="166">
        <f t="shared" ca="1" si="16"/>
        <v>460</v>
      </c>
      <c r="F318" s="143">
        <v>3</v>
      </c>
      <c r="G318" s="143" t="s">
        <v>169</v>
      </c>
      <c r="H318" s="119">
        <f>_xlfn.XLOOKUP(G318,'🚛 FROTA'!B:B,'🚛 FROTA'!A:A,"")</f>
        <v>43</v>
      </c>
      <c r="I318" s="119"/>
      <c r="J318" s="119" t="str">
        <f>IF(G318="","",_xlfn.XLOOKUP(G318,'🚛 FROTA'!B:B,'🚛 FROTA'!E:E,""))</f>
        <v>Express Delivery</v>
      </c>
      <c r="K318" s="119" t="str">
        <f>IF(G318="","",_xlfn.XLOOKUP(G318,'🚛 FROTA'!B:B,'🚛 FROTA'!K:K,""))</f>
        <v>Carroceria</v>
      </c>
      <c r="L318" s="143" t="s">
        <v>552</v>
      </c>
      <c r="M318" s="143" t="s">
        <v>1186</v>
      </c>
      <c r="N318" s="145">
        <v>45975</v>
      </c>
      <c r="O318" s="143">
        <v>1</v>
      </c>
      <c r="P318" s="143">
        <v>2</v>
      </c>
      <c r="Q318" s="167">
        <v>230</v>
      </c>
      <c r="R318" s="143" t="s">
        <v>554</v>
      </c>
      <c r="S318" s="122" t="s">
        <v>534</v>
      </c>
      <c r="T318" s="120" t="s">
        <v>522</v>
      </c>
      <c r="U318" s="121" t="s">
        <v>555</v>
      </c>
      <c r="V318" s="119" t="s">
        <v>573</v>
      </c>
      <c r="W318" s="119" t="s">
        <v>1187</v>
      </c>
      <c r="X318" s="123" t="s">
        <v>1188</v>
      </c>
      <c r="Y318" s="119"/>
      <c r="Z318" s="124">
        <v>58334</v>
      </c>
      <c r="AA318" s="122" t="s">
        <v>577</v>
      </c>
      <c r="AB318" s="122">
        <v>2</v>
      </c>
      <c r="AC318" s="131" t="s">
        <v>578</v>
      </c>
      <c r="AD318" s="131"/>
      <c r="AE318" s="131"/>
      <c r="AF318" s="131"/>
      <c r="AG318" s="125" t="s">
        <v>587</v>
      </c>
      <c r="AH318" s="128">
        <f ca="1">IF(OR(R318="A VISTA", R318="C. CRÉDITO", R318="ADIANTAMENTO"), N318, IF(R318="Faturado", _xlfn.MINIFS(N:N, C:C, C318)-30, ""))</f>
        <v>45945</v>
      </c>
      <c r="AI318" s="129" t="s">
        <v>559</v>
      </c>
      <c r="AJ318" s="129"/>
      <c r="AK318" s="129"/>
      <c r="AL318" s="129"/>
      <c r="AM318" s="129"/>
    </row>
    <row r="319" spans="1:39" ht="18" hidden="1" customHeight="1" x14ac:dyDescent="0.25">
      <c r="A319" s="117">
        <v>318</v>
      </c>
      <c r="B319" s="117"/>
      <c r="C319" s="118" t="s">
        <v>1185</v>
      </c>
      <c r="D319" s="146">
        <f t="array" aca="1" ref="D319" ca="1">SUM(--(_xlfn.UNIQUE(_xlfn._xlws.FILTER($M$2:$M$1011 &amp; "", ($C$2:$C$1011 = C319) * ($M$2:$M$1011 &lt;&gt; ""))) &lt;&gt; ""))</f>
        <v>1</v>
      </c>
      <c r="E319" s="166">
        <f t="shared" ca="1" si="16"/>
        <v>460</v>
      </c>
      <c r="F319" s="143">
        <v>3</v>
      </c>
      <c r="G319" s="143" t="s">
        <v>169</v>
      </c>
      <c r="H319" s="119">
        <f>_xlfn.XLOOKUP(G319,'🚛 FROTA'!B:B,'🚛 FROTA'!A:A,"")</f>
        <v>43</v>
      </c>
      <c r="I319" s="119"/>
      <c r="J319" s="119" t="str">
        <f>IF(G319="","",_xlfn.XLOOKUP(G319,'🚛 FROTA'!B:B,'🚛 FROTA'!E:E,""))</f>
        <v>Express Delivery</v>
      </c>
      <c r="K319" s="119" t="str">
        <f>IF(G319="","",_xlfn.XLOOKUP(G319,'🚛 FROTA'!B:B,'🚛 FROTA'!K:K,""))</f>
        <v>Carroceria</v>
      </c>
      <c r="L319" s="143" t="s">
        <v>552</v>
      </c>
      <c r="M319" s="143" t="s">
        <v>1186</v>
      </c>
      <c r="N319" s="145">
        <v>45992</v>
      </c>
      <c r="O319" s="143">
        <v>2</v>
      </c>
      <c r="P319" s="143">
        <v>2</v>
      </c>
      <c r="Q319" s="167">
        <v>230</v>
      </c>
      <c r="R319" s="143" t="s">
        <v>554</v>
      </c>
      <c r="S319" s="122" t="s">
        <v>534</v>
      </c>
      <c r="T319" s="120" t="s">
        <v>522</v>
      </c>
      <c r="U319" s="121" t="s">
        <v>555</v>
      </c>
      <c r="V319" s="119" t="s">
        <v>573</v>
      </c>
      <c r="W319" s="119" t="s">
        <v>1187</v>
      </c>
      <c r="X319" s="123" t="s">
        <v>1188</v>
      </c>
      <c r="Y319" s="119"/>
      <c r="Z319" s="124">
        <v>58334</v>
      </c>
      <c r="AA319" s="122" t="s">
        <v>577</v>
      </c>
      <c r="AB319" s="122">
        <v>2</v>
      </c>
      <c r="AC319" s="131" t="s">
        <v>578</v>
      </c>
      <c r="AD319" s="131"/>
      <c r="AE319" s="131"/>
      <c r="AF319" s="131"/>
      <c r="AG319" s="125" t="s">
        <v>587</v>
      </c>
      <c r="AH319" s="128">
        <f ca="1">IF(OR(R319="A VISTA", R319="C. CRÉDITO", R319="ADIANTAMENTO"), N319, IF(R319="Faturado", _xlfn.MINIFS(N:N, C:C, C319)-30, ""))</f>
        <v>45945</v>
      </c>
      <c r="AI319" s="129" t="s">
        <v>559</v>
      </c>
      <c r="AJ319" s="129"/>
      <c r="AK319" s="129"/>
      <c r="AL319" s="129"/>
      <c r="AM319" s="129"/>
    </row>
    <row r="320" spans="1:39" ht="18" hidden="1" customHeight="1" x14ac:dyDescent="0.25">
      <c r="A320" s="117">
        <v>319</v>
      </c>
      <c r="B320" s="117"/>
      <c r="C320" s="118" t="s">
        <v>470</v>
      </c>
      <c r="D320" s="146">
        <f t="array" aca="1" ref="D320" ca="1">SUM(--(_xlfn.UNIQUE(_xlfn._xlws.FILTER($M$2:$M$1011 &amp; "", ($C$2:$C$1011 = C320) * ($M$2:$M$1011 &lt;&gt; ""))) &lt;&gt; ""))</f>
        <v>1</v>
      </c>
      <c r="E320" s="166">
        <f t="shared" ca="1" si="16"/>
        <v>280</v>
      </c>
      <c r="F320" s="143">
        <v>3</v>
      </c>
      <c r="G320" s="143" t="s">
        <v>166</v>
      </c>
      <c r="H320" s="119">
        <f>_xlfn.XLOOKUP(G320,'🚛 FROTA'!B:B,'🚛 FROTA'!A:A,"")</f>
        <v>41</v>
      </c>
      <c r="I320" s="119"/>
      <c r="J320" s="119" t="str">
        <f>IF(G320="","",_xlfn.XLOOKUP(G320,'🚛 FROTA'!B:B,'🚛 FROTA'!E:E,""))</f>
        <v>Express Delivery</v>
      </c>
      <c r="K320" s="119" t="str">
        <f>IF(G320="","",_xlfn.XLOOKUP(G320,'🚛 FROTA'!B:B,'🚛 FROTA'!K:K,""))</f>
        <v>Carroceria Cabinado</v>
      </c>
      <c r="L320" s="143" t="s">
        <v>1189</v>
      </c>
      <c r="M320" s="143" t="s">
        <v>1190</v>
      </c>
      <c r="N320" s="145">
        <v>45978</v>
      </c>
      <c r="O320" s="143">
        <v>1</v>
      </c>
      <c r="P320" s="143">
        <v>1</v>
      </c>
      <c r="Q320" s="167">
        <v>280</v>
      </c>
      <c r="R320" s="143" t="s">
        <v>651</v>
      </c>
      <c r="S320" s="122" t="s">
        <v>534</v>
      </c>
      <c r="T320" s="120" t="s">
        <v>522</v>
      </c>
      <c r="U320" s="121" t="s">
        <v>555</v>
      </c>
      <c r="V320" s="119" t="s">
        <v>568</v>
      </c>
      <c r="W320" s="119" t="s">
        <v>1191</v>
      </c>
      <c r="X320" s="123" t="s">
        <v>1191</v>
      </c>
      <c r="Y320" s="119"/>
      <c r="Z320" s="130"/>
      <c r="AA320" s="125"/>
      <c r="AB320" s="126"/>
      <c r="AC320" s="127"/>
      <c r="AD320" s="127"/>
      <c r="AE320" s="127"/>
      <c r="AF320" s="127"/>
      <c r="AG320" s="125"/>
      <c r="AH320" s="128">
        <f>IF(OR(R320="A Vista", R320="Crédito", R320="Adiantamento"), N320, IF(R320="Faturado", _xlfn.MINIFS(N:N, C:C, C320)-30, ""))</f>
        <v>45978</v>
      </c>
      <c r="AI320" s="129"/>
      <c r="AJ320" s="129"/>
      <c r="AK320" s="129"/>
      <c r="AL320" s="129"/>
      <c r="AM320" s="129"/>
    </row>
    <row r="321" spans="1:39" ht="18" hidden="1" customHeight="1" x14ac:dyDescent="0.25">
      <c r="A321" s="117">
        <v>320</v>
      </c>
      <c r="B321" s="117"/>
      <c r="C321" s="118" t="s">
        <v>1192</v>
      </c>
      <c r="D321" s="146">
        <f t="array" aca="1" ref="D321" ca="1">SUM(--(_xlfn.UNIQUE(_xlfn._xlws.FILTER($M$2:$M$1011 &amp; "", ($C$2:$C$1011 = C321) * ($M$2:$M$1011 &lt;&gt; ""))) &lt;&gt; ""))</f>
        <v>2</v>
      </c>
      <c r="E321" s="166">
        <f t="shared" ca="1" si="16"/>
        <v>10820.599999999999</v>
      </c>
      <c r="F321" s="143">
        <v>1</v>
      </c>
      <c r="G321" s="143" t="s">
        <v>85</v>
      </c>
      <c r="H321" s="119">
        <f>_xlfn.XLOOKUP(G321,'🚛 FROTA'!B:B,'🚛 FROTA'!A:A,"")</f>
        <v>6</v>
      </c>
      <c r="I321" s="119"/>
      <c r="J321" s="119" t="str">
        <f>IF(G321="","",_xlfn.XLOOKUP(G321,'🚛 FROTA'!B:B,'🚛 FROTA'!E:E,""))</f>
        <v>13.180 Constellation</v>
      </c>
      <c r="K321" s="119" t="str">
        <f>IF(G321="","",_xlfn.XLOOKUP(G321,'🚛 FROTA'!B:B,'🚛 FROTA'!K:K,""))</f>
        <v>Munck</v>
      </c>
      <c r="L321" s="143" t="s">
        <v>627</v>
      </c>
      <c r="M321" s="143" t="s">
        <v>1193</v>
      </c>
      <c r="N321" s="145">
        <v>45978</v>
      </c>
      <c r="O321" s="143">
        <v>1</v>
      </c>
      <c r="P321" s="143">
        <v>4</v>
      </c>
      <c r="Q321" s="167">
        <v>2197.66</v>
      </c>
      <c r="R321" s="143" t="s">
        <v>554</v>
      </c>
      <c r="S321" s="122" t="s">
        <v>534</v>
      </c>
      <c r="T321" s="120" t="s">
        <v>522</v>
      </c>
      <c r="U321" s="121" t="s">
        <v>555</v>
      </c>
      <c r="V321" s="119" t="s">
        <v>689</v>
      </c>
      <c r="W321" s="119" t="s">
        <v>1194</v>
      </c>
      <c r="X321" s="123" t="s">
        <v>1195</v>
      </c>
      <c r="Y321" s="119"/>
      <c r="Z321" s="130"/>
      <c r="AA321" s="125"/>
      <c r="AB321" s="126"/>
      <c r="AC321" s="127"/>
      <c r="AD321" s="127"/>
      <c r="AE321" s="127"/>
      <c r="AF321" s="127"/>
      <c r="AG321" s="125"/>
      <c r="AH321" s="128">
        <f t="shared" ref="AH321:AH328" ca="1" si="19">IF(OR(R321="A VISTA", R321="C. CRÉDITO", R321="ADIANTAMENTO"), N321, IF(R321="Faturado", _xlfn.MINIFS(N:N, C:C, C321)-30, ""))</f>
        <v>45948</v>
      </c>
      <c r="AI321" s="129" t="s">
        <v>631</v>
      </c>
      <c r="AJ321" s="129"/>
      <c r="AK321" s="129"/>
      <c r="AL321" s="129"/>
      <c r="AM321" s="129"/>
    </row>
    <row r="322" spans="1:39" ht="18" hidden="1" customHeight="1" x14ac:dyDescent="0.25">
      <c r="A322" s="117">
        <v>321</v>
      </c>
      <c r="B322" s="117"/>
      <c r="C322" s="118" t="s">
        <v>1192</v>
      </c>
      <c r="D322" s="146">
        <f t="array" aca="1" ref="D322" ca="1">SUM(--(_xlfn.UNIQUE(_xlfn._xlws.FILTER($M$2:$M$1011 &amp; "", ($C$2:$C$1011 = C322) * ($M$2:$M$1011 &lt;&gt; ""))) &lt;&gt; ""))</f>
        <v>2</v>
      </c>
      <c r="E322" s="166">
        <f t="shared" ref="E322:E385" ca="1" si="20">SUMIF(C:C, C322, Q:Q)</f>
        <v>10820.599999999999</v>
      </c>
      <c r="F322" s="143">
        <v>3</v>
      </c>
      <c r="G322" s="143" t="s">
        <v>85</v>
      </c>
      <c r="H322" s="119">
        <f>_xlfn.XLOOKUP(G322,'🚛 FROTA'!B:B,'🚛 FROTA'!A:A,"")</f>
        <v>6</v>
      </c>
      <c r="I322" s="119"/>
      <c r="J322" s="119" t="str">
        <f>IF(G322="","",_xlfn.XLOOKUP(G322,'🚛 FROTA'!B:B,'🚛 FROTA'!E:E,""))</f>
        <v>13.180 Constellation</v>
      </c>
      <c r="K322" s="119" t="str">
        <f>IF(G322="","",_xlfn.XLOOKUP(G322,'🚛 FROTA'!B:B,'🚛 FROTA'!K:K,""))</f>
        <v>Munck</v>
      </c>
      <c r="L322" s="143" t="s">
        <v>876</v>
      </c>
      <c r="M322" s="143" t="s">
        <v>1196</v>
      </c>
      <c r="N322" s="145">
        <v>45992</v>
      </c>
      <c r="O322" s="143">
        <v>1</v>
      </c>
      <c r="P322" s="143">
        <v>3</v>
      </c>
      <c r="Q322" s="167">
        <v>676.66</v>
      </c>
      <c r="R322" s="143" t="s">
        <v>554</v>
      </c>
      <c r="S322" s="122" t="s">
        <v>534</v>
      </c>
      <c r="T322" s="120" t="s">
        <v>522</v>
      </c>
      <c r="U322" s="121" t="s">
        <v>555</v>
      </c>
      <c r="V322" s="119" t="s">
        <v>689</v>
      </c>
      <c r="W322" s="119" t="s">
        <v>1197</v>
      </c>
      <c r="X322" s="123" t="s">
        <v>1198</v>
      </c>
      <c r="Y322" s="119"/>
      <c r="Z322" s="124">
        <v>322229</v>
      </c>
      <c r="AA322" s="125"/>
      <c r="AB322" s="126"/>
      <c r="AC322" s="127"/>
      <c r="AD322" s="127"/>
      <c r="AE322" s="127"/>
      <c r="AF322" s="127"/>
      <c r="AG322" s="125"/>
      <c r="AH322" s="128">
        <f t="shared" ca="1" si="19"/>
        <v>45948</v>
      </c>
      <c r="AI322" s="129" t="s">
        <v>880</v>
      </c>
      <c r="AJ322" s="129"/>
      <c r="AK322" s="129"/>
      <c r="AL322" s="129"/>
      <c r="AM322" s="129"/>
    </row>
    <row r="323" spans="1:39" ht="18" hidden="1" customHeight="1" x14ac:dyDescent="0.25">
      <c r="A323" s="117">
        <v>322</v>
      </c>
      <c r="B323" s="117"/>
      <c r="C323" s="118" t="s">
        <v>1192</v>
      </c>
      <c r="D323" s="146">
        <f t="array" aca="1" ref="D323" ca="1">SUM(--(_xlfn.UNIQUE(_xlfn._xlws.FILTER($M$2:$M$1011 &amp; "", ($C$2:$C$1011 = C323) * ($M$2:$M$1011 &lt;&gt; ""))) &lt;&gt; ""))</f>
        <v>2</v>
      </c>
      <c r="E323" s="166">
        <f t="shared" ca="1" si="20"/>
        <v>10820.599999999999</v>
      </c>
      <c r="F323" s="143">
        <v>1</v>
      </c>
      <c r="G323" s="143" t="s">
        <v>85</v>
      </c>
      <c r="H323" s="119">
        <f>_xlfn.XLOOKUP(G323,'🚛 FROTA'!B:B,'🚛 FROTA'!A:A,"")</f>
        <v>6</v>
      </c>
      <c r="I323" s="119"/>
      <c r="J323" s="119" t="str">
        <f>IF(G323="","",_xlfn.XLOOKUP(G323,'🚛 FROTA'!B:B,'🚛 FROTA'!E:E,""))</f>
        <v>13.180 Constellation</v>
      </c>
      <c r="K323" s="119" t="str">
        <f>IF(G323="","",_xlfn.XLOOKUP(G323,'🚛 FROTA'!B:B,'🚛 FROTA'!K:K,""))</f>
        <v>Munck</v>
      </c>
      <c r="L323" s="143" t="s">
        <v>627</v>
      </c>
      <c r="M323" s="143" t="s">
        <v>1193</v>
      </c>
      <c r="N323" s="145">
        <v>46007</v>
      </c>
      <c r="O323" s="143">
        <v>2</v>
      </c>
      <c r="P323" s="143">
        <v>4</v>
      </c>
      <c r="Q323" s="167">
        <v>2197.66</v>
      </c>
      <c r="R323" s="143" t="s">
        <v>554</v>
      </c>
      <c r="S323" s="122" t="s">
        <v>534</v>
      </c>
      <c r="T323" s="120" t="s">
        <v>522</v>
      </c>
      <c r="U323" s="121" t="s">
        <v>555</v>
      </c>
      <c r="V323" s="119" t="s">
        <v>689</v>
      </c>
      <c r="W323" s="119" t="s">
        <v>1199</v>
      </c>
      <c r="X323" s="123" t="s">
        <v>1200</v>
      </c>
      <c r="Y323" s="119"/>
      <c r="Z323" s="124">
        <v>322229</v>
      </c>
      <c r="AA323" s="125"/>
      <c r="AB323" s="126"/>
      <c r="AC323" s="127"/>
      <c r="AD323" s="127"/>
      <c r="AE323" s="127"/>
      <c r="AF323" s="127"/>
      <c r="AG323" s="125"/>
      <c r="AH323" s="128">
        <f t="shared" ca="1" si="19"/>
        <v>45948</v>
      </c>
      <c r="AI323" s="129" t="s">
        <v>631</v>
      </c>
      <c r="AJ323" s="129"/>
      <c r="AK323" s="129"/>
      <c r="AL323" s="129"/>
      <c r="AM323" s="129"/>
    </row>
    <row r="324" spans="1:39" ht="18" hidden="1" customHeight="1" x14ac:dyDescent="0.25">
      <c r="A324" s="117">
        <v>323</v>
      </c>
      <c r="B324" s="117"/>
      <c r="C324" s="118" t="s">
        <v>1192</v>
      </c>
      <c r="D324" s="146">
        <f t="array" aca="1" ref="D324" ca="1">SUM(--(_xlfn.UNIQUE(_xlfn._xlws.FILTER($M$2:$M$1011 &amp; "", ($C$2:$C$1011 = C324) * ($M$2:$M$1011 &lt;&gt; ""))) &lt;&gt; ""))</f>
        <v>2</v>
      </c>
      <c r="E324" s="166">
        <f t="shared" ca="1" si="20"/>
        <v>10820.599999999999</v>
      </c>
      <c r="F324" s="143">
        <v>3</v>
      </c>
      <c r="G324" s="143" t="s">
        <v>85</v>
      </c>
      <c r="H324" s="119">
        <f>_xlfn.XLOOKUP(G324,'🚛 FROTA'!B:B,'🚛 FROTA'!A:A,"")</f>
        <v>6</v>
      </c>
      <c r="I324" s="119"/>
      <c r="J324" s="119" t="str">
        <f>IF(G324="","",_xlfn.XLOOKUP(G324,'🚛 FROTA'!B:B,'🚛 FROTA'!E:E,""))</f>
        <v>13.180 Constellation</v>
      </c>
      <c r="K324" s="119" t="str">
        <f>IF(G324="","",_xlfn.XLOOKUP(G324,'🚛 FROTA'!B:B,'🚛 FROTA'!K:K,""))</f>
        <v>Munck</v>
      </c>
      <c r="L324" s="143" t="s">
        <v>876</v>
      </c>
      <c r="M324" s="143" t="s">
        <v>1196</v>
      </c>
      <c r="N324" s="145">
        <v>46008</v>
      </c>
      <c r="O324" s="143">
        <v>2</v>
      </c>
      <c r="P324" s="143">
        <v>3</v>
      </c>
      <c r="Q324" s="167">
        <v>676.66</v>
      </c>
      <c r="R324" s="143" t="s">
        <v>554</v>
      </c>
      <c r="S324" s="122" t="s">
        <v>534</v>
      </c>
      <c r="T324" s="120" t="s">
        <v>522</v>
      </c>
      <c r="U324" s="121" t="s">
        <v>555</v>
      </c>
      <c r="V324" s="119" t="s">
        <v>689</v>
      </c>
      <c r="W324" s="119" t="s">
        <v>1194</v>
      </c>
      <c r="X324" s="123" t="s">
        <v>1195</v>
      </c>
      <c r="Y324" s="119"/>
      <c r="Z324" s="124">
        <v>322229</v>
      </c>
      <c r="AA324" s="125"/>
      <c r="AB324" s="126"/>
      <c r="AC324" s="127"/>
      <c r="AD324" s="127"/>
      <c r="AE324" s="127"/>
      <c r="AF324" s="127"/>
      <c r="AG324" s="125"/>
      <c r="AH324" s="128">
        <f t="shared" ca="1" si="19"/>
        <v>45948</v>
      </c>
      <c r="AI324" s="129" t="s">
        <v>880</v>
      </c>
      <c r="AJ324" s="129"/>
      <c r="AK324" s="129"/>
      <c r="AL324" s="129"/>
      <c r="AM324" s="129"/>
    </row>
    <row r="325" spans="1:39" ht="18" hidden="1" customHeight="1" x14ac:dyDescent="0.25">
      <c r="A325" s="117">
        <v>324</v>
      </c>
      <c r="B325" s="117"/>
      <c r="C325" s="118" t="s">
        <v>1192</v>
      </c>
      <c r="D325" s="146">
        <f t="array" aca="1" ref="D325" ca="1">SUM(--(_xlfn.UNIQUE(_xlfn._xlws.FILTER($M$2:$M$1011 &amp; "", ($C$2:$C$1011 = C325) * ($M$2:$M$1011 &lt;&gt; ""))) &lt;&gt; ""))</f>
        <v>2</v>
      </c>
      <c r="E325" s="166">
        <f t="shared" ca="1" si="20"/>
        <v>10820.599999999999</v>
      </c>
      <c r="F325" s="143">
        <v>1</v>
      </c>
      <c r="G325" s="143" t="s">
        <v>85</v>
      </c>
      <c r="H325" s="119">
        <f>_xlfn.XLOOKUP(G325,'🚛 FROTA'!B:B,'🚛 FROTA'!A:A,"")</f>
        <v>6</v>
      </c>
      <c r="I325" s="119"/>
      <c r="J325" s="119" t="str">
        <f>IF(G325="","",_xlfn.XLOOKUP(G325,'🚛 FROTA'!B:B,'🚛 FROTA'!E:E,""))</f>
        <v>13.180 Constellation</v>
      </c>
      <c r="K325" s="119" t="str">
        <f>IF(G325="","",_xlfn.XLOOKUP(G325,'🚛 FROTA'!B:B,'🚛 FROTA'!K:K,""))</f>
        <v>Munck</v>
      </c>
      <c r="L325" s="143" t="s">
        <v>627</v>
      </c>
      <c r="M325" s="143" t="s">
        <v>1193</v>
      </c>
      <c r="N325" s="145">
        <v>46037</v>
      </c>
      <c r="O325" s="143">
        <v>3</v>
      </c>
      <c r="P325" s="143">
        <v>4</v>
      </c>
      <c r="Q325" s="167">
        <v>2197.65</v>
      </c>
      <c r="R325" s="143" t="s">
        <v>554</v>
      </c>
      <c r="S325" s="122" t="s">
        <v>534</v>
      </c>
      <c r="T325" s="120" t="s">
        <v>522</v>
      </c>
      <c r="U325" s="121" t="s">
        <v>555</v>
      </c>
      <c r="V325" s="119" t="s">
        <v>689</v>
      </c>
      <c r="W325" s="119" t="s">
        <v>1194</v>
      </c>
      <c r="X325" s="123" t="s">
        <v>1195</v>
      </c>
      <c r="Y325" s="119"/>
      <c r="Z325" s="124">
        <v>322229</v>
      </c>
      <c r="AA325" s="125"/>
      <c r="AB325" s="126"/>
      <c r="AC325" s="127"/>
      <c r="AD325" s="127"/>
      <c r="AE325" s="127"/>
      <c r="AF325" s="127"/>
      <c r="AG325" s="125"/>
      <c r="AH325" s="128">
        <f t="shared" ca="1" si="19"/>
        <v>45948</v>
      </c>
      <c r="AI325" s="129" t="s">
        <v>631</v>
      </c>
      <c r="AJ325" s="129"/>
      <c r="AK325" s="129"/>
      <c r="AL325" s="129"/>
      <c r="AM325" s="129"/>
    </row>
    <row r="326" spans="1:39" ht="18" hidden="1" customHeight="1" x14ac:dyDescent="0.25">
      <c r="A326" s="117">
        <v>325</v>
      </c>
      <c r="B326" s="117"/>
      <c r="C326" s="118" t="s">
        <v>1192</v>
      </c>
      <c r="D326" s="146">
        <f t="array" aca="1" ref="D326" ca="1">SUM(--(_xlfn.UNIQUE(_xlfn._xlws.FILTER($M$2:$M$1011 &amp; "", ($C$2:$C$1011 = C326) * ($M$2:$M$1011 &lt;&gt; ""))) &lt;&gt; ""))</f>
        <v>2</v>
      </c>
      <c r="E326" s="166">
        <f t="shared" ca="1" si="20"/>
        <v>10820.599999999999</v>
      </c>
      <c r="F326" s="143">
        <v>3</v>
      </c>
      <c r="G326" s="143" t="s">
        <v>85</v>
      </c>
      <c r="H326" s="119">
        <f>_xlfn.XLOOKUP(G326,'🚛 FROTA'!B:B,'🚛 FROTA'!A:A,"")</f>
        <v>6</v>
      </c>
      <c r="I326" s="119"/>
      <c r="J326" s="119" t="str">
        <f>IF(G326="","",_xlfn.XLOOKUP(G326,'🚛 FROTA'!B:B,'🚛 FROTA'!E:E,""))</f>
        <v>13.180 Constellation</v>
      </c>
      <c r="K326" s="119" t="str">
        <f>IF(G326="","",_xlfn.XLOOKUP(G326,'🚛 FROTA'!B:B,'🚛 FROTA'!K:K,""))</f>
        <v>Munck</v>
      </c>
      <c r="L326" s="143" t="s">
        <v>876</v>
      </c>
      <c r="M326" s="143" t="s">
        <v>1196</v>
      </c>
      <c r="N326" s="145">
        <v>46039</v>
      </c>
      <c r="O326" s="143">
        <v>3</v>
      </c>
      <c r="P326" s="143">
        <v>3</v>
      </c>
      <c r="Q326" s="167">
        <v>676.66</v>
      </c>
      <c r="R326" s="143" t="s">
        <v>554</v>
      </c>
      <c r="S326" s="122" t="s">
        <v>534</v>
      </c>
      <c r="T326" s="120" t="s">
        <v>522</v>
      </c>
      <c r="U326" s="121" t="s">
        <v>555</v>
      </c>
      <c r="V326" s="119" t="s">
        <v>689</v>
      </c>
      <c r="W326" s="119" t="s">
        <v>1197</v>
      </c>
      <c r="X326" s="123" t="s">
        <v>1198</v>
      </c>
      <c r="Y326" s="119"/>
      <c r="Z326" s="124">
        <v>322229</v>
      </c>
      <c r="AA326" s="125"/>
      <c r="AB326" s="126"/>
      <c r="AC326" s="127"/>
      <c r="AD326" s="127"/>
      <c r="AE326" s="127"/>
      <c r="AF326" s="127"/>
      <c r="AG326" s="125"/>
      <c r="AH326" s="128">
        <f t="shared" ca="1" si="19"/>
        <v>45948</v>
      </c>
      <c r="AI326" s="129" t="s">
        <v>880</v>
      </c>
      <c r="AJ326" s="129"/>
      <c r="AK326" s="129"/>
      <c r="AL326" s="129"/>
      <c r="AM326" s="129"/>
    </row>
    <row r="327" spans="1:39" ht="18" hidden="1" customHeight="1" x14ac:dyDescent="0.25">
      <c r="A327" s="117">
        <v>326</v>
      </c>
      <c r="B327" s="117"/>
      <c r="C327" s="118" t="s">
        <v>1192</v>
      </c>
      <c r="D327" s="146">
        <f t="array" aca="1" ref="D327" ca="1">SUM(--(_xlfn.UNIQUE(_xlfn._xlws.FILTER($M$2:$M$1011 &amp; "", ($C$2:$C$1011 = C327) * ($M$2:$M$1011 &lt;&gt; ""))) &lt;&gt; ""))</f>
        <v>2</v>
      </c>
      <c r="E327" s="166">
        <f t="shared" ca="1" si="20"/>
        <v>10820.599999999999</v>
      </c>
      <c r="F327" s="143">
        <v>1</v>
      </c>
      <c r="G327" s="143" t="s">
        <v>85</v>
      </c>
      <c r="H327" s="119">
        <f>_xlfn.XLOOKUP(G327,'🚛 FROTA'!B:B,'🚛 FROTA'!A:A,"")</f>
        <v>6</v>
      </c>
      <c r="I327" s="119"/>
      <c r="J327" s="119" t="str">
        <f>IF(G327="","",_xlfn.XLOOKUP(G327,'🚛 FROTA'!B:B,'🚛 FROTA'!E:E,""))</f>
        <v>13.180 Constellation</v>
      </c>
      <c r="K327" s="119" t="str">
        <f>IF(G327="","",_xlfn.XLOOKUP(G327,'🚛 FROTA'!B:B,'🚛 FROTA'!K:K,""))</f>
        <v>Munck</v>
      </c>
      <c r="L327" s="143" t="s">
        <v>627</v>
      </c>
      <c r="M327" s="143" t="s">
        <v>1193</v>
      </c>
      <c r="N327" s="145">
        <v>46069</v>
      </c>
      <c r="O327" s="143">
        <v>4</v>
      </c>
      <c r="P327" s="143">
        <v>4</v>
      </c>
      <c r="Q327" s="167">
        <v>2197.65</v>
      </c>
      <c r="R327" s="143" t="s">
        <v>554</v>
      </c>
      <c r="S327" s="122" t="s">
        <v>534</v>
      </c>
      <c r="T327" s="120" t="s">
        <v>522</v>
      </c>
      <c r="U327" s="121" t="s">
        <v>555</v>
      </c>
      <c r="V327" s="119" t="s">
        <v>689</v>
      </c>
      <c r="W327" s="119" t="s">
        <v>1194</v>
      </c>
      <c r="X327" s="123" t="s">
        <v>1195</v>
      </c>
      <c r="Y327" s="119"/>
      <c r="Z327" s="130"/>
      <c r="AA327" s="125"/>
      <c r="AB327" s="126"/>
      <c r="AC327" s="127"/>
      <c r="AD327" s="127"/>
      <c r="AE327" s="127"/>
      <c r="AF327" s="127"/>
      <c r="AG327" s="125"/>
      <c r="AH327" s="128">
        <f t="shared" ca="1" si="19"/>
        <v>45948</v>
      </c>
      <c r="AI327" s="129" t="s">
        <v>631</v>
      </c>
      <c r="AJ327" s="129"/>
      <c r="AK327" s="129"/>
      <c r="AL327" s="129"/>
      <c r="AM327" s="129"/>
    </row>
    <row r="328" spans="1:39" ht="18" hidden="1" customHeight="1" x14ac:dyDescent="0.25">
      <c r="A328" s="117">
        <v>327</v>
      </c>
      <c r="B328" s="117"/>
      <c r="C328" s="118" t="s">
        <v>1201</v>
      </c>
      <c r="D328" s="146">
        <f t="array" aca="1" ref="D328" ca="1">SUM(--(_xlfn.UNIQUE(_xlfn._xlws.FILTER($M$2:$M$1011 &amp; "", ($C$2:$C$1011 = C328) * ($M$2:$M$1011 &lt;&gt; ""))) &lt;&gt; ""))</f>
        <v>1</v>
      </c>
      <c r="E328" s="166">
        <f t="shared" ca="1" si="20"/>
        <v>364</v>
      </c>
      <c r="F328" s="143">
        <v>3</v>
      </c>
      <c r="G328" s="143" t="s">
        <v>155</v>
      </c>
      <c r="H328" s="119">
        <f>_xlfn.XLOOKUP(G328,'🚛 FROTA'!B:B,'🚛 FROTA'!A:A,"")</f>
        <v>34</v>
      </c>
      <c r="I328" s="119"/>
      <c r="J328" s="119" t="str">
        <f>IF(G328="","",_xlfn.XLOOKUP(G328,'🚛 FROTA'!B:B,'🚛 FROTA'!E:E,""))</f>
        <v>9.170 Delivery</v>
      </c>
      <c r="K328" s="119" t="str">
        <f>IF(G328="","",_xlfn.XLOOKUP(G328,'🚛 FROTA'!B:B,'🚛 FROTA'!K:K,""))</f>
        <v>Basculante</v>
      </c>
      <c r="L328" s="143" t="s">
        <v>729</v>
      </c>
      <c r="M328" s="143" t="s">
        <v>1202</v>
      </c>
      <c r="N328" s="145">
        <v>45980</v>
      </c>
      <c r="O328" s="143">
        <v>1</v>
      </c>
      <c r="P328" s="143">
        <v>1</v>
      </c>
      <c r="Q328" s="167">
        <v>364</v>
      </c>
      <c r="R328" s="143" t="s">
        <v>554</v>
      </c>
      <c r="S328" s="122" t="s">
        <v>534</v>
      </c>
      <c r="T328" s="120" t="s">
        <v>522</v>
      </c>
      <c r="U328" s="121" t="s">
        <v>555</v>
      </c>
      <c r="V328" s="119" t="s">
        <v>568</v>
      </c>
      <c r="W328" s="119" t="s">
        <v>1203</v>
      </c>
      <c r="X328" s="123" t="s">
        <v>1204</v>
      </c>
      <c r="Y328" s="119"/>
      <c r="Z328" s="130"/>
      <c r="AA328" s="125"/>
      <c r="AB328" s="126"/>
      <c r="AC328" s="127"/>
      <c r="AD328" s="127"/>
      <c r="AE328" s="127"/>
      <c r="AF328" s="127"/>
      <c r="AG328" s="125"/>
      <c r="AH328" s="128">
        <f t="shared" ca="1" si="19"/>
        <v>45950</v>
      </c>
      <c r="AI328" s="129"/>
      <c r="AJ328" s="129"/>
      <c r="AK328" s="129"/>
      <c r="AL328" s="129"/>
      <c r="AM328" s="129"/>
    </row>
    <row r="329" spans="1:39" ht="18" hidden="1" customHeight="1" x14ac:dyDescent="0.25">
      <c r="A329" s="117">
        <v>328</v>
      </c>
      <c r="B329" s="117"/>
      <c r="C329" s="118" t="s">
        <v>1205</v>
      </c>
      <c r="D329" s="146">
        <f t="array" aca="1" ref="D329" ca="1">SUM(--(_xlfn.UNIQUE(_xlfn._xlws.FILTER($M$2:$M$1011 &amp; "", ($C$2:$C$1011 = C329) * ($M$2:$M$1011 &lt;&gt; ""))) &lt;&gt; ""))</f>
        <v>1</v>
      </c>
      <c r="E329" s="166">
        <f t="shared" ca="1" si="20"/>
        <v>125</v>
      </c>
      <c r="F329" s="143">
        <v>3</v>
      </c>
      <c r="G329" s="143" t="s">
        <v>141</v>
      </c>
      <c r="H329" s="119">
        <f>_xlfn.XLOOKUP(G329,'🚛 FROTA'!B:B,'🚛 FROTA'!A:A,"")</f>
        <v>24</v>
      </c>
      <c r="I329" s="119"/>
      <c r="J329" s="119" t="str">
        <f>IF(G329="","",_xlfn.XLOOKUP(G329,'🚛 FROTA'!B:B,'🚛 FROTA'!E:E,""))</f>
        <v>14.190 Constellation</v>
      </c>
      <c r="K329" s="119" t="str">
        <f>IF(G329="","",_xlfn.XLOOKUP(G329,'🚛 FROTA'!B:B,'🚛 FROTA'!K:K,""))</f>
        <v>Munck</v>
      </c>
      <c r="L329" s="143" t="s">
        <v>1206</v>
      </c>
      <c r="M329" s="143" t="s">
        <v>1207</v>
      </c>
      <c r="N329" s="145">
        <v>45985</v>
      </c>
      <c r="O329" s="143">
        <v>1</v>
      </c>
      <c r="P329" s="143">
        <v>1</v>
      </c>
      <c r="Q329" s="167">
        <v>125</v>
      </c>
      <c r="R329" s="143" t="s">
        <v>651</v>
      </c>
      <c r="S329" s="122" t="s">
        <v>534</v>
      </c>
      <c r="T329" s="120" t="s">
        <v>522</v>
      </c>
      <c r="U329" s="121" t="s">
        <v>555</v>
      </c>
      <c r="V329" s="119" t="s">
        <v>568</v>
      </c>
      <c r="W329" s="119" t="s">
        <v>1208</v>
      </c>
      <c r="X329" s="123" t="s">
        <v>1209</v>
      </c>
      <c r="Y329" s="119" t="s">
        <v>1210</v>
      </c>
      <c r="Z329" s="130">
        <v>135251</v>
      </c>
      <c r="AA329" s="125"/>
      <c r="AB329" s="126"/>
      <c r="AC329" s="127"/>
      <c r="AD329" s="127"/>
      <c r="AE329" s="127"/>
      <c r="AF329" s="127"/>
      <c r="AG329" s="125"/>
      <c r="AH329" s="128">
        <f>IF(OR(R329="A Vista", R329="Crédito", R329="Adiantamento"), N329, IF(R329="Faturado", _xlfn.MINIFS(N:N, C:C, C329)-30, ""))</f>
        <v>45985</v>
      </c>
      <c r="AI329" s="129"/>
      <c r="AJ329" s="129"/>
      <c r="AK329" s="129"/>
      <c r="AL329" s="129"/>
      <c r="AM329" s="129"/>
    </row>
    <row r="330" spans="1:39" ht="18" hidden="1" customHeight="1" x14ac:dyDescent="0.25">
      <c r="A330" s="117">
        <v>329</v>
      </c>
      <c r="B330" s="117"/>
      <c r="C330" s="118" t="s">
        <v>1211</v>
      </c>
      <c r="D330" s="146">
        <f t="array" aca="1" ref="D330" ca="1">SUM(--(_xlfn.UNIQUE(_xlfn._xlws.FILTER($M$2:$M$1011 &amp; "", ($C$2:$C$1011 = C330) * ($M$2:$M$1011 &lt;&gt; ""))) &lt;&gt; ""))</f>
        <v>2</v>
      </c>
      <c r="E330" s="166">
        <f t="shared" ca="1" si="20"/>
        <v>914.02</v>
      </c>
      <c r="F330" s="143">
        <v>3</v>
      </c>
      <c r="G330" s="143" t="s">
        <v>85</v>
      </c>
      <c r="H330" s="119">
        <f>_xlfn.XLOOKUP(G330,'🚛 FROTA'!B:B,'🚛 FROTA'!A:A,"")</f>
        <v>6</v>
      </c>
      <c r="I330" s="119"/>
      <c r="J330" s="119" t="str">
        <f>IF(G330="","",_xlfn.XLOOKUP(G330,'🚛 FROTA'!B:B,'🚛 FROTA'!E:E,""))</f>
        <v>13.180 Constellation</v>
      </c>
      <c r="K330" s="119" t="str">
        <f>IF(G330="","",_xlfn.XLOOKUP(G330,'🚛 FROTA'!B:B,'🚛 FROTA'!K:K,""))</f>
        <v>Munck</v>
      </c>
      <c r="L330" s="143" t="s">
        <v>1212</v>
      </c>
      <c r="M330" s="143" t="s">
        <v>1213</v>
      </c>
      <c r="N330" s="145">
        <v>45989</v>
      </c>
      <c r="O330" s="143">
        <v>1</v>
      </c>
      <c r="P330" s="143">
        <v>1</v>
      </c>
      <c r="Q330" s="167">
        <v>605</v>
      </c>
      <c r="R330" s="143" t="s">
        <v>651</v>
      </c>
      <c r="S330" s="122" t="s">
        <v>534</v>
      </c>
      <c r="T330" s="120" t="s">
        <v>522</v>
      </c>
      <c r="U330" s="121" t="s">
        <v>555</v>
      </c>
      <c r="V330" s="119" t="s">
        <v>56</v>
      </c>
      <c r="W330" s="119" t="s">
        <v>1214</v>
      </c>
      <c r="X330" s="123" t="s">
        <v>1215</v>
      </c>
      <c r="Y330" s="119"/>
      <c r="Z330" s="130"/>
      <c r="AA330" s="125"/>
      <c r="AB330" s="126"/>
      <c r="AC330" s="127"/>
      <c r="AD330" s="127"/>
      <c r="AE330" s="127"/>
      <c r="AF330" s="127"/>
      <c r="AG330" s="125"/>
      <c r="AH330" s="128">
        <f>IF(OR(R330="A Vista", R330="Crédito", R330="Adiantamento"), N330, IF(R330="Faturado", _xlfn.MINIFS(N:N, C:C, C330)-30, ""))</f>
        <v>45989</v>
      </c>
      <c r="AI330" s="129" t="s">
        <v>772</v>
      </c>
      <c r="AJ330" s="129"/>
      <c r="AK330" s="129"/>
      <c r="AL330" s="129"/>
      <c r="AM330" s="129"/>
    </row>
    <row r="331" spans="1:39" ht="18" hidden="1" customHeight="1" x14ac:dyDescent="0.25">
      <c r="A331" s="117">
        <v>330</v>
      </c>
      <c r="B331" s="117"/>
      <c r="C331" s="118" t="s">
        <v>1211</v>
      </c>
      <c r="D331" s="146">
        <f t="array" aca="1" ref="D331" ca="1">SUM(--(_xlfn.UNIQUE(_xlfn._xlws.FILTER($M$2:$M$1011 &amp; "", ($C$2:$C$1011 = C331) * ($M$2:$M$1011 &lt;&gt; ""))) &lt;&gt; ""))</f>
        <v>2</v>
      </c>
      <c r="E331" s="166">
        <f t="shared" ca="1" si="20"/>
        <v>914.02</v>
      </c>
      <c r="F331" s="143">
        <v>1</v>
      </c>
      <c r="G331" s="143" t="s">
        <v>85</v>
      </c>
      <c r="H331" s="119">
        <f>_xlfn.XLOOKUP(G331,'🚛 FROTA'!B:B,'🚛 FROTA'!A:A,"")</f>
        <v>6</v>
      </c>
      <c r="I331" s="119"/>
      <c r="J331" s="119" t="str">
        <f>IF(G331="","",_xlfn.XLOOKUP(G331,'🚛 FROTA'!B:B,'🚛 FROTA'!E:E,""))</f>
        <v>13.180 Constellation</v>
      </c>
      <c r="K331" s="119" t="str">
        <f>IF(G331="","",_xlfn.XLOOKUP(G331,'🚛 FROTA'!B:B,'🚛 FROTA'!K:K,""))</f>
        <v>Munck</v>
      </c>
      <c r="L331" s="143" t="s">
        <v>682</v>
      </c>
      <c r="M331" s="143" t="s">
        <v>1216</v>
      </c>
      <c r="N331" s="145">
        <v>45994</v>
      </c>
      <c r="O331" s="143">
        <v>1</v>
      </c>
      <c r="P331" s="143">
        <v>1</v>
      </c>
      <c r="Q331" s="167">
        <v>309.02</v>
      </c>
      <c r="R331" s="143" t="s">
        <v>554</v>
      </c>
      <c r="S331" s="122" t="s">
        <v>560</v>
      </c>
      <c r="T331" s="120" t="s">
        <v>522</v>
      </c>
      <c r="U331" s="121" t="s">
        <v>555</v>
      </c>
      <c r="V331" s="119" t="s">
        <v>568</v>
      </c>
      <c r="W331" s="119" t="s">
        <v>1217</v>
      </c>
      <c r="X331" s="123" t="s">
        <v>1218</v>
      </c>
      <c r="Y331" s="119"/>
      <c r="Z331" s="130"/>
      <c r="AA331" s="125"/>
      <c r="AB331" s="126"/>
      <c r="AC331" s="127"/>
      <c r="AD331" s="127"/>
      <c r="AE331" s="127"/>
      <c r="AF331" s="127"/>
      <c r="AG331" s="125"/>
      <c r="AH331" s="128">
        <f t="shared" ref="AH331:AH344" ca="1" si="21">IF(OR(R331="A VISTA", R331="C. CRÉDITO", R331="ADIANTAMENTO"), N331, IF(R331="Faturado", _xlfn.MINIFS(N:N, C:C, C331)-30, ""))</f>
        <v>45959</v>
      </c>
      <c r="AI331" s="129" t="s">
        <v>686</v>
      </c>
      <c r="AJ331" s="129"/>
      <c r="AK331" s="129"/>
      <c r="AL331" s="129"/>
      <c r="AM331" s="129"/>
    </row>
    <row r="332" spans="1:39" ht="18" hidden="1" customHeight="1" x14ac:dyDescent="0.25">
      <c r="A332" s="117">
        <v>331</v>
      </c>
      <c r="B332" s="117"/>
      <c r="C332" s="118" t="s">
        <v>1219</v>
      </c>
      <c r="D332" s="146">
        <f t="array" aca="1" ref="D332" ca="1">SUM(--(_xlfn.UNIQUE(_xlfn._xlws.FILTER($M$2:$M$1011 &amp; "", ($C$2:$C$1011 = C332) * ($M$2:$M$1011 &lt;&gt; ""))) &lt;&gt; ""))</f>
        <v>2</v>
      </c>
      <c r="E332" s="166">
        <f t="shared" ca="1" si="20"/>
        <v>11750</v>
      </c>
      <c r="F332" s="143">
        <v>3</v>
      </c>
      <c r="G332" s="143" t="s">
        <v>141</v>
      </c>
      <c r="H332" s="119">
        <f>_xlfn.XLOOKUP(G332,'🚛 FROTA'!B:B,'🚛 FROTA'!A:A,"")</f>
        <v>24</v>
      </c>
      <c r="I332" s="119"/>
      <c r="J332" s="119" t="str">
        <f>IF(G332="","",_xlfn.XLOOKUP(G332,'🚛 FROTA'!B:B,'🚛 FROTA'!E:E,""))</f>
        <v>14.190 Constellation</v>
      </c>
      <c r="K332" s="119" t="str">
        <f>IF(G332="","",_xlfn.XLOOKUP(G332,'🚛 FROTA'!B:B,'🚛 FROTA'!K:K,""))</f>
        <v>Munck</v>
      </c>
      <c r="L332" s="143" t="s">
        <v>876</v>
      </c>
      <c r="M332" s="143" t="s">
        <v>1220</v>
      </c>
      <c r="N332" s="145">
        <v>45991</v>
      </c>
      <c r="O332" s="143">
        <v>1</v>
      </c>
      <c r="P332" s="143">
        <v>2</v>
      </c>
      <c r="Q332" s="167">
        <v>1650</v>
      </c>
      <c r="R332" s="143" t="s">
        <v>554</v>
      </c>
      <c r="S332" s="122" t="s">
        <v>560</v>
      </c>
      <c r="T332" s="120" t="s">
        <v>522</v>
      </c>
      <c r="U332" s="121" t="s">
        <v>555</v>
      </c>
      <c r="V332" s="119" t="s">
        <v>689</v>
      </c>
      <c r="W332" s="119" t="s">
        <v>1221</v>
      </c>
      <c r="X332" s="123" t="s">
        <v>1222</v>
      </c>
      <c r="Y332" s="119" t="s">
        <v>800</v>
      </c>
      <c r="Z332" s="130">
        <v>132716</v>
      </c>
      <c r="AA332" s="125"/>
      <c r="AB332" s="126"/>
      <c r="AC332" s="127"/>
      <c r="AD332" s="127"/>
      <c r="AE332" s="127"/>
      <c r="AF332" s="127"/>
      <c r="AG332" s="125"/>
      <c r="AH332" s="128">
        <f t="shared" ca="1" si="21"/>
        <v>45961</v>
      </c>
      <c r="AI332" s="129" t="s">
        <v>880</v>
      </c>
      <c r="AJ332" s="129"/>
      <c r="AK332" s="129"/>
      <c r="AL332" s="129"/>
      <c r="AM332" s="129"/>
    </row>
    <row r="333" spans="1:39" ht="18" hidden="1" customHeight="1" x14ac:dyDescent="0.25">
      <c r="A333" s="117">
        <v>332</v>
      </c>
      <c r="B333" s="117"/>
      <c r="C333" s="118" t="s">
        <v>1219</v>
      </c>
      <c r="D333" s="146">
        <f t="array" aca="1" ref="D333" ca="1">SUM(--(_xlfn.UNIQUE(_xlfn._xlws.FILTER($M$2:$M$1011 &amp; "", ($C$2:$C$1011 = C333) * ($M$2:$M$1011 &lt;&gt; ""))) &lt;&gt; ""))</f>
        <v>2</v>
      </c>
      <c r="E333" s="166">
        <f t="shared" ca="1" si="20"/>
        <v>11750</v>
      </c>
      <c r="F333" s="143">
        <v>3</v>
      </c>
      <c r="G333" s="143" t="s">
        <v>141</v>
      </c>
      <c r="H333" s="119">
        <f>_xlfn.XLOOKUP(G333,'🚛 FROTA'!B:B,'🚛 FROTA'!A:A,"")</f>
        <v>24</v>
      </c>
      <c r="I333" s="119"/>
      <c r="J333" s="119" t="str">
        <f>IF(G333="","",_xlfn.XLOOKUP(G333,'🚛 FROTA'!B:B,'🚛 FROTA'!E:E,""))</f>
        <v>14.190 Constellation</v>
      </c>
      <c r="K333" s="119" t="str">
        <f>IF(G333="","",_xlfn.XLOOKUP(G333,'🚛 FROTA'!B:B,'🚛 FROTA'!K:K,""))</f>
        <v>Munck</v>
      </c>
      <c r="L333" s="143" t="s">
        <v>876</v>
      </c>
      <c r="M333" s="143" t="s">
        <v>1223</v>
      </c>
      <c r="N333" s="145">
        <v>46003</v>
      </c>
      <c r="O333" s="143">
        <v>1</v>
      </c>
      <c r="P333" s="143">
        <v>4</v>
      </c>
      <c r="Q333" s="167">
        <v>2112.5</v>
      </c>
      <c r="R333" s="143" t="s">
        <v>554</v>
      </c>
      <c r="S333" s="122" t="s">
        <v>534</v>
      </c>
      <c r="T333" s="120" t="s">
        <v>522</v>
      </c>
      <c r="U333" s="121" t="s">
        <v>555</v>
      </c>
      <c r="V333" s="119" t="s">
        <v>689</v>
      </c>
      <c r="W333" s="119" t="s">
        <v>1224</v>
      </c>
      <c r="X333" s="123" t="s">
        <v>1225</v>
      </c>
      <c r="Y333" s="119"/>
      <c r="Z333" s="130">
        <v>132716</v>
      </c>
      <c r="AA333" s="125"/>
      <c r="AB333" s="126"/>
      <c r="AC333" s="127"/>
      <c r="AD333" s="127"/>
      <c r="AE333" s="127"/>
      <c r="AF333" s="127"/>
      <c r="AG333" s="125"/>
      <c r="AH333" s="128">
        <f t="shared" ca="1" si="21"/>
        <v>45961</v>
      </c>
      <c r="AI333" s="129" t="s">
        <v>880</v>
      </c>
      <c r="AJ333" s="129"/>
      <c r="AK333" s="129"/>
      <c r="AL333" s="129"/>
      <c r="AM333" s="129"/>
    </row>
    <row r="334" spans="1:39" ht="18" hidden="1" customHeight="1" x14ac:dyDescent="0.25">
      <c r="A334" s="117">
        <v>333</v>
      </c>
      <c r="B334" s="117"/>
      <c r="C334" s="118" t="s">
        <v>1219</v>
      </c>
      <c r="D334" s="146">
        <f t="array" aca="1" ref="D334" ca="1">SUM(--(_xlfn.UNIQUE(_xlfn._xlws.FILTER($M$2:$M$1011 &amp; "", ($C$2:$C$1011 = C334) * ($M$2:$M$1011 &lt;&gt; ""))) &lt;&gt; ""))</f>
        <v>2</v>
      </c>
      <c r="E334" s="166">
        <f t="shared" ca="1" si="20"/>
        <v>11750</v>
      </c>
      <c r="F334" s="143">
        <v>3</v>
      </c>
      <c r="G334" s="143" t="s">
        <v>141</v>
      </c>
      <c r="H334" s="119">
        <f>_xlfn.XLOOKUP(G334,'🚛 FROTA'!B:B,'🚛 FROTA'!A:A,"")</f>
        <v>24</v>
      </c>
      <c r="I334" s="119"/>
      <c r="J334" s="119" t="str">
        <f>IF(G334="","",_xlfn.XLOOKUP(G334,'🚛 FROTA'!B:B,'🚛 FROTA'!E:E,""))</f>
        <v>14.190 Constellation</v>
      </c>
      <c r="K334" s="119" t="str">
        <f>IF(G334="","",_xlfn.XLOOKUP(G334,'🚛 FROTA'!B:B,'🚛 FROTA'!K:K,""))</f>
        <v>Munck</v>
      </c>
      <c r="L334" s="143" t="s">
        <v>876</v>
      </c>
      <c r="M334" s="143" t="s">
        <v>1220</v>
      </c>
      <c r="N334" s="145">
        <v>46021</v>
      </c>
      <c r="O334" s="143">
        <v>1</v>
      </c>
      <c r="P334" s="143">
        <v>2</v>
      </c>
      <c r="Q334" s="167">
        <v>1650</v>
      </c>
      <c r="R334" s="143" t="s">
        <v>554</v>
      </c>
      <c r="S334" s="122" t="s">
        <v>560</v>
      </c>
      <c r="T334" s="120" t="s">
        <v>522</v>
      </c>
      <c r="U334" s="121" t="s">
        <v>555</v>
      </c>
      <c r="V334" s="119" t="s">
        <v>689</v>
      </c>
      <c r="W334" s="119" t="s">
        <v>1221</v>
      </c>
      <c r="X334" s="123" t="s">
        <v>1222</v>
      </c>
      <c r="Y334" s="119" t="s">
        <v>800</v>
      </c>
      <c r="Z334" s="130">
        <v>132716</v>
      </c>
      <c r="AA334" s="125"/>
      <c r="AB334" s="126"/>
      <c r="AC334" s="127"/>
      <c r="AD334" s="127"/>
      <c r="AE334" s="127"/>
      <c r="AF334" s="127"/>
      <c r="AG334" s="125"/>
      <c r="AH334" s="128">
        <f t="shared" ca="1" si="21"/>
        <v>45961</v>
      </c>
      <c r="AI334" s="129" t="s">
        <v>880</v>
      </c>
      <c r="AJ334" s="129"/>
      <c r="AK334" s="129"/>
      <c r="AL334" s="129"/>
      <c r="AM334" s="129"/>
    </row>
    <row r="335" spans="1:39" ht="18" hidden="1" customHeight="1" x14ac:dyDescent="0.25">
      <c r="A335" s="117">
        <v>334</v>
      </c>
      <c r="B335" s="117"/>
      <c r="C335" s="118" t="s">
        <v>1219</v>
      </c>
      <c r="D335" s="146">
        <f t="array" aca="1" ref="D335" ca="1">SUM(--(_xlfn.UNIQUE(_xlfn._xlws.FILTER($M$2:$M$1011 &amp; "", ($C$2:$C$1011 = C335) * ($M$2:$M$1011 &lt;&gt; ""))) &lt;&gt; ""))</f>
        <v>2</v>
      </c>
      <c r="E335" s="166">
        <f t="shared" ca="1" si="20"/>
        <v>11750</v>
      </c>
      <c r="F335" s="143">
        <v>3</v>
      </c>
      <c r="G335" s="143" t="s">
        <v>141</v>
      </c>
      <c r="H335" s="119">
        <f>_xlfn.XLOOKUP(G335,'🚛 FROTA'!B:B,'🚛 FROTA'!A:A,"")</f>
        <v>24</v>
      </c>
      <c r="I335" s="119"/>
      <c r="J335" s="119" t="str">
        <f>IF(G335="","",_xlfn.XLOOKUP(G335,'🚛 FROTA'!B:B,'🚛 FROTA'!E:E,""))</f>
        <v>14.190 Constellation</v>
      </c>
      <c r="K335" s="119" t="str">
        <f>IF(G335="","",_xlfn.XLOOKUP(G335,'🚛 FROTA'!B:B,'🚛 FROTA'!K:K,""))</f>
        <v>Munck</v>
      </c>
      <c r="L335" s="143" t="s">
        <v>876</v>
      </c>
      <c r="M335" s="143" t="s">
        <v>1223</v>
      </c>
      <c r="N335" s="145">
        <v>46034</v>
      </c>
      <c r="O335" s="143">
        <v>2</v>
      </c>
      <c r="P335" s="143">
        <v>4</v>
      </c>
      <c r="Q335" s="167">
        <v>2112.5</v>
      </c>
      <c r="R335" s="143" t="s">
        <v>554</v>
      </c>
      <c r="S335" s="122" t="s">
        <v>534</v>
      </c>
      <c r="T335" s="120" t="s">
        <v>522</v>
      </c>
      <c r="U335" s="121" t="s">
        <v>555</v>
      </c>
      <c r="V335" s="119" t="s">
        <v>689</v>
      </c>
      <c r="W335" s="119" t="s">
        <v>1224</v>
      </c>
      <c r="X335" s="123" t="s">
        <v>1225</v>
      </c>
      <c r="Y335" s="119"/>
      <c r="Z335" s="130">
        <v>132716</v>
      </c>
      <c r="AA335" s="125"/>
      <c r="AB335" s="126"/>
      <c r="AC335" s="127"/>
      <c r="AD335" s="127"/>
      <c r="AE335" s="127"/>
      <c r="AF335" s="127"/>
      <c r="AG335" s="125"/>
      <c r="AH335" s="128">
        <f t="shared" ca="1" si="21"/>
        <v>45961</v>
      </c>
      <c r="AI335" s="129" t="s">
        <v>880</v>
      </c>
      <c r="AJ335" s="129"/>
      <c r="AK335" s="129"/>
      <c r="AL335" s="129"/>
      <c r="AM335" s="129"/>
    </row>
    <row r="336" spans="1:39" ht="18" hidden="1" customHeight="1" x14ac:dyDescent="0.25">
      <c r="A336" s="117">
        <v>335</v>
      </c>
      <c r="B336" s="117"/>
      <c r="C336" s="118" t="s">
        <v>1219</v>
      </c>
      <c r="D336" s="146">
        <f t="array" aca="1" ref="D336" ca="1">SUM(--(_xlfn.UNIQUE(_xlfn._xlws.FILTER($M$2:$M$1011 &amp; "", ($C$2:$C$1011 = C336) * ($M$2:$M$1011 &lt;&gt; ""))) &lt;&gt; ""))</f>
        <v>2</v>
      </c>
      <c r="E336" s="166">
        <f t="shared" ca="1" si="20"/>
        <v>11750</v>
      </c>
      <c r="F336" s="143">
        <v>3</v>
      </c>
      <c r="G336" s="143" t="s">
        <v>141</v>
      </c>
      <c r="H336" s="119">
        <f>_xlfn.XLOOKUP(G336,'🚛 FROTA'!B:B,'🚛 FROTA'!A:A,"")</f>
        <v>24</v>
      </c>
      <c r="I336" s="119"/>
      <c r="J336" s="119" t="str">
        <f>IF(G336="","",_xlfn.XLOOKUP(G336,'🚛 FROTA'!B:B,'🚛 FROTA'!E:E,""))</f>
        <v>14.190 Constellation</v>
      </c>
      <c r="K336" s="119" t="str">
        <f>IF(G336="","",_xlfn.XLOOKUP(G336,'🚛 FROTA'!B:B,'🚛 FROTA'!K:K,""))</f>
        <v>Munck</v>
      </c>
      <c r="L336" s="143" t="s">
        <v>876</v>
      </c>
      <c r="M336" s="143" t="s">
        <v>1223</v>
      </c>
      <c r="N336" s="145">
        <v>46065</v>
      </c>
      <c r="O336" s="143">
        <v>3</v>
      </c>
      <c r="P336" s="143">
        <v>4</v>
      </c>
      <c r="Q336" s="167">
        <v>2112.5</v>
      </c>
      <c r="R336" s="143" t="s">
        <v>554</v>
      </c>
      <c r="S336" s="122" t="s">
        <v>534</v>
      </c>
      <c r="T336" s="120" t="s">
        <v>522</v>
      </c>
      <c r="U336" s="121" t="s">
        <v>555</v>
      </c>
      <c r="V336" s="119" t="s">
        <v>689</v>
      </c>
      <c r="W336" s="119" t="s">
        <v>1224</v>
      </c>
      <c r="X336" s="123" t="s">
        <v>1225</v>
      </c>
      <c r="Y336" s="119"/>
      <c r="Z336" s="130">
        <v>132716</v>
      </c>
      <c r="AA336" s="125"/>
      <c r="AB336" s="126"/>
      <c r="AC336" s="127"/>
      <c r="AD336" s="127"/>
      <c r="AE336" s="127"/>
      <c r="AF336" s="127"/>
      <c r="AG336" s="125"/>
      <c r="AH336" s="128">
        <f t="shared" ca="1" si="21"/>
        <v>45961</v>
      </c>
      <c r="AI336" s="129" t="s">
        <v>880</v>
      </c>
      <c r="AJ336" s="129"/>
      <c r="AK336" s="129"/>
      <c r="AL336" s="129"/>
      <c r="AM336" s="129"/>
    </row>
    <row r="337" spans="1:39" ht="18" hidden="1" customHeight="1" x14ac:dyDescent="0.25">
      <c r="A337" s="117">
        <v>336</v>
      </c>
      <c r="B337" s="117"/>
      <c r="C337" s="118" t="s">
        <v>1219</v>
      </c>
      <c r="D337" s="146">
        <f t="array" aca="1" ref="D337" ca="1">SUM(--(_xlfn.UNIQUE(_xlfn._xlws.FILTER($M$2:$M$1011 &amp; "", ($C$2:$C$1011 = C337) * ($M$2:$M$1011 &lt;&gt; ""))) &lt;&gt; ""))</f>
        <v>2</v>
      </c>
      <c r="E337" s="166">
        <f t="shared" ca="1" si="20"/>
        <v>11750</v>
      </c>
      <c r="F337" s="143">
        <v>3</v>
      </c>
      <c r="G337" s="143" t="s">
        <v>141</v>
      </c>
      <c r="H337" s="119">
        <f>_xlfn.XLOOKUP(G337,'🚛 FROTA'!B:B,'🚛 FROTA'!A:A,"")</f>
        <v>24</v>
      </c>
      <c r="I337" s="119"/>
      <c r="J337" s="119" t="str">
        <f>IF(G337="","",_xlfn.XLOOKUP(G337,'🚛 FROTA'!B:B,'🚛 FROTA'!E:E,""))</f>
        <v>14.190 Constellation</v>
      </c>
      <c r="K337" s="119" t="str">
        <f>IF(G337="","",_xlfn.XLOOKUP(G337,'🚛 FROTA'!B:B,'🚛 FROTA'!K:K,""))</f>
        <v>Munck</v>
      </c>
      <c r="L337" s="143" t="s">
        <v>876</v>
      </c>
      <c r="M337" s="143" t="s">
        <v>1223</v>
      </c>
      <c r="N337" s="145">
        <v>46093</v>
      </c>
      <c r="O337" s="143">
        <v>4</v>
      </c>
      <c r="P337" s="143">
        <v>4</v>
      </c>
      <c r="Q337" s="167">
        <v>2112.5</v>
      </c>
      <c r="R337" s="143" t="s">
        <v>554</v>
      </c>
      <c r="S337" s="122" t="s">
        <v>534</v>
      </c>
      <c r="T337" s="120" t="s">
        <v>522</v>
      </c>
      <c r="U337" s="121" t="s">
        <v>555</v>
      </c>
      <c r="V337" s="119" t="s">
        <v>689</v>
      </c>
      <c r="W337" s="119" t="s">
        <v>1224</v>
      </c>
      <c r="X337" s="123" t="s">
        <v>1225</v>
      </c>
      <c r="Y337" s="119"/>
      <c r="Z337" s="130">
        <v>132716</v>
      </c>
      <c r="AA337" s="125"/>
      <c r="AB337" s="126"/>
      <c r="AC337" s="127"/>
      <c r="AD337" s="127"/>
      <c r="AE337" s="127"/>
      <c r="AF337" s="127"/>
      <c r="AG337" s="125"/>
      <c r="AH337" s="128">
        <f t="shared" ca="1" si="21"/>
        <v>45961</v>
      </c>
      <c r="AI337" s="129" t="s">
        <v>880</v>
      </c>
      <c r="AJ337" s="129"/>
      <c r="AK337" s="129"/>
      <c r="AL337" s="129"/>
      <c r="AM337" s="129"/>
    </row>
    <row r="338" spans="1:39" ht="18" hidden="1" customHeight="1" x14ac:dyDescent="0.25">
      <c r="A338" s="117">
        <v>337</v>
      </c>
      <c r="B338" s="117"/>
      <c r="C338" s="118" t="s">
        <v>468</v>
      </c>
      <c r="D338" s="146">
        <f t="array" aca="1" ref="D338" ca="1">SUM(--(_xlfn.UNIQUE(_xlfn._xlws.FILTER($M$2:$M$1011 &amp; "", ($C$2:$C$1011 = C338) * ($M$2:$M$1011 &lt;&gt; ""))) &lt;&gt; ""))</f>
        <v>1</v>
      </c>
      <c r="E338" s="166">
        <f t="shared" ca="1" si="20"/>
        <v>3460</v>
      </c>
      <c r="F338" s="143">
        <v>3</v>
      </c>
      <c r="G338" s="143" t="s">
        <v>162</v>
      </c>
      <c r="H338" s="119">
        <f>_xlfn.XLOOKUP(G338,'🚛 FROTA'!B:B,'🚛 FROTA'!A:A,"")</f>
        <v>39</v>
      </c>
      <c r="I338" s="119"/>
      <c r="J338" s="119" t="str">
        <f>IF(G338="","",_xlfn.XLOOKUP(G338,'🚛 FROTA'!B:B,'🚛 FROTA'!E:E,""))</f>
        <v>Express Delivery</v>
      </c>
      <c r="K338" s="119" t="str">
        <f>IF(G338="","",_xlfn.XLOOKUP(G338,'🚛 FROTA'!B:B,'🚛 FROTA'!K:K,""))</f>
        <v>Carroceria Cabinado</v>
      </c>
      <c r="L338" s="143" t="s">
        <v>876</v>
      </c>
      <c r="M338" s="143" t="s">
        <v>1196</v>
      </c>
      <c r="N338" s="145">
        <v>45992</v>
      </c>
      <c r="O338" s="143">
        <v>1</v>
      </c>
      <c r="P338" s="143">
        <v>3</v>
      </c>
      <c r="Q338" s="167">
        <v>1153.3399999999999</v>
      </c>
      <c r="R338" s="143" t="s">
        <v>554</v>
      </c>
      <c r="S338" s="122" t="s">
        <v>534</v>
      </c>
      <c r="T338" s="120" t="s">
        <v>522</v>
      </c>
      <c r="U338" s="121" t="s">
        <v>555</v>
      </c>
      <c r="V338" s="119" t="s">
        <v>634</v>
      </c>
      <c r="W338" s="119" t="s">
        <v>1226</v>
      </c>
      <c r="X338" s="123" t="s">
        <v>1227</v>
      </c>
      <c r="Y338" s="119"/>
      <c r="Z338" s="124">
        <v>81159</v>
      </c>
      <c r="AA338" s="125"/>
      <c r="AB338" s="126"/>
      <c r="AC338" s="127"/>
      <c r="AD338" s="127"/>
      <c r="AE338" s="127"/>
      <c r="AF338" s="127"/>
      <c r="AG338" s="125"/>
      <c r="AH338" s="128">
        <f t="shared" ca="1" si="21"/>
        <v>45962</v>
      </c>
      <c r="AI338" s="129" t="s">
        <v>880</v>
      </c>
      <c r="AJ338" s="129"/>
      <c r="AK338" s="129"/>
      <c r="AL338" s="129"/>
      <c r="AM338" s="129"/>
    </row>
    <row r="339" spans="1:39" ht="18" hidden="1" customHeight="1" x14ac:dyDescent="0.25">
      <c r="A339" s="117">
        <v>338</v>
      </c>
      <c r="B339" s="117"/>
      <c r="C339" s="118" t="s">
        <v>468</v>
      </c>
      <c r="D339" s="146">
        <f t="array" aca="1" ref="D339" ca="1">SUM(--(_xlfn.UNIQUE(_xlfn._xlws.FILTER($M$2:$M$1011 &amp; "", ($C$2:$C$1011 = C339) * ($M$2:$M$1011 &lt;&gt; ""))) &lt;&gt; ""))</f>
        <v>1</v>
      </c>
      <c r="E339" s="166">
        <f t="shared" ca="1" si="20"/>
        <v>3460</v>
      </c>
      <c r="F339" s="143">
        <v>3</v>
      </c>
      <c r="G339" s="143" t="s">
        <v>162</v>
      </c>
      <c r="H339" s="119">
        <f>_xlfn.XLOOKUP(G339,'🚛 FROTA'!B:B,'🚛 FROTA'!A:A,"")</f>
        <v>39</v>
      </c>
      <c r="I339" s="119"/>
      <c r="J339" s="119" t="str">
        <f>IF(G339="","",_xlfn.XLOOKUP(G339,'🚛 FROTA'!B:B,'🚛 FROTA'!E:E,""))</f>
        <v>Express Delivery</v>
      </c>
      <c r="K339" s="119" t="str">
        <f>IF(G339="","",_xlfn.XLOOKUP(G339,'🚛 FROTA'!B:B,'🚛 FROTA'!K:K,""))</f>
        <v>Carroceria Cabinado</v>
      </c>
      <c r="L339" s="143" t="s">
        <v>876</v>
      </c>
      <c r="M339" s="143" t="s">
        <v>1196</v>
      </c>
      <c r="N339" s="145">
        <v>46008</v>
      </c>
      <c r="O339" s="143">
        <v>2</v>
      </c>
      <c r="P339" s="143">
        <v>3</v>
      </c>
      <c r="Q339" s="167">
        <v>1153.3399999999999</v>
      </c>
      <c r="R339" s="143" t="s">
        <v>554</v>
      </c>
      <c r="S339" s="122" t="s">
        <v>534</v>
      </c>
      <c r="T339" s="120" t="s">
        <v>522</v>
      </c>
      <c r="U339" s="121" t="s">
        <v>555</v>
      </c>
      <c r="V339" s="119" t="s">
        <v>634</v>
      </c>
      <c r="W339" s="119" t="s">
        <v>1226</v>
      </c>
      <c r="X339" s="123" t="s">
        <v>1227</v>
      </c>
      <c r="Y339" s="119"/>
      <c r="Z339" s="124">
        <v>81159</v>
      </c>
      <c r="AA339" s="125"/>
      <c r="AB339" s="126"/>
      <c r="AC339" s="127"/>
      <c r="AD339" s="127"/>
      <c r="AE339" s="127"/>
      <c r="AF339" s="127"/>
      <c r="AG339" s="125"/>
      <c r="AH339" s="128">
        <f t="shared" ca="1" si="21"/>
        <v>45962</v>
      </c>
      <c r="AI339" s="129" t="s">
        <v>880</v>
      </c>
      <c r="AJ339" s="129"/>
      <c r="AK339" s="129"/>
      <c r="AL339" s="129"/>
      <c r="AM339" s="129"/>
    </row>
    <row r="340" spans="1:39" ht="18" hidden="1" customHeight="1" x14ac:dyDescent="0.25">
      <c r="A340" s="117">
        <v>339</v>
      </c>
      <c r="B340" s="117"/>
      <c r="C340" s="118" t="s">
        <v>468</v>
      </c>
      <c r="D340" s="146">
        <f t="array" aca="1" ref="D340" ca="1">SUM(--(_xlfn.UNIQUE(_xlfn._xlws.FILTER($M$2:$M$1011 &amp; "", ($C$2:$C$1011 = C340) * ($M$2:$M$1011 &lt;&gt; ""))) &lt;&gt; ""))</f>
        <v>1</v>
      </c>
      <c r="E340" s="166">
        <f t="shared" ca="1" si="20"/>
        <v>3460</v>
      </c>
      <c r="F340" s="143">
        <v>3</v>
      </c>
      <c r="G340" s="143" t="s">
        <v>162</v>
      </c>
      <c r="H340" s="119">
        <f>_xlfn.XLOOKUP(G340,'🚛 FROTA'!B:B,'🚛 FROTA'!A:A,"")</f>
        <v>39</v>
      </c>
      <c r="I340" s="119"/>
      <c r="J340" s="119" t="str">
        <f>IF(G340="","",_xlfn.XLOOKUP(G340,'🚛 FROTA'!B:B,'🚛 FROTA'!E:E,""))</f>
        <v>Express Delivery</v>
      </c>
      <c r="K340" s="119" t="str">
        <f>IF(G340="","",_xlfn.XLOOKUP(G340,'🚛 FROTA'!B:B,'🚛 FROTA'!K:K,""))</f>
        <v>Carroceria Cabinado</v>
      </c>
      <c r="L340" s="143" t="s">
        <v>876</v>
      </c>
      <c r="M340" s="143" t="s">
        <v>1196</v>
      </c>
      <c r="N340" s="145">
        <v>46039</v>
      </c>
      <c r="O340" s="143">
        <v>3</v>
      </c>
      <c r="P340" s="143">
        <v>3</v>
      </c>
      <c r="Q340" s="167">
        <v>1153.32</v>
      </c>
      <c r="R340" s="143" t="s">
        <v>554</v>
      </c>
      <c r="S340" s="122" t="s">
        <v>534</v>
      </c>
      <c r="T340" s="120" t="s">
        <v>522</v>
      </c>
      <c r="U340" s="121" t="s">
        <v>555</v>
      </c>
      <c r="V340" s="119" t="s">
        <v>634</v>
      </c>
      <c r="W340" s="119" t="s">
        <v>1226</v>
      </c>
      <c r="X340" s="123" t="s">
        <v>1227</v>
      </c>
      <c r="Y340" s="119"/>
      <c r="Z340" s="124">
        <v>81159</v>
      </c>
      <c r="AA340" s="125"/>
      <c r="AB340" s="126"/>
      <c r="AC340" s="127"/>
      <c r="AD340" s="127"/>
      <c r="AE340" s="127"/>
      <c r="AF340" s="127"/>
      <c r="AG340" s="125"/>
      <c r="AH340" s="128">
        <f t="shared" ca="1" si="21"/>
        <v>45962</v>
      </c>
      <c r="AI340" s="129" t="s">
        <v>880</v>
      </c>
      <c r="AJ340" s="129"/>
      <c r="AK340" s="129"/>
      <c r="AL340" s="129"/>
      <c r="AM340" s="129"/>
    </row>
    <row r="341" spans="1:39" ht="18" hidden="1" customHeight="1" x14ac:dyDescent="0.25">
      <c r="A341" s="117">
        <v>340</v>
      </c>
      <c r="B341" s="117"/>
      <c r="C341" s="118" t="s">
        <v>1228</v>
      </c>
      <c r="D341" s="146">
        <f t="array" aca="1" ref="D341" ca="1">SUM(--(_xlfn.UNIQUE(_xlfn._xlws.FILTER($M$2:$M$1011 &amp; "", ($C$2:$C$1011 = C341) * ($M$2:$M$1011 &lt;&gt; ""))) &lt;&gt; ""))</f>
        <v>1</v>
      </c>
      <c r="E341" s="166">
        <f t="shared" ca="1" si="20"/>
        <v>1112.0899999999999</v>
      </c>
      <c r="F341" s="143">
        <v>3</v>
      </c>
      <c r="G341" s="143" t="s">
        <v>128</v>
      </c>
      <c r="H341" s="119">
        <f>_xlfn.XLOOKUP(G341,'🚛 FROTA'!B:B,'🚛 FROTA'!A:A,"")</f>
        <v>20</v>
      </c>
      <c r="I341" s="119"/>
      <c r="J341" s="119" t="str">
        <f>IF(G341="","",_xlfn.XLOOKUP(G341,'🚛 FROTA'!B:B,'🚛 FROTA'!E:E,""))</f>
        <v>3CX</v>
      </c>
      <c r="K341" s="119"/>
      <c r="L341" s="143" t="s">
        <v>1005</v>
      </c>
      <c r="M341" s="143" t="s">
        <v>1229</v>
      </c>
      <c r="N341" s="145">
        <v>45992</v>
      </c>
      <c r="O341" s="143">
        <v>1</v>
      </c>
      <c r="P341" s="143">
        <v>1</v>
      </c>
      <c r="Q341" s="167">
        <v>1112.0899999999999</v>
      </c>
      <c r="R341" s="143" t="s">
        <v>554</v>
      </c>
      <c r="S341" s="122" t="s">
        <v>534</v>
      </c>
      <c r="T341" s="120" t="s">
        <v>522</v>
      </c>
      <c r="U341" s="121" t="s">
        <v>597</v>
      </c>
      <c r="V341" s="119" t="s">
        <v>598</v>
      </c>
      <c r="W341" s="119" t="s">
        <v>1230</v>
      </c>
      <c r="X341" s="123" t="s">
        <v>1231</v>
      </c>
      <c r="Y341" s="119"/>
      <c r="Z341" s="130"/>
      <c r="AA341" s="125"/>
      <c r="AB341" s="126"/>
      <c r="AC341" s="127"/>
      <c r="AD341" s="127"/>
      <c r="AE341" s="127"/>
      <c r="AF341" s="127"/>
      <c r="AG341" s="125"/>
      <c r="AH341" s="128">
        <f t="shared" ca="1" si="21"/>
        <v>45962</v>
      </c>
      <c r="AI341" s="129"/>
      <c r="AJ341" s="129"/>
      <c r="AK341" s="132">
        <f>IF(Z341="",0,Z341+10000)</f>
        <v>0</v>
      </c>
      <c r="AL341" s="129"/>
      <c r="AM341" s="129"/>
    </row>
    <row r="342" spans="1:39" ht="18" hidden="1" customHeight="1" x14ac:dyDescent="0.25">
      <c r="A342" s="117">
        <v>341</v>
      </c>
      <c r="B342" s="117"/>
      <c r="C342" s="118" t="s">
        <v>1232</v>
      </c>
      <c r="D342" s="146">
        <f t="array" aca="1" ref="D342" ca="1">SUM(--(_xlfn.UNIQUE(_xlfn._xlws.FILTER($M$2:$M$1011 &amp; "", ($C$2:$C$1011 = C342) * ($M$2:$M$1011 &lt;&gt; ""))) &lt;&gt; ""))</f>
        <v>1</v>
      </c>
      <c r="E342" s="166">
        <f t="shared" ca="1" si="20"/>
        <v>1441</v>
      </c>
      <c r="F342" s="143">
        <v>1</v>
      </c>
      <c r="G342" s="143" t="s">
        <v>162</v>
      </c>
      <c r="H342" s="119">
        <f>_xlfn.XLOOKUP(G342,'🚛 FROTA'!B:B,'🚛 FROTA'!A:A,"")</f>
        <v>39</v>
      </c>
      <c r="I342" s="119"/>
      <c r="J342" s="119" t="str">
        <f>IF(G342="","",_xlfn.XLOOKUP(G342,'🚛 FROTA'!B:B,'🚛 FROTA'!E:E,""))</f>
        <v>Express Delivery</v>
      </c>
      <c r="K342" s="119" t="str">
        <f>IF(G342="","",_xlfn.XLOOKUP(G342,'🚛 FROTA'!B:B,'🚛 FROTA'!K:K,""))</f>
        <v>Carroceria Cabinado</v>
      </c>
      <c r="L342" s="143" t="s">
        <v>682</v>
      </c>
      <c r="M342" s="143" t="s">
        <v>1233</v>
      </c>
      <c r="N342" s="145">
        <v>46000</v>
      </c>
      <c r="O342" s="143">
        <v>1</v>
      </c>
      <c r="P342" s="143">
        <v>2</v>
      </c>
      <c r="Q342" s="167">
        <v>720.5</v>
      </c>
      <c r="R342" s="143" t="s">
        <v>554</v>
      </c>
      <c r="S342" s="122" t="s">
        <v>560</v>
      </c>
      <c r="T342" s="120" t="s">
        <v>522</v>
      </c>
      <c r="U342" s="121" t="s">
        <v>597</v>
      </c>
      <c r="V342" s="119" t="s">
        <v>598</v>
      </c>
      <c r="W342" s="119" t="s">
        <v>599</v>
      </c>
      <c r="X342" s="123" t="s">
        <v>1234</v>
      </c>
      <c r="Y342" s="119"/>
      <c r="Z342" s="124">
        <v>84410</v>
      </c>
      <c r="AA342" s="125"/>
      <c r="AB342" s="126"/>
      <c r="AC342" s="127"/>
      <c r="AD342" s="127"/>
      <c r="AE342" s="127"/>
      <c r="AF342" s="127"/>
      <c r="AG342" s="125"/>
      <c r="AH342" s="128">
        <f t="shared" ca="1" si="21"/>
        <v>45970</v>
      </c>
      <c r="AI342" s="129" t="s">
        <v>686</v>
      </c>
      <c r="AJ342" s="129"/>
      <c r="AK342" s="132">
        <f>IF(Z342="",0,Z342+10000)</f>
        <v>94410</v>
      </c>
      <c r="AL342" s="129"/>
      <c r="AM342" s="129"/>
    </row>
    <row r="343" spans="1:39" ht="18" hidden="1" customHeight="1" x14ac:dyDescent="0.25">
      <c r="A343" s="117">
        <v>342</v>
      </c>
      <c r="B343" s="117"/>
      <c r="C343" s="118" t="s">
        <v>1232</v>
      </c>
      <c r="D343" s="146">
        <f t="array" aca="1" ref="D343" ca="1">SUM(--(_xlfn.UNIQUE(_xlfn._xlws.FILTER($M$2:$M$1011 &amp; "", ($C$2:$C$1011 = C343) * ($M$2:$M$1011 &lt;&gt; ""))) &lt;&gt; ""))</f>
        <v>1</v>
      </c>
      <c r="E343" s="166">
        <f t="shared" ca="1" si="20"/>
        <v>1441</v>
      </c>
      <c r="F343" s="143">
        <v>1</v>
      </c>
      <c r="G343" s="143" t="s">
        <v>162</v>
      </c>
      <c r="H343" s="119">
        <f>_xlfn.XLOOKUP(G343,'🚛 FROTA'!B:B,'🚛 FROTA'!A:A,"")</f>
        <v>39</v>
      </c>
      <c r="I343" s="119"/>
      <c r="J343" s="119" t="str">
        <f>IF(G343="","",_xlfn.XLOOKUP(G343,'🚛 FROTA'!B:B,'🚛 FROTA'!E:E,""))</f>
        <v>Express Delivery</v>
      </c>
      <c r="K343" s="119" t="str">
        <f>IF(G343="","",_xlfn.XLOOKUP(G343,'🚛 FROTA'!B:B,'🚛 FROTA'!K:K,""))</f>
        <v>Carroceria Cabinado</v>
      </c>
      <c r="L343" s="143" t="s">
        <v>682</v>
      </c>
      <c r="M343" s="143" t="s">
        <v>1233</v>
      </c>
      <c r="N343" s="145">
        <v>46028</v>
      </c>
      <c r="O343" s="143">
        <v>2</v>
      </c>
      <c r="P343" s="143">
        <v>2</v>
      </c>
      <c r="Q343" s="167">
        <v>720.5</v>
      </c>
      <c r="R343" s="143" t="s">
        <v>554</v>
      </c>
      <c r="S343" s="122" t="s">
        <v>560</v>
      </c>
      <c r="T343" s="120" t="s">
        <v>522</v>
      </c>
      <c r="U343" s="121" t="s">
        <v>597</v>
      </c>
      <c r="V343" s="119" t="s">
        <v>598</v>
      </c>
      <c r="W343" s="119" t="s">
        <v>599</v>
      </c>
      <c r="X343" s="123" t="s">
        <v>1234</v>
      </c>
      <c r="Y343" s="119"/>
      <c r="Z343" s="124">
        <v>84410</v>
      </c>
      <c r="AA343" s="125"/>
      <c r="AB343" s="126"/>
      <c r="AC343" s="127"/>
      <c r="AD343" s="127"/>
      <c r="AE343" s="127"/>
      <c r="AF343" s="127"/>
      <c r="AG343" s="125"/>
      <c r="AH343" s="128">
        <f t="shared" ca="1" si="21"/>
        <v>45970</v>
      </c>
      <c r="AI343" s="129" t="s">
        <v>686</v>
      </c>
      <c r="AJ343" s="129"/>
      <c r="AK343" s="132">
        <f>IF(Z343="",0,Z343+10000)</f>
        <v>94410</v>
      </c>
      <c r="AL343" s="129"/>
      <c r="AM343" s="129"/>
    </row>
    <row r="344" spans="1:39" ht="18" hidden="1" customHeight="1" x14ac:dyDescent="0.25">
      <c r="A344" s="117">
        <v>343</v>
      </c>
      <c r="B344" s="117"/>
      <c r="C344" s="118" t="s">
        <v>472</v>
      </c>
      <c r="D344" s="146">
        <f t="array" aca="1" ref="D344" ca="1">SUM(--(_xlfn.UNIQUE(_xlfn._xlws.FILTER($M$2:$M$1011 &amp; "", ($C$2:$C$1011 = C344) * ($M$2:$M$1011 &lt;&gt; ""))) &lt;&gt; ""))</f>
        <v>2</v>
      </c>
      <c r="E344" s="166">
        <f t="shared" ca="1" si="20"/>
        <v>9066.89</v>
      </c>
      <c r="F344" s="143">
        <v>2</v>
      </c>
      <c r="G344" s="143" t="s">
        <v>128</v>
      </c>
      <c r="H344" s="119">
        <f>_xlfn.XLOOKUP(G344,'🚛 FROTA'!B:B,'🚛 FROTA'!A:A,"")</f>
        <v>20</v>
      </c>
      <c r="I344" s="119"/>
      <c r="J344" s="119" t="str">
        <f>IF(G344="","",_xlfn.XLOOKUP(G344,'🚛 FROTA'!B:B,'🚛 FROTA'!E:E,""))</f>
        <v>3CX</v>
      </c>
      <c r="K344" s="119"/>
      <c r="L344" s="143" t="s">
        <v>1235</v>
      </c>
      <c r="M344" s="143" t="s">
        <v>1236</v>
      </c>
      <c r="N344" s="145">
        <v>46002</v>
      </c>
      <c r="O344" s="143">
        <v>1</v>
      </c>
      <c r="P344" s="143">
        <v>1</v>
      </c>
      <c r="Q344" s="167">
        <v>166.91</v>
      </c>
      <c r="R344" s="143" t="s">
        <v>554</v>
      </c>
      <c r="S344" s="122" t="s">
        <v>534</v>
      </c>
      <c r="T344" s="120" t="s">
        <v>522</v>
      </c>
      <c r="U344" s="121" t="s">
        <v>555</v>
      </c>
      <c r="V344" s="119" t="s">
        <v>568</v>
      </c>
      <c r="W344" s="119" t="s">
        <v>934</v>
      </c>
      <c r="X344" s="123" t="s">
        <v>1237</v>
      </c>
      <c r="Y344" s="119"/>
      <c r="Z344" s="130"/>
      <c r="AA344" s="125"/>
      <c r="AB344" s="126"/>
      <c r="AC344" s="127"/>
      <c r="AD344" s="127"/>
      <c r="AE344" s="127"/>
      <c r="AF344" s="127"/>
      <c r="AG344" s="125"/>
      <c r="AH344" s="128">
        <f t="shared" ca="1" si="21"/>
        <v>45972</v>
      </c>
      <c r="AI344" s="129"/>
      <c r="AJ344" s="129"/>
      <c r="AK344" s="129"/>
      <c r="AL344" s="129"/>
      <c r="AM344" s="129"/>
    </row>
    <row r="345" spans="1:39" ht="18" hidden="1" customHeight="1" x14ac:dyDescent="0.25">
      <c r="A345" s="117">
        <v>344</v>
      </c>
      <c r="B345" s="117"/>
      <c r="C345" s="118" t="s">
        <v>472</v>
      </c>
      <c r="D345" s="146">
        <f t="array" aca="1" ref="D345" ca="1">SUM(--(_xlfn.UNIQUE(_xlfn._xlws.FILTER($M$2:$M$1011 &amp; "", ($C$2:$C$1011 = C345) * ($M$2:$M$1011 &lt;&gt; ""))) &lt;&gt; ""))</f>
        <v>2</v>
      </c>
      <c r="E345" s="166">
        <f t="shared" ca="1" si="20"/>
        <v>9066.89</v>
      </c>
      <c r="F345" s="143">
        <v>2</v>
      </c>
      <c r="G345" s="143" t="s">
        <v>128</v>
      </c>
      <c r="H345" s="119">
        <f>_xlfn.XLOOKUP(G345,'🚛 FROTA'!B:B,'🚛 FROTA'!A:A,"")</f>
        <v>20</v>
      </c>
      <c r="I345" s="119"/>
      <c r="J345" s="119" t="str">
        <f>IF(G345="","",_xlfn.XLOOKUP(G345,'🚛 FROTA'!B:B,'🚛 FROTA'!E:E,""))</f>
        <v>3CX</v>
      </c>
      <c r="K345" s="119"/>
      <c r="L345" s="143" t="s">
        <v>768</v>
      </c>
      <c r="M345" s="143" t="s">
        <v>1238</v>
      </c>
      <c r="N345" s="145">
        <v>46006</v>
      </c>
      <c r="O345" s="143">
        <v>1</v>
      </c>
      <c r="P345" s="143">
        <v>3</v>
      </c>
      <c r="Q345" s="167">
        <v>2966.66</v>
      </c>
      <c r="R345" s="143" t="s">
        <v>724</v>
      </c>
      <c r="S345" s="122" t="s">
        <v>560</v>
      </c>
      <c r="T345" s="120" t="s">
        <v>522</v>
      </c>
      <c r="U345" s="121" t="s">
        <v>555</v>
      </c>
      <c r="V345" s="119" t="s">
        <v>568</v>
      </c>
      <c r="W345" s="119" t="s">
        <v>1239</v>
      </c>
      <c r="X345" s="123" t="s">
        <v>1240</v>
      </c>
      <c r="Y345" s="119" t="s">
        <v>1241</v>
      </c>
      <c r="Z345" s="130"/>
      <c r="AA345" s="125"/>
      <c r="AB345" s="126"/>
      <c r="AC345" s="127"/>
      <c r="AD345" s="127"/>
      <c r="AE345" s="127"/>
      <c r="AF345" s="127"/>
      <c r="AG345" s="125"/>
      <c r="AH345" s="128">
        <f>IF(OR(R345="A Vista", R345="Crédito", R345="Adiantamento"), N345, IF(R345="Faturado", _xlfn.MINIFS(N:N, C:C, C345)-30, ""))</f>
        <v>46006</v>
      </c>
      <c r="AI345" s="129" t="s">
        <v>772</v>
      </c>
      <c r="AJ345" s="129"/>
      <c r="AK345" s="129"/>
      <c r="AL345" s="129"/>
      <c r="AM345" s="129"/>
    </row>
    <row r="346" spans="1:39" ht="18" hidden="1" customHeight="1" x14ac:dyDescent="0.25">
      <c r="A346" s="117">
        <v>345</v>
      </c>
      <c r="B346" s="117"/>
      <c r="C346" s="118" t="s">
        <v>472</v>
      </c>
      <c r="D346" s="146">
        <f t="array" aca="1" ref="D346" ca="1">SUM(--(_xlfn.UNIQUE(_xlfn._xlws.FILTER($M$2:$M$1011 &amp; "", ($C$2:$C$1011 = C346) * ($M$2:$M$1011 &lt;&gt; ""))) &lt;&gt; ""))</f>
        <v>2</v>
      </c>
      <c r="E346" s="166">
        <f t="shared" ca="1" si="20"/>
        <v>9066.89</v>
      </c>
      <c r="F346" s="143">
        <v>2</v>
      </c>
      <c r="G346" s="143" t="s">
        <v>128</v>
      </c>
      <c r="H346" s="119">
        <f>_xlfn.XLOOKUP(G346,'🚛 FROTA'!B:B,'🚛 FROTA'!A:A,"")</f>
        <v>20</v>
      </c>
      <c r="I346" s="119"/>
      <c r="J346" s="119" t="str">
        <f>IF(G346="","",_xlfn.XLOOKUP(G346,'🚛 FROTA'!B:B,'🚛 FROTA'!E:E,""))</f>
        <v>3CX</v>
      </c>
      <c r="K346" s="119"/>
      <c r="L346" s="143" t="s">
        <v>768</v>
      </c>
      <c r="M346" s="143" t="s">
        <v>1238</v>
      </c>
      <c r="N346" s="145">
        <v>46037</v>
      </c>
      <c r="O346" s="143">
        <v>2</v>
      </c>
      <c r="P346" s="143">
        <v>3</v>
      </c>
      <c r="Q346" s="167">
        <v>2966.66</v>
      </c>
      <c r="R346" s="143" t="s">
        <v>724</v>
      </c>
      <c r="S346" s="122" t="s">
        <v>560</v>
      </c>
      <c r="T346" s="120" t="s">
        <v>522</v>
      </c>
      <c r="U346" s="121" t="s">
        <v>555</v>
      </c>
      <c r="V346" s="119" t="s">
        <v>568</v>
      </c>
      <c r="W346" s="119" t="s">
        <v>1239</v>
      </c>
      <c r="X346" s="123" t="s">
        <v>1240</v>
      </c>
      <c r="Y346" s="119" t="s">
        <v>1241</v>
      </c>
      <c r="Z346" s="130"/>
      <c r="AA346" s="125"/>
      <c r="AB346" s="126"/>
      <c r="AC346" s="127"/>
      <c r="AD346" s="127"/>
      <c r="AE346" s="127"/>
      <c r="AF346" s="127"/>
      <c r="AG346" s="125"/>
      <c r="AH346" s="128">
        <f>IF(OR(R346="A Vista", R346="Crédito", R346="Adiantamento"), N346, IF(R346="Faturado", _xlfn.MINIFS(N:N, C:C, C346)-30, ""))</f>
        <v>46037</v>
      </c>
      <c r="AI346" s="129" t="s">
        <v>772</v>
      </c>
      <c r="AJ346" s="129"/>
      <c r="AK346" s="129"/>
      <c r="AL346" s="129"/>
      <c r="AM346" s="129"/>
    </row>
    <row r="347" spans="1:39" ht="18" hidden="1" customHeight="1" x14ac:dyDescent="0.25">
      <c r="A347" s="117">
        <v>346</v>
      </c>
      <c r="B347" s="117"/>
      <c r="C347" s="118" t="s">
        <v>472</v>
      </c>
      <c r="D347" s="146">
        <f t="array" aca="1" ref="D347" ca="1">SUM(--(_xlfn.UNIQUE(_xlfn._xlws.FILTER($M$2:$M$1011 &amp; "", ($C$2:$C$1011 = C347) * ($M$2:$M$1011 &lt;&gt; ""))) &lt;&gt; ""))</f>
        <v>2</v>
      </c>
      <c r="E347" s="166">
        <f t="shared" ca="1" si="20"/>
        <v>9066.89</v>
      </c>
      <c r="F347" s="143">
        <v>2</v>
      </c>
      <c r="G347" s="143" t="s">
        <v>128</v>
      </c>
      <c r="H347" s="119">
        <f>_xlfn.XLOOKUP(G347,'🚛 FROTA'!B:B,'🚛 FROTA'!A:A,"")</f>
        <v>20</v>
      </c>
      <c r="I347" s="119"/>
      <c r="J347" s="119" t="str">
        <f>IF(G347="","",_xlfn.XLOOKUP(G347,'🚛 FROTA'!B:B,'🚛 FROTA'!E:E,""))</f>
        <v>3CX</v>
      </c>
      <c r="K347" s="119"/>
      <c r="L347" s="143" t="s">
        <v>768</v>
      </c>
      <c r="M347" s="143" t="s">
        <v>1238</v>
      </c>
      <c r="N347" s="145">
        <v>46069</v>
      </c>
      <c r="O347" s="143">
        <v>3</v>
      </c>
      <c r="P347" s="143">
        <v>3</v>
      </c>
      <c r="Q347" s="167">
        <v>2966.66</v>
      </c>
      <c r="R347" s="143" t="s">
        <v>724</v>
      </c>
      <c r="S347" s="122" t="s">
        <v>560</v>
      </c>
      <c r="T347" s="120" t="s">
        <v>522</v>
      </c>
      <c r="U347" s="121" t="s">
        <v>555</v>
      </c>
      <c r="V347" s="119" t="s">
        <v>568</v>
      </c>
      <c r="W347" s="119" t="s">
        <v>1239</v>
      </c>
      <c r="X347" s="123" t="s">
        <v>1240</v>
      </c>
      <c r="Y347" s="119" t="s">
        <v>1241</v>
      </c>
      <c r="Z347" s="130"/>
      <c r="AA347" s="125"/>
      <c r="AB347" s="126"/>
      <c r="AC347" s="127"/>
      <c r="AD347" s="127"/>
      <c r="AE347" s="127"/>
      <c r="AF347" s="127"/>
      <c r="AG347" s="125"/>
      <c r="AH347" s="128">
        <f>IF(OR(R347="A Vista", R347="Crédito", R347="Adiantamento"), N347, IF(R347="Faturado", _xlfn.MINIFS(N:N, C:C, C347)-30, ""))</f>
        <v>46069</v>
      </c>
      <c r="AI347" s="129" t="s">
        <v>772</v>
      </c>
      <c r="AJ347" s="129"/>
      <c r="AK347" s="129"/>
      <c r="AL347" s="129"/>
      <c r="AM347" s="129"/>
    </row>
    <row r="348" spans="1:39" ht="18" hidden="1" customHeight="1" x14ac:dyDescent="0.25">
      <c r="A348" s="117">
        <v>347</v>
      </c>
      <c r="B348" s="117"/>
      <c r="C348" s="118" t="s">
        <v>471</v>
      </c>
      <c r="D348" s="146">
        <f t="array" aca="1" ref="D348" ca="1">SUM(--(_xlfn.UNIQUE(_xlfn._xlws.FILTER($M$2:$M$1011 &amp; "", ($C$2:$C$1011 = C348) * ($M$2:$M$1011 &lt;&gt; ""))) &lt;&gt; ""))</f>
        <v>4</v>
      </c>
      <c r="E348" s="166">
        <f t="shared" ca="1" si="20"/>
        <v>11260.97</v>
      </c>
      <c r="F348" s="143">
        <v>1</v>
      </c>
      <c r="G348" s="143" t="s">
        <v>166</v>
      </c>
      <c r="H348" s="119">
        <f>_xlfn.XLOOKUP(G348,'🚛 FROTA'!B:B,'🚛 FROTA'!A:A,"")</f>
        <v>41</v>
      </c>
      <c r="I348" s="119"/>
      <c r="J348" s="119" t="str">
        <f>IF(G348="","",_xlfn.XLOOKUP(G348,'🚛 FROTA'!B:B,'🚛 FROTA'!E:E,""))</f>
        <v>Express Delivery</v>
      </c>
      <c r="K348" s="119" t="str">
        <f>IF(G348="","",_xlfn.XLOOKUP(G348,'🚛 FROTA'!B:B,'🚛 FROTA'!K:K,""))</f>
        <v>Carroceria Cabinado</v>
      </c>
      <c r="L348" s="143" t="s">
        <v>1242</v>
      </c>
      <c r="M348" s="143" t="s">
        <v>1243</v>
      </c>
      <c r="N348" s="145">
        <v>46006</v>
      </c>
      <c r="O348" s="143">
        <v>1</v>
      </c>
      <c r="P348" s="143">
        <v>1</v>
      </c>
      <c r="Q348" s="167">
        <v>244.98</v>
      </c>
      <c r="R348" s="143" t="s">
        <v>724</v>
      </c>
      <c r="S348" s="122" t="s">
        <v>560</v>
      </c>
      <c r="T348" s="120" t="s">
        <v>522</v>
      </c>
      <c r="U348" s="121" t="s">
        <v>555</v>
      </c>
      <c r="V348" s="119" t="s">
        <v>568</v>
      </c>
      <c r="W348" s="119" t="s">
        <v>725</v>
      </c>
      <c r="X348" s="123" t="s">
        <v>726</v>
      </c>
      <c r="Y348" s="119" t="s">
        <v>727</v>
      </c>
      <c r="Z348" s="124">
        <v>85050</v>
      </c>
      <c r="AA348" s="125"/>
      <c r="AB348" s="126"/>
      <c r="AC348" s="127"/>
      <c r="AD348" s="127"/>
      <c r="AE348" s="127"/>
      <c r="AF348" s="127"/>
      <c r="AG348" s="125"/>
      <c r="AH348" s="128">
        <f>IF(OR(R348="A Vista", R348="Crédito", R348="Adiantamento"), N348, IF(R348="Faturado", _xlfn.MINIFS(N:N, C:C, C348)-30, ""))</f>
        <v>46006</v>
      </c>
      <c r="AI348" s="129"/>
      <c r="AJ348" s="129"/>
      <c r="AK348" s="129"/>
      <c r="AL348" s="129"/>
      <c r="AM348" s="129"/>
    </row>
    <row r="349" spans="1:39" ht="18" hidden="1" customHeight="1" x14ac:dyDescent="0.25">
      <c r="A349" s="117">
        <v>348</v>
      </c>
      <c r="B349" s="117"/>
      <c r="C349" s="118" t="s">
        <v>1244</v>
      </c>
      <c r="D349" s="146">
        <f t="array" aca="1" ref="D349" ca="1">SUM(--(_xlfn.UNIQUE(_xlfn._xlws.FILTER($M$2:$M$1011 &amp; "", ($C$2:$C$1011 = C349) * ($M$2:$M$1011 &lt;&gt; ""))) &lt;&gt; ""))</f>
        <v>2</v>
      </c>
      <c r="E349" s="166">
        <f t="shared" ca="1" si="20"/>
        <v>4345.95</v>
      </c>
      <c r="F349" s="143">
        <v>1</v>
      </c>
      <c r="G349" s="143" t="s">
        <v>165</v>
      </c>
      <c r="H349" s="119">
        <f>_xlfn.XLOOKUP(G349,'🚛 FROTA'!B:B,'🚛 FROTA'!A:A,"")</f>
        <v>40</v>
      </c>
      <c r="I349" s="119"/>
      <c r="J349" s="119" t="str">
        <f>IF(G349="","",_xlfn.XLOOKUP(G349,'🚛 FROTA'!B:B,'🚛 FROTA'!E:E,""))</f>
        <v>Express Delivery</v>
      </c>
      <c r="K349" s="119" t="str">
        <f>IF(G349="","",_xlfn.XLOOKUP(G349,'🚛 FROTA'!B:B,'🚛 FROTA'!K:K,""))</f>
        <v>Carroceria Cabinado</v>
      </c>
      <c r="L349" s="143" t="s">
        <v>682</v>
      </c>
      <c r="M349" s="143" t="s">
        <v>1245</v>
      </c>
      <c r="N349" s="145">
        <v>46023</v>
      </c>
      <c r="O349" s="143">
        <v>1</v>
      </c>
      <c r="P349" s="143">
        <v>3</v>
      </c>
      <c r="Q349" s="167">
        <v>826.42</v>
      </c>
      <c r="R349" s="143" t="s">
        <v>554</v>
      </c>
      <c r="S349" s="122" t="s">
        <v>560</v>
      </c>
      <c r="T349" s="120" t="s">
        <v>522</v>
      </c>
      <c r="U349" s="121" t="s">
        <v>555</v>
      </c>
      <c r="V349" s="119" t="s">
        <v>689</v>
      </c>
      <c r="W349" s="119" t="s">
        <v>1221</v>
      </c>
      <c r="X349" s="123" t="s">
        <v>1246</v>
      </c>
      <c r="Y349" s="119" t="s">
        <v>800</v>
      </c>
      <c r="Z349" s="124">
        <v>56000</v>
      </c>
      <c r="AA349" s="125"/>
      <c r="AB349" s="126"/>
      <c r="AC349" s="127"/>
      <c r="AD349" s="127"/>
      <c r="AE349" s="127"/>
      <c r="AF349" s="127"/>
      <c r="AG349" s="125"/>
      <c r="AH349" s="128">
        <f ca="1">IF(OR(R349="A VISTA", R349="C. CRÉDITO", R349="ADIANTAMENTO"), N349, IF(R349="Faturado", _xlfn.MINIFS(N:N, C:C, C349)-30, ""))</f>
        <v>45993</v>
      </c>
      <c r="AI349" s="129" t="s">
        <v>686</v>
      </c>
      <c r="AJ349" s="129"/>
      <c r="AK349" s="129"/>
      <c r="AL349" s="129"/>
      <c r="AM349" s="129"/>
    </row>
    <row r="350" spans="1:39" ht="18" hidden="1" customHeight="1" x14ac:dyDescent="0.25">
      <c r="A350" s="117">
        <v>349</v>
      </c>
      <c r="B350" s="117"/>
      <c r="C350" s="118" t="s">
        <v>1247</v>
      </c>
      <c r="D350" s="146">
        <f t="array" aca="1" ref="D350" ca="1">SUM(--(_xlfn.UNIQUE(_xlfn._xlws.FILTER($M$2:$M$1011 &amp; "", ($C$2:$C$1011 = C350) * ($M$2:$M$1011 &lt;&gt; ""))) &lt;&gt; ""))</f>
        <v>1</v>
      </c>
      <c r="E350" s="166">
        <f t="shared" ca="1" si="20"/>
        <v>1138</v>
      </c>
      <c r="F350" s="143">
        <v>3</v>
      </c>
      <c r="G350" s="143" t="s">
        <v>169</v>
      </c>
      <c r="H350" s="119">
        <f>_xlfn.XLOOKUP(G350,'🚛 FROTA'!B:B,'🚛 FROTA'!A:A,"")</f>
        <v>43</v>
      </c>
      <c r="I350" s="119"/>
      <c r="J350" s="119" t="str">
        <f>IF(G350="","",_xlfn.XLOOKUP(G350,'🚛 FROTA'!B:B,'🚛 FROTA'!E:E,""))</f>
        <v>Express Delivery</v>
      </c>
      <c r="K350" s="119" t="str">
        <f>IF(G350="","",_xlfn.XLOOKUP(G350,'🚛 FROTA'!B:B,'🚛 FROTA'!K:K,""))</f>
        <v>Carroceria</v>
      </c>
      <c r="L350" s="143" t="s">
        <v>552</v>
      </c>
      <c r="M350" s="143" t="s">
        <v>1248</v>
      </c>
      <c r="N350" s="145">
        <v>46027</v>
      </c>
      <c r="O350" s="143">
        <v>1</v>
      </c>
      <c r="P350" s="143">
        <v>3</v>
      </c>
      <c r="Q350" s="167">
        <v>379.34</v>
      </c>
      <c r="R350" s="143" t="s">
        <v>554</v>
      </c>
      <c r="S350" s="122" t="s">
        <v>534</v>
      </c>
      <c r="T350" s="120" t="s">
        <v>522</v>
      </c>
      <c r="U350" s="121" t="s">
        <v>555</v>
      </c>
      <c r="V350" s="119" t="s">
        <v>556</v>
      </c>
      <c r="W350" s="119" t="s">
        <v>699</v>
      </c>
      <c r="X350" s="123" t="s">
        <v>1249</v>
      </c>
      <c r="Y350" s="119"/>
      <c r="Z350" s="124">
        <v>61578</v>
      </c>
      <c r="AA350" s="125"/>
      <c r="AB350" s="126"/>
      <c r="AC350" s="127"/>
      <c r="AD350" s="127"/>
      <c r="AE350" s="127"/>
      <c r="AF350" s="127"/>
      <c r="AG350" s="125"/>
      <c r="AH350" s="128">
        <f ca="1">IF(OR(R350="A VISTA", R350="C. CRÉDITO", R350="ADIANTAMENTO"), N350, IF(R350="Faturado", _xlfn.MINIFS(N:N, C:C, C350)-30, ""))</f>
        <v>45997</v>
      </c>
      <c r="AI350" s="129" t="s">
        <v>559</v>
      </c>
      <c r="AJ350" s="129"/>
      <c r="AK350" s="129"/>
      <c r="AL350" s="129"/>
      <c r="AM350" s="129"/>
    </row>
    <row r="351" spans="1:39" ht="18" hidden="1" customHeight="1" x14ac:dyDescent="0.25">
      <c r="A351" s="117">
        <v>350</v>
      </c>
      <c r="B351" s="117"/>
      <c r="C351" s="118" t="s">
        <v>1250</v>
      </c>
      <c r="D351" s="146">
        <f t="array" aca="1" ref="D351" ca="1">SUM(--(_xlfn.UNIQUE(_xlfn._xlws.FILTER($M$2:$M$1011 &amp; "", ($C$2:$C$1011 = C351) * ($M$2:$M$1011 &lt;&gt; ""))) &lt;&gt; ""))</f>
        <v>1</v>
      </c>
      <c r="E351" s="166">
        <f t="shared" ca="1" si="20"/>
        <v>2750</v>
      </c>
      <c r="F351" s="143">
        <v>3</v>
      </c>
      <c r="G351" s="143" t="s">
        <v>166</v>
      </c>
      <c r="H351" s="119">
        <f>_xlfn.XLOOKUP(G351,'🚛 FROTA'!B:B,'🚛 FROTA'!A:A,"")</f>
        <v>41</v>
      </c>
      <c r="I351" s="119"/>
      <c r="J351" s="119" t="str">
        <f>IF(G351="","",_xlfn.XLOOKUP(G351,'🚛 FROTA'!B:B,'🚛 FROTA'!E:E,""))</f>
        <v>Express Delivery</v>
      </c>
      <c r="K351" s="119" t="str">
        <f>IF(G351="","",_xlfn.XLOOKUP(G351,'🚛 FROTA'!B:B,'🚛 FROTA'!K:K,""))</f>
        <v>Carroceria Cabinado</v>
      </c>
      <c r="L351" s="143" t="s">
        <v>1251</v>
      </c>
      <c r="M351" s="143" t="s">
        <v>1252</v>
      </c>
      <c r="N351" s="145">
        <v>46007</v>
      </c>
      <c r="O351" s="143">
        <v>1</v>
      </c>
      <c r="P351" s="143">
        <v>3</v>
      </c>
      <c r="Q351" s="167">
        <v>2750</v>
      </c>
      <c r="R351" s="143" t="s">
        <v>797</v>
      </c>
      <c r="S351" s="122" t="s">
        <v>534</v>
      </c>
      <c r="T351" s="120" t="s">
        <v>522</v>
      </c>
      <c r="U351" s="121" t="s">
        <v>555</v>
      </c>
      <c r="V351" s="119" t="s">
        <v>634</v>
      </c>
      <c r="W351" s="119" t="s">
        <v>1253</v>
      </c>
      <c r="X351" s="123" t="s">
        <v>1254</v>
      </c>
      <c r="Y351" s="119"/>
      <c r="Z351" s="124">
        <v>85050</v>
      </c>
      <c r="AA351" s="125"/>
      <c r="AB351" s="126"/>
      <c r="AC351" s="127"/>
      <c r="AD351" s="127"/>
      <c r="AE351" s="127"/>
      <c r="AF351" s="127"/>
      <c r="AG351" s="125"/>
      <c r="AH351" s="128">
        <f>IF(OR(R351="A Vista", R351="Crédito", R351="Adiantamento"), N351, IF(R351="Faturado", _xlfn.MINIFS(N:N, C:C, C351)-30, ""))</f>
        <v>46007</v>
      </c>
      <c r="AI351" s="129"/>
      <c r="AJ351" s="129"/>
      <c r="AK351" s="129"/>
      <c r="AL351" s="129"/>
      <c r="AM351" s="129"/>
    </row>
    <row r="352" spans="1:39" ht="18" hidden="1" customHeight="1" x14ac:dyDescent="0.25">
      <c r="A352" s="117">
        <v>351</v>
      </c>
      <c r="B352" s="117"/>
      <c r="C352" s="118" t="s">
        <v>471</v>
      </c>
      <c r="D352" s="146">
        <f t="array" aca="1" ref="D352" ca="1">SUM(--(_xlfn.UNIQUE(_xlfn._xlws.FILTER($M$2:$M$1011 &amp; "", ($C$2:$C$1011 = C352) * ($M$2:$M$1011 &lt;&gt; ""))) &lt;&gt; ""))</f>
        <v>4</v>
      </c>
      <c r="E352" s="166">
        <f t="shared" ca="1" si="20"/>
        <v>11260.97</v>
      </c>
      <c r="F352" s="143">
        <v>3</v>
      </c>
      <c r="G352" s="143" t="s">
        <v>166</v>
      </c>
      <c r="H352" s="119">
        <f>_xlfn.XLOOKUP(G352,'🚛 FROTA'!B:B,'🚛 FROTA'!A:A,"")</f>
        <v>41</v>
      </c>
      <c r="I352" s="119"/>
      <c r="J352" s="119" t="str">
        <f>IF(G352="","",_xlfn.XLOOKUP(G352,'🚛 FROTA'!B:B,'🚛 FROTA'!E:E,""))</f>
        <v>Express Delivery</v>
      </c>
      <c r="K352" s="119" t="str">
        <f>IF(G352="","",_xlfn.XLOOKUP(G352,'🚛 FROTA'!B:B,'🚛 FROTA'!K:K,""))</f>
        <v>Carroceria Cabinado</v>
      </c>
      <c r="L352" s="143" t="s">
        <v>1255</v>
      </c>
      <c r="M352" s="143" t="s">
        <v>1256</v>
      </c>
      <c r="N352" s="145">
        <v>46009</v>
      </c>
      <c r="O352" s="143">
        <v>1</v>
      </c>
      <c r="P352" s="143">
        <v>2</v>
      </c>
      <c r="Q352" s="167">
        <v>2000</v>
      </c>
      <c r="R352" s="143" t="s">
        <v>797</v>
      </c>
      <c r="S352" s="122" t="s">
        <v>534</v>
      </c>
      <c r="T352" s="120" t="s">
        <v>522</v>
      </c>
      <c r="U352" s="121" t="s">
        <v>555</v>
      </c>
      <c r="V352" s="119" t="s">
        <v>1257</v>
      </c>
      <c r="W352" s="119" t="s">
        <v>1258</v>
      </c>
      <c r="X352" s="123" t="s">
        <v>1259</v>
      </c>
      <c r="Y352" s="119"/>
      <c r="Z352" s="124">
        <v>85050</v>
      </c>
      <c r="AA352" s="125"/>
      <c r="AB352" s="126"/>
      <c r="AC352" s="127"/>
      <c r="AD352" s="127"/>
      <c r="AE352" s="127"/>
      <c r="AF352" s="127"/>
      <c r="AG352" s="125"/>
      <c r="AH352" s="128">
        <f>IF(OR(R352="A Vista", R352="Crédito", R352="Adiantamento"), N352, IF(R352="Faturado", _xlfn.MINIFS(N:N, C:C, C352)-30, ""))</f>
        <v>46009</v>
      </c>
      <c r="AI352" s="129" t="s">
        <v>1260</v>
      </c>
      <c r="AJ352" s="129"/>
      <c r="AK352" s="129"/>
      <c r="AL352" s="129"/>
      <c r="AM352" s="129"/>
    </row>
    <row r="353" spans="1:39" ht="18" hidden="1" customHeight="1" x14ac:dyDescent="0.25">
      <c r="A353" s="117">
        <v>352</v>
      </c>
      <c r="B353" s="117"/>
      <c r="C353" s="118" t="s">
        <v>1261</v>
      </c>
      <c r="D353" s="146">
        <f t="array" aca="1" ref="D353" ca="1">SUM(--(_xlfn.UNIQUE(_xlfn._xlws.FILTER($M$2:$M$1011 &amp; "", ($C$2:$C$1011 = C353) * ($M$2:$M$1011 &lt;&gt; ""))) &lt;&gt; ""))</f>
        <v>1</v>
      </c>
      <c r="E353" s="166">
        <f t="shared" ca="1" si="20"/>
        <v>2040</v>
      </c>
      <c r="F353" s="143">
        <v>3</v>
      </c>
      <c r="G353" s="143" t="s">
        <v>155</v>
      </c>
      <c r="H353" s="119">
        <f>_xlfn.XLOOKUP(G353,'🚛 FROTA'!B:B,'🚛 FROTA'!A:A,"")</f>
        <v>34</v>
      </c>
      <c r="I353" s="119"/>
      <c r="J353" s="119" t="str">
        <f>IF(G353="","",_xlfn.XLOOKUP(G353,'🚛 FROTA'!B:B,'🚛 FROTA'!E:E,""))</f>
        <v>9.170 Delivery</v>
      </c>
      <c r="K353" s="119" t="str">
        <f>IF(G353="","",_xlfn.XLOOKUP(G353,'🚛 FROTA'!B:B,'🚛 FROTA'!K:K,""))</f>
        <v>Basculante</v>
      </c>
      <c r="L353" s="143" t="s">
        <v>552</v>
      </c>
      <c r="M353" s="143" t="s">
        <v>1262</v>
      </c>
      <c r="N353" s="145">
        <v>46027</v>
      </c>
      <c r="O353" s="143">
        <v>1</v>
      </c>
      <c r="P353" s="143">
        <v>3</v>
      </c>
      <c r="Q353" s="167">
        <v>680</v>
      </c>
      <c r="R353" s="143" t="s">
        <v>554</v>
      </c>
      <c r="S353" s="122" t="s">
        <v>534</v>
      </c>
      <c r="T353" s="120" t="s">
        <v>522</v>
      </c>
      <c r="U353" s="121" t="s">
        <v>555</v>
      </c>
      <c r="V353" s="119" t="s">
        <v>568</v>
      </c>
      <c r="W353" s="119" t="s">
        <v>1263</v>
      </c>
      <c r="X353" s="123" t="s">
        <v>1264</v>
      </c>
      <c r="Y353" s="119"/>
      <c r="Z353" s="124">
        <v>80967</v>
      </c>
      <c r="AA353" s="125"/>
      <c r="AB353" s="126"/>
      <c r="AC353" s="127"/>
      <c r="AD353" s="127"/>
      <c r="AE353" s="127"/>
      <c r="AF353" s="127"/>
      <c r="AG353" s="125"/>
      <c r="AH353" s="128">
        <f ca="1">IF(OR(R353="A VISTA", R353="C. CRÉDITO", R353="ADIANTAMENTO"), N353, IF(R353="Faturado", _xlfn.MINIFS(N:N, C:C, C353)-30, ""))</f>
        <v>45997</v>
      </c>
      <c r="AI353" s="129" t="s">
        <v>559</v>
      </c>
      <c r="AJ353" s="129"/>
      <c r="AK353" s="129"/>
      <c r="AL353" s="129"/>
      <c r="AM353" s="129"/>
    </row>
    <row r="354" spans="1:39" ht="18" hidden="1" customHeight="1" x14ac:dyDescent="0.25">
      <c r="A354" s="117">
        <v>353</v>
      </c>
      <c r="B354" s="117"/>
      <c r="C354" s="118" t="s">
        <v>1265</v>
      </c>
      <c r="D354" s="146">
        <f t="array" aca="1" ref="D354" ca="1">SUM(--(_xlfn.UNIQUE(_xlfn._xlws.FILTER($M$2:$M$1011 &amp; "", ($C$2:$C$1011 = C354) * ($M$2:$M$1011 &lt;&gt; ""))) &lt;&gt; ""))</f>
        <v>1</v>
      </c>
      <c r="E354" s="166">
        <f t="shared" ca="1" si="20"/>
        <v>200</v>
      </c>
      <c r="F354" s="143">
        <v>3</v>
      </c>
      <c r="G354" s="143" t="s">
        <v>166</v>
      </c>
      <c r="H354" s="119">
        <f>_xlfn.XLOOKUP(G354,'🚛 FROTA'!B:B,'🚛 FROTA'!A:A,"")</f>
        <v>41</v>
      </c>
      <c r="I354" s="119"/>
      <c r="J354" s="119" t="str">
        <f>IF(G354="","",_xlfn.XLOOKUP(G354,'🚛 FROTA'!B:B,'🚛 FROTA'!E:E,""))</f>
        <v>Express Delivery</v>
      </c>
      <c r="K354" s="119" t="str">
        <f>IF(G354="","",_xlfn.XLOOKUP(G354,'🚛 FROTA'!B:B,'🚛 FROTA'!K:K,""))</f>
        <v>Carroceria Cabinado</v>
      </c>
      <c r="L354" s="143" t="s">
        <v>1266</v>
      </c>
      <c r="M354" s="143" t="s">
        <v>1267</v>
      </c>
      <c r="N354" s="145">
        <v>46010</v>
      </c>
      <c r="O354" s="143">
        <v>1</v>
      </c>
      <c r="P354" s="143">
        <v>1</v>
      </c>
      <c r="Q354" s="167">
        <v>200</v>
      </c>
      <c r="R354" s="143" t="s">
        <v>651</v>
      </c>
      <c r="S354" s="122" t="s">
        <v>534</v>
      </c>
      <c r="T354" s="120" t="s">
        <v>522</v>
      </c>
      <c r="U354" s="121" t="s">
        <v>555</v>
      </c>
      <c r="V354" s="119" t="s">
        <v>573</v>
      </c>
      <c r="W354" s="119" t="s">
        <v>1268</v>
      </c>
      <c r="X354" s="123" t="s">
        <v>1269</v>
      </c>
      <c r="Y354" s="119" t="s">
        <v>1270</v>
      </c>
      <c r="Z354" s="124">
        <v>85050</v>
      </c>
      <c r="AA354" s="134" t="s">
        <v>759</v>
      </c>
      <c r="AB354" s="122">
        <v>4</v>
      </c>
      <c r="AC354" s="131" t="s">
        <v>1271</v>
      </c>
      <c r="AD354" s="131"/>
      <c r="AE354" s="131" t="s">
        <v>1272</v>
      </c>
      <c r="AF354" s="131"/>
      <c r="AG354" s="125" t="s">
        <v>587</v>
      </c>
      <c r="AH354" s="128">
        <f>IF(OR(R354="A Vista", R354="Crédito", R354="Adiantamento"), N354, IF(R354="Faturado", _xlfn.MINIFS(N:N, C:C, C354)-30, ""))</f>
        <v>46010</v>
      </c>
      <c r="AI354" s="129"/>
      <c r="AJ354" s="129"/>
      <c r="AK354" s="129"/>
      <c r="AL354" s="129"/>
      <c r="AM354" s="129"/>
    </row>
    <row r="355" spans="1:39" ht="18" hidden="1" customHeight="1" x14ac:dyDescent="0.25">
      <c r="A355" s="117">
        <v>354</v>
      </c>
      <c r="B355" s="117"/>
      <c r="C355" s="118" t="s">
        <v>1273</v>
      </c>
      <c r="D355" s="146">
        <f t="array" aca="1" ref="D355" ca="1">SUM(--(_xlfn.UNIQUE(_xlfn._xlws.FILTER($M$2:$M$1011 &amp; "", ($C$2:$C$1011 = C355) * ($M$2:$M$1011 &lt;&gt; ""))) &lt;&gt; ""))</f>
        <v>1</v>
      </c>
      <c r="E355" s="166">
        <f t="shared" ca="1" si="20"/>
        <v>600</v>
      </c>
      <c r="F355" s="143">
        <v>1</v>
      </c>
      <c r="G355" s="143" t="s">
        <v>162</v>
      </c>
      <c r="H355" s="119">
        <f>_xlfn.XLOOKUP(G355,'🚛 FROTA'!B:B,'🚛 FROTA'!A:A,"")</f>
        <v>39</v>
      </c>
      <c r="I355" s="119"/>
      <c r="J355" s="119" t="str">
        <f>IF(G355="","",_xlfn.XLOOKUP(G355,'🚛 FROTA'!B:B,'🚛 FROTA'!E:E,""))</f>
        <v>Express Delivery</v>
      </c>
      <c r="K355" s="119" t="str">
        <f>IF(G355="","",_xlfn.XLOOKUP(G355,'🚛 FROTA'!B:B,'🚛 FROTA'!K:K,""))</f>
        <v>Carroceria Cabinado</v>
      </c>
      <c r="L355" s="143" t="s">
        <v>976</v>
      </c>
      <c r="M355" s="143">
        <v>1623</v>
      </c>
      <c r="N355" s="145">
        <v>46028</v>
      </c>
      <c r="O355" s="143">
        <v>1</v>
      </c>
      <c r="P355" s="143">
        <v>1</v>
      </c>
      <c r="Q355" s="167">
        <v>600</v>
      </c>
      <c r="R355" s="143" t="s">
        <v>554</v>
      </c>
      <c r="S355" s="122" t="s">
        <v>534</v>
      </c>
      <c r="T355" s="120" t="s">
        <v>522</v>
      </c>
      <c r="U355" s="121" t="s">
        <v>555</v>
      </c>
      <c r="V355" s="119" t="s">
        <v>978</v>
      </c>
      <c r="W355" s="119" t="s">
        <v>1274</v>
      </c>
      <c r="X355" s="123" t="s">
        <v>1275</v>
      </c>
      <c r="Y355" s="119"/>
      <c r="Z355" s="124">
        <v>84410</v>
      </c>
      <c r="AA355" s="125"/>
      <c r="AB355" s="126"/>
      <c r="AC355" s="127"/>
      <c r="AD355" s="127"/>
      <c r="AE355" s="127"/>
      <c r="AF355" s="127"/>
      <c r="AG355" s="125"/>
      <c r="AH355" s="128">
        <f ca="1">IF(OR(R355="A VISTA", R355="C. CRÉDITO", R355="ADIANTAMENTO"), N355, IF(R355="Faturado", _xlfn.MINIFS(N:N, C:C, C355)-30, ""))</f>
        <v>45998</v>
      </c>
      <c r="AI355" s="129" t="s">
        <v>981</v>
      </c>
      <c r="AJ355" s="129"/>
      <c r="AK355" s="129"/>
      <c r="AL355" s="129"/>
      <c r="AM355" s="129"/>
    </row>
    <row r="356" spans="1:39" ht="18" hidden="1" customHeight="1" x14ac:dyDescent="0.25">
      <c r="A356" s="117">
        <v>355</v>
      </c>
      <c r="B356" s="117"/>
      <c r="C356" s="118" t="s">
        <v>471</v>
      </c>
      <c r="D356" s="146">
        <f t="array" aca="1" ref="D356" ca="1">SUM(--(_xlfn.UNIQUE(_xlfn._xlws.FILTER($M$2:$M$1011 &amp; "", ($C$2:$C$1011 = C356) * ($M$2:$M$1011 &lt;&gt; ""))) &lt;&gt; ""))</f>
        <v>4</v>
      </c>
      <c r="E356" s="166">
        <f t="shared" ca="1" si="20"/>
        <v>11260.97</v>
      </c>
      <c r="F356" s="143">
        <v>3</v>
      </c>
      <c r="G356" s="143" t="s">
        <v>166</v>
      </c>
      <c r="H356" s="119">
        <f>_xlfn.XLOOKUP(G356,'🚛 FROTA'!B:B,'🚛 FROTA'!A:A,"")</f>
        <v>41</v>
      </c>
      <c r="I356" s="119"/>
      <c r="J356" s="119" t="str">
        <f>IF(G356="","",_xlfn.XLOOKUP(G356,'🚛 FROTA'!B:B,'🚛 FROTA'!E:E,""))</f>
        <v>Express Delivery</v>
      </c>
      <c r="K356" s="119" t="str">
        <f>IF(G356="","",_xlfn.XLOOKUP(G356,'🚛 FROTA'!B:B,'🚛 FROTA'!K:K,""))</f>
        <v>Carroceria Cabinado</v>
      </c>
      <c r="L356" s="143" t="s">
        <v>1276</v>
      </c>
      <c r="M356" s="143" t="s">
        <v>1277</v>
      </c>
      <c r="N356" s="145">
        <v>46014</v>
      </c>
      <c r="O356" s="143">
        <v>1</v>
      </c>
      <c r="P356" s="143">
        <v>1</v>
      </c>
      <c r="Q356" s="167">
        <v>163.29</v>
      </c>
      <c r="R356" s="143" t="s">
        <v>651</v>
      </c>
      <c r="S356" s="122" t="s">
        <v>534</v>
      </c>
      <c r="T356" s="120" t="s">
        <v>522</v>
      </c>
      <c r="U356" s="121" t="s">
        <v>555</v>
      </c>
      <c r="V356" s="119" t="s">
        <v>568</v>
      </c>
      <c r="W356" s="119" t="s">
        <v>1278</v>
      </c>
      <c r="X356" s="123" t="s">
        <v>1279</v>
      </c>
      <c r="Y356" s="119"/>
      <c r="Z356" s="124">
        <v>85100</v>
      </c>
      <c r="AA356" s="125"/>
      <c r="AB356" s="126"/>
      <c r="AC356" s="127"/>
      <c r="AD356" s="127"/>
      <c r="AE356" s="127"/>
      <c r="AF356" s="127"/>
      <c r="AG356" s="125"/>
      <c r="AH356" s="128">
        <f>IF(OR(R356="A Vista", R356="Crédito", R356="Adiantamento"), N356, IF(R356="Faturado", _xlfn.MINIFS(N:N, C:C, C356)-30, ""))</f>
        <v>46014</v>
      </c>
      <c r="AI356" s="129" t="s">
        <v>609</v>
      </c>
      <c r="AJ356" s="129"/>
      <c r="AK356" s="129"/>
      <c r="AL356" s="129"/>
      <c r="AM356" s="129"/>
    </row>
    <row r="357" spans="1:39" ht="18" hidden="1" customHeight="1" x14ac:dyDescent="0.25">
      <c r="A357" s="117">
        <v>356</v>
      </c>
      <c r="B357" s="117"/>
      <c r="C357" s="118" t="s">
        <v>1280</v>
      </c>
      <c r="D357" s="146">
        <f t="array" aca="1" ref="D357" ca="1">SUM(--(_xlfn.UNIQUE(_xlfn._xlws.FILTER($M$2:$M$1011 &amp; "", ($C$2:$C$1011 = C357) * ($M$2:$M$1011 &lt;&gt; ""))) &lt;&gt; ""))</f>
        <v>1</v>
      </c>
      <c r="E357" s="166">
        <f t="shared" ca="1" si="20"/>
        <v>540</v>
      </c>
      <c r="F357" s="143">
        <v>3</v>
      </c>
      <c r="G357" s="143" t="s">
        <v>166</v>
      </c>
      <c r="H357" s="119">
        <f>_xlfn.XLOOKUP(G357,'🚛 FROTA'!B:B,'🚛 FROTA'!A:A,"")</f>
        <v>41</v>
      </c>
      <c r="I357" s="119"/>
      <c r="J357" s="119" t="str">
        <f>IF(G357="","",_xlfn.XLOOKUP(G357,'🚛 FROTA'!B:B,'🚛 FROTA'!E:E,""))</f>
        <v>Express Delivery</v>
      </c>
      <c r="K357" s="119" t="str">
        <f>IF(G357="","",_xlfn.XLOOKUP(G357,'🚛 FROTA'!B:B,'🚛 FROTA'!K:K,""))</f>
        <v>Carroceria Cabinado</v>
      </c>
      <c r="L357" s="143" t="s">
        <v>1281</v>
      </c>
      <c r="M357" s="143" t="s">
        <v>1282</v>
      </c>
      <c r="N357" s="145">
        <v>46027</v>
      </c>
      <c r="O357" s="143">
        <v>1</v>
      </c>
      <c r="P357" s="143">
        <v>1</v>
      </c>
      <c r="Q357" s="167">
        <v>540</v>
      </c>
      <c r="R357" s="143" t="s">
        <v>554</v>
      </c>
      <c r="S357" s="122" t="s">
        <v>560</v>
      </c>
      <c r="T357" s="120" t="s">
        <v>522</v>
      </c>
      <c r="U357" s="121" t="s">
        <v>555</v>
      </c>
      <c r="V357" s="119" t="s">
        <v>670</v>
      </c>
      <c r="W357" s="119" t="s">
        <v>1098</v>
      </c>
      <c r="X357" s="123" t="s">
        <v>1098</v>
      </c>
      <c r="Y357" s="119"/>
      <c r="Z357" s="124">
        <v>85050</v>
      </c>
      <c r="AA357" s="125"/>
      <c r="AB357" s="126"/>
      <c r="AC357" s="127"/>
      <c r="AD357" s="127"/>
      <c r="AE357" s="127"/>
      <c r="AF357" s="127"/>
      <c r="AG357" s="125"/>
      <c r="AH357" s="128">
        <f ca="1">IF(OR(R357="A VISTA", R357="C. CRÉDITO", R357="ADIANTAMENTO"), N357, IF(R357="Faturado", _xlfn.MINIFS(N:N, C:C, C357)-30, ""))</f>
        <v>45997</v>
      </c>
      <c r="AI357" s="129"/>
      <c r="AJ357" s="129"/>
      <c r="AK357" s="129"/>
      <c r="AL357" s="129"/>
      <c r="AM357" s="129"/>
    </row>
    <row r="358" spans="1:39" ht="18" customHeight="1" x14ac:dyDescent="0.25">
      <c r="A358" s="117">
        <v>357</v>
      </c>
      <c r="B358" s="117"/>
      <c r="C358" s="118" t="s">
        <v>1283</v>
      </c>
      <c r="D358" s="146">
        <f t="array" aca="1" ref="D358" ca="1">SUM(--(_xlfn.UNIQUE(_xlfn._xlws.FILTER($M$2:$M$1011 &amp; "", ($C$2:$C$1011 = C358) * ($M$2:$M$1011 &lt;&gt; ""))) &lt;&gt; ""))</f>
        <v>1</v>
      </c>
      <c r="E358" s="166">
        <f t="shared" ca="1" si="20"/>
        <v>1504</v>
      </c>
      <c r="F358" s="143">
        <v>1</v>
      </c>
      <c r="G358" s="143" t="s">
        <v>170</v>
      </c>
      <c r="H358" s="119">
        <f>_xlfn.XLOOKUP(G358,'🚛 FROTA'!B:B,'🚛 FROTA'!A:A,"")</f>
        <v>44</v>
      </c>
      <c r="I358" s="119"/>
      <c r="J358" s="119" t="str">
        <f>IF(G358="","",_xlfn.XLOOKUP(G358,'🚛 FROTA'!B:B,'🚛 FROTA'!E:E,""))</f>
        <v>Express Delivery</v>
      </c>
      <c r="K358" s="119" t="str">
        <f>IF(G358="","",_xlfn.XLOOKUP(G358,'🚛 FROTA'!B:B,'🚛 FROTA'!K:K,""))</f>
        <v>Carroceria</v>
      </c>
      <c r="L358" s="143" t="s">
        <v>604</v>
      </c>
      <c r="M358" s="143" t="s">
        <v>1284</v>
      </c>
      <c r="N358" s="145">
        <v>46031</v>
      </c>
      <c r="O358" s="143">
        <v>1</v>
      </c>
      <c r="P358" s="143">
        <v>4</v>
      </c>
      <c r="Q358" s="167">
        <v>376</v>
      </c>
      <c r="R358" s="143" t="s">
        <v>554</v>
      </c>
      <c r="S358" s="122" t="s">
        <v>560</v>
      </c>
      <c r="T358" s="120" t="s">
        <v>522</v>
      </c>
      <c r="U358" s="121" t="s">
        <v>555</v>
      </c>
      <c r="V358" s="119" t="s">
        <v>573</v>
      </c>
      <c r="W358" s="119" t="s">
        <v>574</v>
      </c>
      <c r="X358" s="123" t="s">
        <v>1285</v>
      </c>
      <c r="Y358" s="119" t="s">
        <v>576</v>
      </c>
      <c r="Z358" s="124">
        <v>43296</v>
      </c>
      <c r="AA358" s="134" t="s">
        <v>759</v>
      </c>
      <c r="AB358" s="122">
        <v>2</v>
      </c>
      <c r="AC358" s="131" t="s">
        <v>578</v>
      </c>
      <c r="AD358" s="131" t="s">
        <v>607</v>
      </c>
      <c r="AE358" s="131" t="s">
        <v>608</v>
      </c>
      <c r="AF358" s="131" t="s">
        <v>581</v>
      </c>
      <c r="AG358" s="125" t="s">
        <v>582</v>
      </c>
      <c r="AH358" s="128">
        <f ca="1">IF(OR(R358="A VISTA", R358="C. CRÉDITO", R358="ADIANTAMENTO"), N358, IF(R358="Faturado", _xlfn.MINIFS(N:N, C:C, C358)-30, ""))</f>
        <v>46001</v>
      </c>
      <c r="AI358" s="129" t="s">
        <v>609</v>
      </c>
      <c r="AJ358" s="129"/>
      <c r="AK358" s="129"/>
      <c r="AL358" s="129"/>
      <c r="AM358" s="129"/>
    </row>
    <row r="359" spans="1:39" ht="18" customHeight="1" x14ac:dyDescent="0.25">
      <c r="A359" s="117">
        <v>358</v>
      </c>
      <c r="B359" s="117"/>
      <c r="C359" s="118" t="s">
        <v>1286</v>
      </c>
      <c r="D359" s="146">
        <f t="array" aca="1" ref="D359" ca="1">SUM(--(_xlfn.UNIQUE(_xlfn._xlws.FILTER($M$2:$M$1011 &amp; "", ($C$2:$C$1011 = C359) * ($M$2:$M$1011 &lt;&gt; ""))) &lt;&gt; ""))</f>
        <v>1</v>
      </c>
      <c r="E359" s="166">
        <f t="shared" ca="1" si="20"/>
        <v>1504</v>
      </c>
      <c r="F359" s="143">
        <v>1</v>
      </c>
      <c r="G359" s="143" t="s">
        <v>172</v>
      </c>
      <c r="H359" s="119">
        <f>_xlfn.XLOOKUP(G359,'🚛 FROTA'!B:B,'🚛 FROTA'!A:A,"")</f>
        <v>45</v>
      </c>
      <c r="I359" s="119"/>
      <c r="J359" s="119" t="str">
        <f>IF(G359="","",_xlfn.XLOOKUP(G359,'🚛 FROTA'!B:B,'🚛 FROTA'!E:E,""))</f>
        <v>Express Delivery</v>
      </c>
      <c r="K359" s="119" t="str">
        <f>IF(G359="","",_xlfn.XLOOKUP(G359,'🚛 FROTA'!B:B,'🚛 FROTA'!K:K,""))</f>
        <v>Carroceria</v>
      </c>
      <c r="L359" s="143" t="s">
        <v>604</v>
      </c>
      <c r="M359" s="143" t="s">
        <v>1284</v>
      </c>
      <c r="N359" s="145">
        <v>46031</v>
      </c>
      <c r="O359" s="143">
        <v>1</v>
      </c>
      <c r="P359" s="143">
        <v>4</v>
      </c>
      <c r="Q359" s="167">
        <v>376</v>
      </c>
      <c r="R359" s="143" t="s">
        <v>554</v>
      </c>
      <c r="S359" s="122" t="s">
        <v>560</v>
      </c>
      <c r="T359" s="120" t="s">
        <v>522</v>
      </c>
      <c r="U359" s="121" t="s">
        <v>555</v>
      </c>
      <c r="V359" s="119" t="s">
        <v>573</v>
      </c>
      <c r="W359" s="119" t="s">
        <v>574</v>
      </c>
      <c r="X359" s="123" t="s">
        <v>1285</v>
      </c>
      <c r="Y359" s="119" t="s">
        <v>576</v>
      </c>
      <c r="Z359" s="124">
        <v>47489</v>
      </c>
      <c r="AA359" s="134" t="s">
        <v>759</v>
      </c>
      <c r="AB359" s="122">
        <v>2</v>
      </c>
      <c r="AC359" s="131" t="s">
        <v>578</v>
      </c>
      <c r="AD359" s="131" t="s">
        <v>607</v>
      </c>
      <c r="AE359" s="131" t="s">
        <v>608</v>
      </c>
      <c r="AF359" s="131" t="s">
        <v>581</v>
      </c>
      <c r="AG359" s="125" t="s">
        <v>582</v>
      </c>
      <c r="AH359" s="128">
        <f ca="1">IF(OR(R359="A VISTA", R359="C. CRÉDITO", R359="ADIANTAMENTO"), N359, IF(R359="Faturado", _xlfn.MINIFS(N:N, C:C, C359)-30, ""))</f>
        <v>46001</v>
      </c>
      <c r="AI359" s="129" t="s">
        <v>609</v>
      </c>
      <c r="AJ359" s="129"/>
      <c r="AK359" s="129"/>
      <c r="AL359" s="129"/>
      <c r="AM359" s="129"/>
    </row>
    <row r="360" spans="1:39" ht="18" customHeight="1" x14ac:dyDescent="0.25">
      <c r="A360" s="117">
        <v>359</v>
      </c>
      <c r="B360" s="117"/>
      <c r="C360" s="118" t="s">
        <v>1287</v>
      </c>
      <c r="D360" s="146">
        <f t="array" aca="1" ref="D360" ca="1">SUM(--(_xlfn.UNIQUE(_xlfn._xlws.FILTER($M$2:$M$1011 &amp; "", ($C$2:$C$1011 = C360) * ($M$2:$M$1011 &lt;&gt; ""))) &lt;&gt; ""))</f>
        <v>1</v>
      </c>
      <c r="E360" s="166">
        <f t="shared" ca="1" si="20"/>
        <v>1504</v>
      </c>
      <c r="F360" s="143">
        <v>1</v>
      </c>
      <c r="G360" s="143" t="s">
        <v>165</v>
      </c>
      <c r="H360" s="119">
        <f>_xlfn.XLOOKUP(G360,'🚛 FROTA'!B:B,'🚛 FROTA'!A:A,"")</f>
        <v>40</v>
      </c>
      <c r="I360" s="119"/>
      <c r="J360" s="119" t="str">
        <f>IF(G360="","",_xlfn.XLOOKUP(G360,'🚛 FROTA'!B:B,'🚛 FROTA'!E:E,""))</f>
        <v>Express Delivery</v>
      </c>
      <c r="K360" s="119" t="str">
        <f>IF(G360="","",_xlfn.XLOOKUP(G360,'🚛 FROTA'!B:B,'🚛 FROTA'!K:K,""))</f>
        <v>Carroceria Cabinado</v>
      </c>
      <c r="L360" s="143" t="s">
        <v>604</v>
      </c>
      <c r="M360" s="143" t="s">
        <v>1284</v>
      </c>
      <c r="N360" s="145">
        <v>46031</v>
      </c>
      <c r="O360" s="143">
        <v>1</v>
      </c>
      <c r="P360" s="143">
        <v>4</v>
      </c>
      <c r="Q360" s="167">
        <v>376</v>
      </c>
      <c r="R360" s="143" t="s">
        <v>554</v>
      </c>
      <c r="S360" s="122" t="s">
        <v>560</v>
      </c>
      <c r="T360" s="120" t="s">
        <v>522</v>
      </c>
      <c r="U360" s="121" t="s">
        <v>555</v>
      </c>
      <c r="V360" s="119" t="s">
        <v>573</v>
      </c>
      <c r="W360" s="119" t="s">
        <v>574</v>
      </c>
      <c r="X360" s="123" t="s">
        <v>1288</v>
      </c>
      <c r="Y360" s="119" t="s">
        <v>576</v>
      </c>
      <c r="Z360" s="124">
        <v>56826</v>
      </c>
      <c r="AA360" s="134" t="s">
        <v>759</v>
      </c>
      <c r="AB360" s="122">
        <v>2</v>
      </c>
      <c r="AC360" s="131" t="s">
        <v>578</v>
      </c>
      <c r="AD360" s="131" t="s">
        <v>607</v>
      </c>
      <c r="AE360" s="131" t="s">
        <v>608</v>
      </c>
      <c r="AF360" s="131" t="s">
        <v>581</v>
      </c>
      <c r="AG360" s="125" t="s">
        <v>582</v>
      </c>
      <c r="AH360" s="128">
        <f ca="1">IF(OR(R360="A VISTA", R360="C. CRÉDITO", R360="ADIANTAMENTO"), N360, IF(R360="Faturado", _xlfn.MINIFS(N:N, C:C, C360)-30, ""))</f>
        <v>46001</v>
      </c>
      <c r="AI360" s="129" t="s">
        <v>609</v>
      </c>
      <c r="AJ360" s="129"/>
      <c r="AK360" s="129"/>
      <c r="AL360" s="129"/>
      <c r="AM360" s="129"/>
    </row>
    <row r="361" spans="1:39" ht="18" hidden="1" customHeight="1" x14ac:dyDescent="0.25">
      <c r="A361" s="117">
        <v>360</v>
      </c>
      <c r="B361" s="117"/>
      <c r="C361" s="118" t="s">
        <v>471</v>
      </c>
      <c r="D361" s="146">
        <f t="array" aca="1" ref="D361" ca="1">SUM(--(_xlfn.UNIQUE(_xlfn._xlws.FILTER($M$2:$M$1011 &amp; "", ($C$2:$C$1011 = C361) * ($M$2:$M$1011 &lt;&gt; ""))) &lt;&gt; ""))</f>
        <v>4</v>
      </c>
      <c r="E361" s="166">
        <f t="shared" ca="1" si="20"/>
        <v>11260.97</v>
      </c>
      <c r="F361" s="143">
        <v>1</v>
      </c>
      <c r="G361" s="143" t="s">
        <v>166</v>
      </c>
      <c r="H361" s="119">
        <f>_xlfn.XLOOKUP(G361,'🚛 FROTA'!B:B,'🚛 FROTA'!A:A,"")</f>
        <v>41</v>
      </c>
      <c r="I361" s="119"/>
      <c r="J361" s="119" t="str">
        <f>IF(G361="","",_xlfn.XLOOKUP(G361,'🚛 FROTA'!B:B,'🚛 FROTA'!E:E,""))</f>
        <v>Express Delivery</v>
      </c>
      <c r="K361" s="119" t="str">
        <f>IF(G361="","",_xlfn.XLOOKUP(G361,'🚛 FROTA'!B:B,'🚛 FROTA'!K:K,""))</f>
        <v>Carroceria Cabinado</v>
      </c>
      <c r="L361" s="143" t="s">
        <v>682</v>
      </c>
      <c r="M361" s="143" t="s">
        <v>1289</v>
      </c>
      <c r="N361" s="145">
        <v>46030</v>
      </c>
      <c r="O361" s="143">
        <v>1</v>
      </c>
      <c r="P361" s="143">
        <v>3</v>
      </c>
      <c r="Q361" s="167">
        <v>1950.9</v>
      </c>
      <c r="R361" s="143" t="s">
        <v>554</v>
      </c>
      <c r="S361" s="122" t="s">
        <v>560</v>
      </c>
      <c r="T361" s="120" t="s">
        <v>522</v>
      </c>
      <c r="U361" s="121" t="s">
        <v>555</v>
      </c>
      <c r="V361" s="119" t="s">
        <v>568</v>
      </c>
      <c r="W361" s="119" t="s">
        <v>1290</v>
      </c>
      <c r="X361" s="123" t="s">
        <v>1291</v>
      </c>
      <c r="Y361" s="119"/>
      <c r="Z361" s="124">
        <v>85050</v>
      </c>
      <c r="AA361" s="125"/>
      <c r="AB361" s="126"/>
      <c r="AC361" s="127"/>
      <c r="AD361" s="127"/>
      <c r="AE361" s="127"/>
      <c r="AF361" s="127"/>
      <c r="AG361" s="125"/>
      <c r="AH361" s="128">
        <f ca="1">IF(OR(R361="A VISTA", R361="C. CRÉDITO", R361="ADIANTAMENTO"), N361, IF(R361="Faturado", _xlfn.MINIFS(N:N, C:C, C361)-30, ""))</f>
        <v>45976</v>
      </c>
      <c r="AI361" s="129" t="s">
        <v>686</v>
      </c>
      <c r="AJ361" s="129"/>
      <c r="AK361" s="129"/>
      <c r="AL361" s="129"/>
      <c r="AM361" s="129"/>
    </row>
    <row r="362" spans="1:39" ht="18" hidden="1" customHeight="1" x14ac:dyDescent="0.25">
      <c r="A362" s="117">
        <v>361</v>
      </c>
      <c r="B362" s="117"/>
      <c r="C362" s="118" t="s">
        <v>1292</v>
      </c>
      <c r="D362" s="146">
        <f t="array" aca="1" ref="D362" ca="1">SUM(--(_xlfn.UNIQUE(_xlfn._xlws.FILTER($M$2:$M$1011 &amp; "", ($C$2:$C$1011 = C362) * ($M$2:$M$1011 &lt;&gt; ""))) &lt;&gt; ""))</f>
        <v>1</v>
      </c>
      <c r="E362" s="166">
        <f t="shared" ca="1" si="20"/>
        <v>234.97</v>
      </c>
      <c r="F362" s="143">
        <v>1</v>
      </c>
      <c r="G362" s="143" t="s">
        <v>162</v>
      </c>
      <c r="H362" s="119">
        <f>_xlfn.XLOOKUP(G362,'🚛 FROTA'!B:B,'🚛 FROTA'!A:A,"")</f>
        <v>39</v>
      </c>
      <c r="I362" s="119"/>
      <c r="J362" s="119" t="str">
        <f>IF(G362="","",_xlfn.XLOOKUP(G362,'🚛 FROTA'!B:B,'🚛 FROTA'!E:E,""))</f>
        <v>Express Delivery</v>
      </c>
      <c r="K362" s="119" t="str">
        <f>IF(G362="","",_xlfn.XLOOKUP(G362,'🚛 FROTA'!B:B,'🚛 FROTA'!K:K,""))</f>
        <v>Carroceria Cabinado</v>
      </c>
      <c r="L362" s="143" t="s">
        <v>1242</v>
      </c>
      <c r="M362" s="143" t="s">
        <v>1293</v>
      </c>
      <c r="N362" s="145">
        <v>46006</v>
      </c>
      <c r="O362" s="143">
        <v>1</v>
      </c>
      <c r="P362" s="143">
        <v>1</v>
      </c>
      <c r="Q362" s="167">
        <v>234.97</v>
      </c>
      <c r="R362" s="143" t="s">
        <v>724</v>
      </c>
      <c r="S362" s="122" t="s">
        <v>560</v>
      </c>
      <c r="T362" s="120" t="s">
        <v>522</v>
      </c>
      <c r="U362" s="121" t="s">
        <v>555</v>
      </c>
      <c r="V362" s="119" t="s">
        <v>568</v>
      </c>
      <c r="W362" s="119" t="s">
        <v>725</v>
      </c>
      <c r="X362" s="123" t="s">
        <v>726</v>
      </c>
      <c r="Y362" s="119" t="s">
        <v>727</v>
      </c>
      <c r="Z362" s="124">
        <v>85050</v>
      </c>
      <c r="AA362" s="125"/>
      <c r="AB362" s="126"/>
      <c r="AC362" s="127"/>
      <c r="AD362" s="127"/>
      <c r="AE362" s="127"/>
      <c r="AF362" s="127"/>
      <c r="AG362" s="125"/>
      <c r="AH362" s="128">
        <f>IF(OR(R362="A Vista", R362="Crédito", R362="Adiantamento"), N362, IF(R362="Faturado", _xlfn.MINIFS(N:N, C:C, C362)-30, ""))</f>
        <v>46006</v>
      </c>
      <c r="AI362" s="129"/>
      <c r="AJ362" s="129"/>
      <c r="AK362" s="129"/>
      <c r="AL362" s="129"/>
      <c r="AM362" s="129"/>
    </row>
    <row r="363" spans="1:39" ht="18" hidden="1" customHeight="1" x14ac:dyDescent="0.25">
      <c r="A363" s="117">
        <v>362</v>
      </c>
      <c r="B363" s="117"/>
      <c r="C363" s="118" t="s">
        <v>1294</v>
      </c>
      <c r="D363" s="146">
        <f t="array" aca="1" ref="D363" ca="1">SUM(--(_xlfn.UNIQUE(_xlfn._xlws.FILTER($M$2:$M$1011 &amp; "", ($C$2:$C$1011 = C363) * ($M$2:$M$1011 &lt;&gt; ""))) &lt;&gt; ""))</f>
        <v>1</v>
      </c>
      <c r="E363" s="166">
        <f t="shared" ca="1" si="20"/>
        <v>587.74</v>
      </c>
      <c r="F363" s="143">
        <v>1</v>
      </c>
      <c r="G363" s="143" t="s">
        <v>162</v>
      </c>
      <c r="H363" s="119">
        <f>_xlfn.XLOOKUP(G363,'🚛 FROTA'!B:B,'🚛 FROTA'!A:A,"")</f>
        <v>39</v>
      </c>
      <c r="I363" s="119"/>
      <c r="J363" s="119" t="str">
        <f>IF(G363="","",_xlfn.XLOOKUP(G363,'🚛 FROTA'!B:B,'🚛 FROTA'!E:E,""))</f>
        <v>Express Delivery</v>
      </c>
      <c r="K363" s="119" t="str">
        <f>IF(G363="","",_xlfn.XLOOKUP(G363,'🚛 FROTA'!B:B,'🚛 FROTA'!K:K,""))</f>
        <v>Carroceria Cabinado</v>
      </c>
      <c r="L363" s="143" t="s">
        <v>682</v>
      </c>
      <c r="M363" s="143" t="s">
        <v>1295</v>
      </c>
      <c r="N363" s="145">
        <v>46036</v>
      </c>
      <c r="O363" s="143">
        <v>1</v>
      </c>
      <c r="P363" s="143">
        <v>2</v>
      </c>
      <c r="Q363" s="167">
        <v>293.87</v>
      </c>
      <c r="R363" s="143" t="s">
        <v>554</v>
      </c>
      <c r="S363" s="122" t="s">
        <v>560</v>
      </c>
      <c r="T363" s="120" t="s">
        <v>522</v>
      </c>
      <c r="U363" s="121" t="s">
        <v>555</v>
      </c>
      <c r="V363" s="119" t="s">
        <v>689</v>
      </c>
      <c r="W363" s="119" t="s">
        <v>1296</v>
      </c>
      <c r="X363" s="123" t="s">
        <v>1297</v>
      </c>
      <c r="Y363" s="119"/>
      <c r="Z363" s="124">
        <v>86471</v>
      </c>
      <c r="AA363" s="125"/>
      <c r="AB363" s="126"/>
      <c r="AC363" s="127"/>
      <c r="AD363" s="127"/>
      <c r="AE363" s="127"/>
      <c r="AF363" s="127"/>
      <c r="AG363" s="125"/>
      <c r="AH363" s="128">
        <f ca="1">IF(OR(R363="A VISTA", R363="C. CRÉDITO", R363="ADIANTAMENTO"), N363, IF(R363="Faturado", _xlfn.MINIFS(N:N, C:C, C363)-30, ""))</f>
        <v>46006</v>
      </c>
      <c r="AI363" s="129" t="s">
        <v>686</v>
      </c>
      <c r="AJ363" s="129"/>
      <c r="AK363" s="129"/>
      <c r="AL363" s="129"/>
      <c r="AM363" s="129"/>
    </row>
    <row r="364" spans="1:39" ht="18" hidden="1" customHeight="1" x14ac:dyDescent="0.25">
      <c r="A364" s="117">
        <v>363</v>
      </c>
      <c r="B364" s="117"/>
      <c r="C364" s="118" t="s">
        <v>1298</v>
      </c>
      <c r="D364" s="146">
        <f t="array" aca="1" ref="D364" ca="1">SUM(--(_xlfn.UNIQUE(_xlfn._xlws.FILTER($M$2:$M$1011 &amp; "", ($C$2:$C$1011 = C364) * ($M$2:$M$1011 &lt;&gt; ""))) &lt;&gt; ""))</f>
        <v>1</v>
      </c>
      <c r="E364" s="166">
        <f t="shared" ca="1" si="20"/>
        <v>687.44</v>
      </c>
      <c r="F364" s="143">
        <v>1</v>
      </c>
      <c r="G364" s="143" t="s">
        <v>162</v>
      </c>
      <c r="H364" s="119">
        <f>_xlfn.XLOOKUP(G364,'🚛 FROTA'!B:B,'🚛 FROTA'!A:A,"")</f>
        <v>39</v>
      </c>
      <c r="I364" s="119"/>
      <c r="J364" s="119" t="str">
        <f>IF(G364="","",_xlfn.XLOOKUP(G364,'🚛 FROTA'!B:B,'🚛 FROTA'!E:E,""))</f>
        <v>Express Delivery</v>
      </c>
      <c r="K364" s="119" t="str">
        <f>IF(G364="","",_xlfn.XLOOKUP(G364,'🚛 FROTA'!B:B,'🚛 FROTA'!K:K,""))</f>
        <v>Carroceria Cabinado</v>
      </c>
      <c r="L364" s="143" t="s">
        <v>682</v>
      </c>
      <c r="M364" s="143" t="s">
        <v>1295</v>
      </c>
      <c r="N364" s="145">
        <v>46036</v>
      </c>
      <c r="O364" s="143">
        <v>1</v>
      </c>
      <c r="P364" s="143">
        <v>2</v>
      </c>
      <c r="Q364" s="167">
        <v>343.72</v>
      </c>
      <c r="R364" s="143" t="s">
        <v>554</v>
      </c>
      <c r="S364" s="122" t="s">
        <v>560</v>
      </c>
      <c r="T364" s="120" t="s">
        <v>522</v>
      </c>
      <c r="U364" s="121" t="s">
        <v>555</v>
      </c>
      <c r="V364" s="119" t="s">
        <v>568</v>
      </c>
      <c r="W364" s="119" t="s">
        <v>1299</v>
      </c>
      <c r="X364" s="123" t="s">
        <v>1300</v>
      </c>
      <c r="Y364" s="119" t="s">
        <v>800</v>
      </c>
      <c r="Z364" s="124">
        <v>86471</v>
      </c>
      <c r="AA364" s="125"/>
      <c r="AB364" s="126"/>
      <c r="AC364" s="127"/>
      <c r="AD364" s="127"/>
      <c r="AE364" s="127"/>
      <c r="AF364" s="127"/>
      <c r="AG364" s="125"/>
      <c r="AH364" s="128">
        <f ca="1">IF(OR(R364="A VISTA", R364="C. CRÉDITO", R364="ADIANTAMENTO"), N364, IF(R364="Faturado", _xlfn.MINIFS(N:N, C:C, C364)-30, ""))</f>
        <v>46006</v>
      </c>
      <c r="AI364" s="129" t="s">
        <v>686</v>
      </c>
      <c r="AJ364" s="129"/>
      <c r="AK364" s="129"/>
      <c r="AL364" s="129"/>
      <c r="AM364" s="129"/>
    </row>
    <row r="365" spans="1:39" ht="18" customHeight="1" x14ac:dyDescent="0.25">
      <c r="A365" s="117">
        <v>364</v>
      </c>
      <c r="B365" s="117"/>
      <c r="C365" s="118" t="s">
        <v>1301</v>
      </c>
      <c r="D365" s="146">
        <f t="array" aca="1" ref="D365" ca="1">SUM(--(_xlfn.UNIQUE(_xlfn._xlws.FILTER($M$2:$M$1011 &amp; "", ($C$2:$C$1011 = C365) * ($M$2:$M$1011 &lt;&gt; ""))) &lt;&gt; ""))</f>
        <v>1</v>
      </c>
      <c r="E365" s="166">
        <f t="shared" ca="1" si="20"/>
        <v>4600</v>
      </c>
      <c r="F365" s="143">
        <v>1</v>
      </c>
      <c r="G365" s="143" t="s">
        <v>166</v>
      </c>
      <c r="H365" s="119">
        <f>_xlfn.XLOOKUP(G365,'🚛 FROTA'!B:B,'🚛 FROTA'!A:A,"")</f>
        <v>41</v>
      </c>
      <c r="I365" s="119"/>
      <c r="J365" s="119" t="str">
        <f>IF(G365="","",_xlfn.XLOOKUP(G365,'🚛 FROTA'!B:B,'🚛 FROTA'!E:E,""))</f>
        <v>Express Delivery</v>
      </c>
      <c r="K365" s="119" t="str">
        <f>IF(G365="","",_xlfn.XLOOKUP(G365,'🚛 FROTA'!B:B,'🚛 FROTA'!K:K,""))</f>
        <v>Carroceria Cabinado</v>
      </c>
      <c r="L365" s="143" t="s">
        <v>703</v>
      </c>
      <c r="M365" s="143" t="s">
        <v>1302</v>
      </c>
      <c r="N365" s="145">
        <v>46031</v>
      </c>
      <c r="O365" s="143">
        <v>1</v>
      </c>
      <c r="P365" s="143">
        <v>4</v>
      </c>
      <c r="Q365" s="167">
        <v>1150</v>
      </c>
      <c r="R365" s="143" t="s">
        <v>554</v>
      </c>
      <c r="S365" s="122" t="s">
        <v>560</v>
      </c>
      <c r="T365" s="120" t="s">
        <v>522</v>
      </c>
      <c r="U365" s="121" t="s">
        <v>555</v>
      </c>
      <c r="V365" s="119" t="s">
        <v>573</v>
      </c>
      <c r="W365" s="119" t="s">
        <v>574</v>
      </c>
      <c r="X365" s="123" t="s">
        <v>1303</v>
      </c>
      <c r="Y365" s="119" t="s">
        <v>753</v>
      </c>
      <c r="Z365" s="124">
        <v>85050</v>
      </c>
      <c r="AA365" s="134" t="s">
        <v>759</v>
      </c>
      <c r="AB365" s="122">
        <v>4</v>
      </c>
      <c r="AC365" s="131" t="s">
        <v>578</v>
      </c>
      <c r="AD365" s="131" t="s">
        <v>709</v>
      </c>
      <c r="AE365" s="131" t="s">
        <v>713</v>
      </c>
      <c r="AF365" s="131" t="s">
        <v>581</v>
      </c>
      <c r="AG365" s="125" t="s">
        <v>582</v>
      </c>
      <c r="AH365" s="128">
        <f ca="1">IF(OR(R365="A VISTA", R365="C. CRÉDITO", R365="ADIANTAMENTO"), N365, IF(R365="Faturado", _xlfn.MINIFS(N:N, C:C, C365)-30, ""))</f>
        <v>46001</v>
      </c>
      <c r="AI365" s="129"/>
      <c r="AJ365" s="129"/>
      <c r="AK365" s="129"/>
      <c r="AL365" s="129"/>
      <c r="AM365" s="129"/>
    </row>
    <row r="366" spans="1:39" ht="18" hidden="1" customHeight="1" x14ac:dyDescent="0.25">
      <c r="A366" s="117">
        <v>365</v>
      </c>
      <c r="B366" s="117"/>
      <c r="C366" s="118" t="s">
        <v>1304</v>
      </c>
      <c r="D366" s="146">
        <f t="array" aca="1" ref="D366" ca="1">SUM(--(_xlfn.UNIQUE(_xlfn._xlws.FILTER($M$2:$M$1011 &amp; "", ($C$2:$C$1011 = C366) * ($M$2:$M$1011 &lt;&gt; ""))) &lt;&gt; ""))</f>
        <v>1</v>
      </c>
      <c r="E366" s="166">
        <f t="shared" ca="1" si="20"/>
        <v>115.33</v>
      </c>
      <c r="F366" s="143">
        <v>1</v>
      </c>
      <c r="G366" s="143" t="s">
        <v>162</v>
      </c>
      <c r="H366" s="119">
        <f>_xlfn.XLOOKUP(G366,'🚛 FROTA'!B:B,'🚛 FROTA'!A:A,"")</f>
        <v>39</v>
      </c>
      <c r="I366" s="119"/>
      <c r="J366" s="119" t="str">
        <f>IF(G366="","",_xlfn.XLOOKUP(G366,'🚛 FROTA'!B:B,'🚛 FROTA'!E:E,""))</f>
        <v>Express Delivery</v>
      </c>
      <c r="K366" s="119" t="str">
        <f>IF(G366="","",_xlfn.XLOOKUP(G366,'🚛 FROTA'!B:B,'🚛 FROTA'!K:K,""))</f>
        <v>Carroceria Cabinado</v>
      </c>
      <c r="L366" s="143" t="s">
        <v>1305</v>
      </c>
      <c r="M366" s="143" t="s">
        <v>1306</v>
      </c>
      <c r="N366" s="145">
        <v>46006</v>
      </c>
      <c r="O366" s="143">
        <v>1</v>
      </c>
      <c r="P366" s="143">
        <v>1</v>
      </c>
      <c r="Q366" s="167">
        <v>115.33</v>
      </c>
      <c r="R366" s="143" t="s">
        <v>724</v>
      </c>
      <c r="S366" s="122" t="s">
        <v>560</v>
      </c>
      <c r="T366" s="120" t="s">
        <v>522</v>
      </c>
      <c r="U366" s="121" t="s">
        <v>555</v>
      </c>
      <c r="V366" s="119" t="s">
        <v>640</v>
      </c>
      <c r="W366" s="119" t="s">
        <v>1307</v>
      </c>
      <c r="X366" s="123" t="s">
        <v>1308</v>
      </c>
      <c r="Y366" s="119"/>
      <c r="Z366" s="124">
        <v>86471</v>
      </c>
      <c r="AA366" s="125"/>
      <c r="AB366" s="126"/>
      <c r="AC366" s="127"/>
      <c r="AD366" s="127"/>
      <c r="AE366" s="127"/>
      <c r="AF366" s="127"/>
      <c r="AG366" s="125"/>
      <c r="AH366" s="128">
        <f>IF(OR(R366="A Vista", R366="Crédito", R366="Adiantamento"), N366, IF(R366="Faturado", _xlfn.MINIFS(N:N, C:C, C366)-30, ""))</f>
        <v>46006</v>
      </c>
      <c r="AI366" s="129"/>
      <c r="AJ366" s="129"/>
      <c r="AK366" s="129"/>
      <c r="AL366" s="129"/>
      <c r="AM366" s="129"/>
    </row>
    <row r="367" spans="1:39" ht="18" hidden="1" customHeight="1" x14ac:dyDescent="0.25">
      <c r="A367" s="117">
        <v>366</v>
      </c>
      <c r="B367" s="117"/>
      <c r="C367" s="118" t="s">
        <v>1309</v>
      </c>
      <c r="D367" s="146">
        <f t="array" aca="1" ref="D367" ca="1">SUM(--(_xlfn.UNIQUE(_xlfn._xlws.FILTER($M$2:$M$1011 &amp; "", ($C$2:$C$1011 = C367) * ($M$2:$M$1011 &lt;&gt; ""))) &lt;&gt; ""))</f>
        <v>1</v>
      </c>
      <c r="E367" s="166">
        <f t="shared" ca="1" si="20"/>
        <v>761</v>
      </c>
      <c r="F367" s="143">
        <v>1</v>
      </c>
      <c r="G367" s="143" t="s">
        <v>166</v>
      </c>
      <c r="H367" s="119">
        <f>_xlfn.XLOOKUP(G367,'🚛 FROTA'!B:B,'🚛 FROTA'!A:A,"")</f>
        <v>41</v>
      </c>
      <c r="I367" s="119"/>
      <c r="J367" s="119" t="str">
        <f>IF(G367="","",_xlfn.XLOOKUP(G367,'🚛 FROTA'!B:B,'🚛 FROTA'!E:E,""))</f>
        <v>Express Delivery</v>
      </c>
      <c r="K367" s="119" t="str">
        <f>IF(G367="","",_xlfn.XLOOKUP(G367,'🚛 FROTA'!B:B,'🚛 FROTA'!K:K,""))</f>
        <v>Carroceria Cabinado</v>
      </c>
      <c r="L367" s="143" t="s">
        <v>682</v>
      </c>
      <c r="M367" s="143" t="s">
        <v>1310</v>
      </c>
      <c r="N367" s="145">
        <v>46036</v>
      </c>
      <c r="O367" s="143">
        <v>1</v>
      </c>
      <c r="P367" s="143">
        <v>1</v>
      </c>
      <c r="Q367" s="167">
        <v>761</v>
      </c>
      <c r="R367" s="143" t="s">
        <v>554</v>
      </c>
      <c r="S367" s="122" t="s">
        <v>560</v>
      </c>
      <c r="T367" s="120" t="s">
        <v>522</v>
      </c>
      <c r="U367" s="121" t="s">
        <v>597</v>
      </c>
      <c r="V367" s="119" t="s">
        <v>598</v>
      </c>
      <c r="W367" s="119" t="s">
        <v>679</v>
      </c>
      <c r="X367" s="123" t="s">
        <v>680</v>
      </c>
      <c r="Y367" s="119"/>
      <c r="Z367" s="124">
        <v>86471</v>
      </c>
      <c r="AA367" s="125"/>
      <c r="AB367" s="126"/>
      <c r="AC367" s="127"/>
      <c r="AD367" s="127"/>
      <c r="AE367" s="127"/>
      <c r="AF367" s="127"/>
      <c r="AG367" s="125"/>
      <c r="AH367" s="128">
        <f ca="1">IF(OR(R367="A VISTA", R367="C. CRÉDITO", R367="ADIANTAMENTO"), N367, IF(R367="Faturado", _xlfn.MINIFS(N:N, C:C, C367)-30, ""))</f>
        <v>46006</v>
      </c>
      <c r="AI367" s="129" t="s">
        <v>686</v>
      </c>
      <c r="AJ367" s="129"/>
      <c r="AK367" s="132">
        <f>IF(Z367="",0,Z367+10000)</f>
        <v>96471</v>
      </c>
      <c r="AL367" s="129"/>
      <c r="AM367" s="129"/>
    </row>
    <row r="368" spans="1:39" ht="18" hidden="1" customHeight="1" x14ac:dyDescent="0.25">
      <c r="A368" s="117">
        <v>367</v>
      </c>
      <c r="B368" s="117"/>
      <c r="C368" s="118" t="s">
        <v>1311</v>
      </c>
      <c r="D368" s="146">
        <f t="array" aca="1" ref="D368" ca="1">SUM(--(_xlfn.UNIQUE(_xlfn._xlws.FILTER($M$2:$M$1011 &amp; "", ($C$2:$C$1011 = C368) * ($M$2:$M$1011 &lt;&gt; ""))) &lt;&gt; ""))</f>
        <v>1</v>
      </c>
      <c r="E368" s="166">
        <f t="shared" ca="1" si="20"/>
        <v>780</v>
      </c>
      <c r="F368" s="143">
        <v>3</v>
      </c>
      <c r="G368" s="143" t="s">
        <v>119</v>
      </c>
      <c r="H368" s="119">
        <f>_xlfn.XLOOKUP(G368,'🚛 FROTA'!B:B,'🚛 FROTA'!A:A,"")</f>
        <v>17</v>
      </c>
      <c r="I368" s="119"/>
      <c r="J368" s="119" t="str">
        <f>IF(G368="","",_xlfn.XLOOKUP(G368,'🚛 FROTA'!B:B,'🚛 FROTA'!E:E,""))</f>
        <v>CAT 416F2</v>
      </c>
      <c r="K368" s="119"/>
      <c r="L368" s="143" t="s">
        <v>1172</v>
      </c>
      <c r="M368" s="143" t="s">
        <v>1312</v>
      </c>
      <c r="N368" s="145">
        <v>46008</v>
      </c>
      <c r="O368" s="143">
        <v>1</v>
      </c>
      <c r="P368" s="143">
        <v>1</v>
      </c>
      <c r="Q368" s="167">
        <v>780</v>
      </c>
      <c r="R368" s="143" t="s">
        <v>554</v>
      </c>
      <c r="S368" s="122" t="s">
        <v>560</v>
      </c>
      <c r="T368" s="120" t="s">
        <v>522</v>
      </c>
      <c r="U368" s="121" t="s">
        <v>555</v>
      </c>
      <c r="V368" s="119" t="s">
        <v>689</v>
      </c>
      <c r="W368" s="119" t="s">
        <v>1168</v>
      </c>
      <c r="X368" s="123" t="s">
        <v>1313</v>
      </c>
      <c r="Y368" s="119" t="s">
        <v>1153</v>
      </c>
      <c r="Z368" s="130"/>
      <c r="AA368" s="125"/>
      <c r="AB368" s="126"/>
      <c r="AC368" s="127"/>
      <c r="AD368" s="127"/>
      <c r="AE368" s="127"/>
      <c r="AF368" s="127"/>
      <c r="AG368" s="125"/>
      <c r="AH368" s="128">
        <f ca="1">IF(OR(R368="A VISTA", R368="C. CRÉDITO", R368="ADIANTAMENTO"), N368, IF(R368="Faturado", _xlfn.MINIFS(N:N, C:C, C368)-30, ""))</f>
        <v>45978</v>
      </c>
      <c r="AI368" s="129"/>
      <c r="AJ368" s="129"/>
      <c r="AK368" s="129"/>
      <c r="AL368" s="129"/>
      <c r="AM368" s="129"/>
    </row>
    <row r="369" spans="1:39" ht="18" customHeight="1" x14ac:dyDescent="0.25">
      <c r="A369" s="117">
        <v>368</v>
      </c>
      <c r="B369" s="117"/>
      <c r="C369" s="118" t="s">
        <v>1314</v>
      </c>
      <c r="D369" s="146">
        <f t="array" aca="1" ref="D369" ca="1">SUM(--(_xlfn.UNIQUE(_xlfn._xlws.FILTER($M$2:$M$1011 &amp; "", ($C$2:$C$1011 = C369) * ($M$2:$M$1011 &lt;&gt; ""))) &lt;&gt; ""))</f>
        <v>1</v>
      </c>
      <c r="E369" s="166">
        <f t="shared" ca="1" si="20"/>
        <v>620.09</v>
      </c>
      <c r="F369" s="143">
        <v>1</v>
      </c>
      <c r="G369" s="143" t="s">
        <v>167</v>
      </c>
      <c r="H369" s="119">
        <f>_xlfn.XLOOKUP(G369,'🚛 FROTA'!B:B,'🚛 FROTA'!A:A,"")</f>
        <v>42</v>
      </c>
      <c r="I369" s="119"/>
      <c r="J369" s="119" t="str">
        <f>IF(G369="","",_xlfn.XLOOKUP(G369,'🚛 FROTA'!B:B,'🚛 FROTA'!E:E,""))</f>
        <v>Express Delivery</v>
      </c>
      <c r="K369" s="119" t="str">
        <f>IF(G369="","",_xlfn.XLOOKUP(G369,'🚛 FROTA'!B:B,'🚛 FROTA'!K:K,""))</f>
        <v>Carroceria</v>
      </c>
      <c r="L369" s="143" t="s">
        <v>571</v>
      </c>
      <c r="M369" s="143" t="s">
        <v>1315</v>
      </c>
      <c r="N369" s="145">
        <v>46009</v>
      </c>
      <c r="O369" s="143">
        <v>1</v>
      </c>
      <c r="P369" s="143">
        <v>1</v>
      </c>
      <c r="Q369" s="167">
        <v>620.09</v>
      </c>
      <c r="R369" s="143" t="s">
        <v>554</v>
      </c>
      <c r="S369" s="122" t="s">
        <v>560</v>
      </c>
      <c r="T369" s="120" t="s">
        <v>522</v>
      </c>
      <c r="U369" s="121" t="s">
        <v>555</v>
      </c>
      <c r="V369" s="119" t="s">
        <v>573</v>
      </c>
      <c r="W369" s="119" t="s">
        <v>574</v>
      </c>
      <c r="X369" s="123" t="s">
        <v>1140</v>
      </c>
      <c r="Y369" s="119" t="s">
        <v>576</v>
      </c>
      <c r="Z369" s="124">
        <v>62713</v>
      </c>
      <c r="AA369" s="122" t="s">
        <v>577</v>
      </c>
      <c r="AB369" s="122">
        <v>2</v>
      </c>
      <c r="AC369" s="131" t="s">
        <v>578</v>
      </c>
      <c r="AD369" s="131" t="s">
        <v>1141</v>
      </c>
      <c r="AE369" s="131" t="s">
        <v>1142</v>
      </c>
      <c r="AF369" s="131" t="s">
        <v>581</v>
      </c>
      <c r="AG369" s="125" t="s">
        <v>582</v>
      </c>
      <c r="AH369" s="128">
        <f ca="1">IF(OR(R369="A VISTA", R369="C. CRÉDITO", R369="ADIANTAMENTO"), N369, IF(R369="Faturado", _xlfn.MINIFS(N:N, C:C, C369)-30, ""))</f>
        <v>45979</v>
      </c>
      <c r="AI369" s="129" t="s">
        <v>583</v>
      </c>
      <c r="AJ369" s="129"/>
      <c r="AK369" s="129"/>
      <c r="AL369" s="129"/>
      <c r="AM369" s="129"/>
    </row>
    <row r="370" spans="1:39" ht="18" hidden="1" customHeight="1" x14ac:dyDescent="0.25">
      <c r="A370" s="117">
        <v>369</v>
      </c>
      <c r="B370" s="117"/>
      <c r="C370" s="118" t="s">
        <v>1244</v>
      </c>
      <c r="D370" s="146">
        <f t="array" aca="1" ref="D370" ca="1">SUM(--(_xlfn.UNIQUE(_xlfn._xlws.FILTER($M$2:$M$1011 &amp; "", ($C$2:$C$1011 = C370) * ($M$2:$M$1011 &lt;&gt; ""))) &lt;&gt; ""))</f>
        <v>2</v>
      </c>
      <c r="E370" s="166">
        <f t="shared" ca="1" si="20"/>
        <v>4345.95</v>
      </c>
      <c r="F370" s="143">
        <v>3</v>
      </c>
      <c r="G370" s="143" t="s">
        <v>165</v>
      </c>
      <c r="H370" s="119">
        <f>_xlfn.XLOOKUP(G370,'🚛 FROTA'!B:B,'🚛 FROTA'!A:A,"")</f>
        <v>40</v>
      </c>
      <c r="I370" s="119"/>
      <c r="J370" s="119" t="str">
        <f>IF(G370="","",_xlfn.XLOOKUP(G370,'🚛 FROTA'!B:B,'🚛 FROTA'!E:E,""))</f>
        <v>Express Delivery</v>
      </c>
      <c r="K370" s="119" t="str">
        <f>IF(G370="","",_xlfn.XLOOKUP(G370,'🚛 FROTA'!B:B,'🚛 FROTA'!K:K,""))</f>
        <v>Carroceria Cabinado</v>
      </c>
      <c r="L370" s="143" t="s">
        <v>1129</v>
      </c>
      <c r="M370" s="143" t="s">
        <v>1316</v>
      </c>
      <c r="N370" s="145">
        <v>46041</v>
      </c>
      <c r="O370" s="143">
        <v>1</v>
      </c>
      <c r="P370" s="143">
        <v>3</v>
      </c>
      <c r="Q370" s="167">
        <v>466.66</v>
      </c>
      <c r="R370" s="143" t="s">
        <v>554</v>
      </c>
      <c r="S370" s="122" t="s">
        <v>534</v>
      </c>
      <c r="T370" s="120" t="s">
        <v>522</v>
      </c>
      <c r="U370" s="121" t="s">
        <v>555</v>
      </c>
      <c r="V370" s="119" t="s">
        <v>689</v>
      </c>
      <c r="W370" s="119" t="s">
        <v>1317</v>
      </c>
      <c r="X370" s="123" t="s">
        <v>1317</v>
      </c>
      <c r="Y370" s="119"/>
      <c r="Z370" s="124">
        <v>56000</v>
      </c>
      <c r="AA370" s="125"/>
      <c r="AB370" s="126"/>
      <c r="AC370" s="127"/>
      <c r="AD370" s="127"/>
      <c r="AE370" s="127"/>
      <c r="AF370" s="127"/>
      <c r="AG370" s="125"/>
      <c r="AH370" s="128">
        <f ca="1">IF(OR(R370="A VISTA", R370="C. CRÉDITO", R370="ADIANTAMENTO"), N370, IF(R370="Faturado", _xlfn.MINIFS(N:N, C:C, C370)-30, ""))</f>
        <v>45993</v>
      </c>
      <c r="AI370" s="129" t="s">
        <v>1132</v>
      </c>
      <c r="AJ370" s="129"/>
      <c r="AK370" s="129"/>
      <c r="AL370" s="129"/>
      <c r="AM370" s="129"/>
    </row>
    <row r="371" spans="1:39" ht="18" hidden="1" customHeight="1" x14ac:dyDescent="0.25">
      <c r="A371" s="117">
        <v>370</v>
      </c>
      <c r="B371" s="117"/>
      <c r="C371" s="118" t="s">
        <v>471</v>
      </c>
      <c r="D371" s="146">
        <f t="array" aca="1" ref="D371" ca="1">SUM(--(_xlfn.UNIQUE(_xlfn._xlws.FILTER($M$2:$M$1011 &amp; "", ($C$2:$C$1011 = C371) * ($M$2:$M$1011 &lt;&gt; ""))) &lt;&gt; ""))</f>
        <v>4</v>
      </c>
      <c r="E371" s="166">
        <f t="shared" ca="1" si="20"/>
        <v>11260.97</v>
      </c>
      <c r="F371" s="143">
        <v>3</v>
      </c>
      <c r="G371" s="143" t="s">
        <v>166</v>
      </c>
      <c r="H371" s="119">
        <f>_xlfn.XLOOKUP(G371,'🚛 FROTA'!B:B,'🚛 FROTA'!A:A,"")</f>
        <v>41</v>
      </c>
      <c r="I371" s="119"/>
      <c r="J371" s="119" t="str">
        <f>IF(G371="","",_xlfn.XLOOKUP(G371,'🚛 FROTA'!B:B,'🚛 FROTA'!E:E,""))</f>
        <v>Express Delivery</v>
      </c>
      <c r="K371" s="119" t="str">
        <f>IF(G371="","",_xlfn.XLOOKUP(G371,'🚛 FROTA'!B:B,'🚛 FROTA'!K:K,""))</f>
        <v>Carroceria Cabinado</v>
      </c>
      <c r="L371" s="143" t="s">
        <v>1255</v>
      </c>
      <c r="M371" s="143" t="s">
        <v>1256</v>
      </c>
      <c r="N371" s="145">
        <v>46052</v>
      </c>
      <c r="O371" s="143">
        <v>2</v>
      </c>
      <c r="P371" s="143">
        <v>3</v>
      </c>
      <c r="Q371" s="167">
        <v>1500</v>
      </c>
      <c r="R371" s="143" t="s">
        <v>554</v>
      </c>
      <c r="S371" s="122" t="s">
        <v>534</v>
      </c>
      <c r="T371" s="120" t="s">
        <v>522</v>
      </c>
      <c r="U371" s="121" t="s">
        <v>555</v>
      </c>
      <c r="V371" s="119" t="s">
        <v>1257</v>
      </c>
      <c r="W371" s="119" t="s">
        <v>1258</v>
      </c>
      <c r="X371" s="123" t="s">
        <v>1259</v>
      </c>
      <c r="Y371" s="119"/>
      <c r="Z371" s="124">
        <v>85050</v>
      </c>
      <c r="AA371" s="125"/>
      <c r="AB371" s="126"/>
      <c r="AC371" s="127"/>
      <c r="AD371" s="127"/>
      <c r="AE371" s="127"/>
      <c r="AF371" s="127"/>
      <c r="AG371" s="125"/>
      <c r="AH371" s="128">
        <f ca="1">IF(OR(R371="A VISTA", R371="C. CRÉDITO", R371="ADIANTAMENTO"), N371, IF(R371="Faturado", _xlfn.MINIFS(N:N, C:C, C371)-30, ""))</f>
        <v>45976</v>
      </c>
      <c r="AI371" s="129" t="s">
        <v>1260</v>
      </c>
      <c r="AJ371" s="129"/>
      <c r="AK371" s="129"/>
      <c r="AL371" s="129"/>
      <c r="AM371" s="129"/>
    </row>
    <row r="372" spans="1:39" ht="18" hidden="1" customHeight="1" x14ac:dyDescent="0.25">
      <c r="A372" s="117">
        <v>371</v>
      </c>
      <c r="B372" s="117"/>
      <c r="C372" s="118" t="s">
        <v>1318</v>
      </c>
      <c r="D372" s="146">
        <f t="array" aca="1" ref="D372" ca="1">SUM(--(_xlfn.UNIQUE(_xlfn._xlws.FILTER($M$2:$M$1011 &amp; "", ($C$2:$C$1011 = C372) * ($M$2:$M$1011 &lt;&gt; ""))) &lt;&gt; ""))</f>
        <v>1</v>
      </c>
      <c r="E372" s="166">
        <f t="shared" ca="1" si="20"/>
        <v>328.14</v>
      </c>
      <c r="F372" s="143">
        <v>3</v>
      </c>
      <c r="G372" s="143" t="s">
        <v>119</v>
      </c>
      <c r="H372" s="119">
        <f>_xlfn.XLOOKUP(G372,'🚛 FROTA'!B:B,'🚛 FROTA'!A:A,"")</f>
        <v>17</v>
      </c>
      <c r="I372" s="119"/>
      <c r="J372" s="119" t="str">
        <f>IF(G372="","",_xlfn.XLOOKUP(G372,'🚛 FROTA'!B:B,'🚛 FROTA'!E:E,""))</f>
        <v>CAT 416F2</v>
      </c>
      <c r="K372" s="119"/>
      <c r="L372" s="143" t="s">
        <v>826</v>
      </c>
      <c r="M372" s="143" t="s">
        <v>1319</v>
      </c>
      <c r="N372" s="145">
        <v>46048</v>
      </c>
      <c r="O372" s="143">
        <v>1</v>
      </c>
      <c r="P372" s="143">
        <v>1</v>
      </c>
      <c r="Q372" s="167">
        <v>100</v>
      </c>
      <c r="R372" s="143" t="s">
        <v>651</v>
      </c>
      <c r="S372" s="122" t="s">
        <v>560</v>
      </c>
      <c r="T372" s="120" t="s">
        <v>522</v>
      </c>
      <c r="U372" s="121" t="s">
        <v>555</v>
      </c>
      <c r="V372" s="119" t="s">
        <v>619</v>
      </c>
      <c r="W372" s="119" t="s">
        <v>1320</v>
      </c>
      <c r="X372" s="123" t="s">
        <v>1321</v>
      </c>
      <c r="Y372" s="119" t="s">
        <v>1322</v>
      </c>
      <c r="Z372" s="124">
        <v>3795</v>
      </c>
      <c r="AA372" s="125"/>
      <c r="AB372" s="126"/>
      <c r="AC372" s="127"/>
      <c r="AD372" s="127"/>
      <c r="AE372" s="127"/>
      <c r="AF372" s="127"/>
      <c r="AG372" s="125"/>
      <c r="AH372" s="128">
        <f>IF(OR(R372="A Vista", R372="Crédito", R372="Adiantamento"), N372, IF(R372="Faturado", _xlfn.MINIFS(N:N, C:C, C372)-30, ""))</f>
        <v>46048</v>
      </c>
      <c r="AI372" s="129" t="s">
        <v>583</v>
      </c>
      <c r="AJ372" s="129"/>
      <c r="AK372" s="129"/>
      <c r="AL372" s="129"/>
      <c r="AM372" s="129"/>
    </row>
    <row r="373" spans="1:39" ht="18" hidden="1" customHeight="1" x14ac:dyDescent="0.25">
      <c r="A373" s="117">
        <v>372</v>
      </c>
      <c r="B373" s="117"/>
      <c r="C373" s="118" t="s">
        <v>1318</v>
      </c>
      <c r="D373" s="146">
        <f t="array" aca="1" ref="D373" ca="1">SUM(--(_xlfn.UNIQUE(_xlfn._xlws.FILTER($M$2:$M$1011 &amp; "", ($C$2:$C$1011 = C373) * ($M$2:$M$1011 &lt;&gt; ""))) &lt;&gt; ""))</f>
        <v>1</v>
      </c>
      <c r="E373" s="166">
        <f t="shared" ca="1" si="20"/>
        <v>328.14</v>
      </c>
      <c r="F373" s="143">
        <v>3</v>
      </c>
      <c r="G373" s="143" t="s">
        <v>119</v>
      </c>
      <c r="H373" s="119">
        <f>_xlfn.XLOOKUP(G373,'🚛 FROTA'!B:B,'🚛 FROTA'!A:A,"")</f>
        <v>17</v>
      </c>
      <c r="I373" s="119"/>
      <c r="J373" s="119" t="str">
        <f>IF(G373="","",_xlfn.XLOOKUP(G373,'🚛 FROTA'!B:B,'🚛 FROTA'!E:E,""))</f>
        <v>CAT 416F2</v>
      </c>
      <c r="K373" s="119"/>
      <c r="L373" s="143" t="s">
        <v>826</v>
      </c>
      <c r="M373" s="143" t="s">
        <v>1319</v>
      </c>
      <c r="N373" s="145">
        <v>46048</v>
      </c>
      <c r="O373" s="143">
        <v>1</v>
      </c>
      <c r="P373" s="143">
        <v>1</v>
      </c>
      <c r="Q373" s="167">
        <v>228.14</v>
      </c>
      <c r="R373" s="143" t="s">
        <v>651</v>
      </c>
      <c r="S373" s="122" t="s">
        <v>560</v>
      </c>
      <c r="T373" s="120" t="s">
        <v>522</v>
      </c>
      <c r="U373" s="121" t="s">
        <v>597</v>
      </c>
      <c r="V373" s="119" t="s">
        <v>619</v>
      </c>
      <c r="W373" s="119" t="s">
        <v>1323</v>
      </c>
      <c r="X373" s="123" t="s">
        <v>1324</v>
      </c>
      <c r="Y373" s="119"/>
      <c r="Z373" s="124">
        <v>3795</v>
      </c>
      <c r="AA373" s="125"/>
      <c r="AB373" s="126"/>
      <c r="AC373" s="127"/>
      <c r="AD373" s="127"/>
      <c r="AE373" s="127"/>
      <c r="AF373" s="127"/>
      <c r="AG373" s="125"/>
      <c r="AH373" s="128">
        <f>IF(OR(R373="A Vista", R373="Crédito", R373="Adiantamento"), N373, IF(R373="Faturado", _xlfn.MINIFS(N:N, C:C, C373)-30, ""))</f>
        <v>46048</v>
      </c>
      <c r="AI373" s="129" t="s">
        <v>583</v>
      </c>
      <c r="AJ373" s="129"/>
      <c r="AK373" s="129"/>
      <c r="AL373" s="129"/>
      <c r="AM373" s="129"/>
    </row>
    <row r="374" spans="1:39" ht="18" hidden="1" customHeight="1" x14ac:dyDescent="0.25">
      <c r="A374" s="117">
        <v>373</v>
      </c>
      <c r="B374" s="117"/>
      <c r="C374" s="118" t="s">
        <v>1325</v>
      </c>
      <c r="D374" s="146">
        <f t="array" aca="1" ref="D374" ca="1">SUM(--(_xlfn.UNIQUE(_xlfn._xlws.FILTER($M$2:$M$1011 &amp; "", ($C$2:$C$1011 = C374) * ($M$2:$M$1011 &lt;&gt; ""))) &lt;&gt; ""))</f>
        <v>1</v>
      </c>
      <c r="E374" s="166">
        <f t="shared" ca="1" si="20"/>
        <v>2200</v>
      </c>
      <c r="F374" s="143">
        <v>1</v>
      </c>
      <c r="G374" s="143" t="s">
        <v>162</v>
      </c>
      <c r="H374" s="119">
        <f>_xlfn.XLOOKUP(G374,'🚛 FROTA'!B:B,'🚛 FROTA'!A:A,"")</f>
        <v>39</v>
      </c>
      <c r="I374" s="119"/>
      <c r="J374" s="119" t="str">
        <f>IF(G374="","",_xlfn.XLOOKUP(G374,'🚛 FROTA'!B:B,'🚛 FROTA'!E:E,""))</f>
        <v>Express Delivery</v>
      </c>
      <c r="K374" s="119" t="str">
        <f>IF(G374="","",_xlfn.XLOOKUP(G374,'🚛 FROTA'!B:B,'🚛 FROTA'!K:K,""))</f>
        <v>Carroceria Cabinado</v>
      </c>
      <c r="L374" s="143" t="s">
        <v>595</v>
      </c>
      <c r="M374" s="143" t="s">
        <v>1326</v>
      </c>
      <c r="N374" s="145">
        <v>46050</v>
      </c>
      <c r="O374" s="143">
        <v>1</v>
      </c>
      <c r="P374" s="143">
        <v>3</v>
      </c>
      <c r="Q374" s="167">
        <v>733.26</v>
      </c>
      <c r="R374" s="143" t="s">
        <v>554</v>
      </c>
      <c r="S374" s="122" t="s">
        <v>560</v>
      </c>
      <c r="T374" s="120" t="s">
        <v>522</v>
      </c>
      <c r="U374" s="121" t="s">
        <v>555</v>
      </c>
      <c r="V374" s="119" t="s">
        <v>640</v>
      </c>
      <c r="W374" s="119" t="s">
        <v>1327</v>
      </c>
      <c r="X374" s="123" t="s">
        <v>1328</v>
      </c>
      <c r="Y374" s="119" t="s">
        <v>1329</v>
      </c>
      <c r="Z374" s="124">
        <v>86929</v>
      </c>
      <c r="AA374" s="125"/>
      <c r="AB374" s="126"/>
      <c r="AC374" s="127"/>
      <c r="AD374" s="127"/>
      <c r="AE374" s="127"/>
      <c r="AF374" s="127"/>
      <c r="AG374" s="125"/>
      <c r="AH374" s="128">
        <f t="shared" ref="AH374:AH379" ca="1" si="22">IF(OR(R374="A VISTA", R374="C. CRÉDITO", R374="ADIANTAMENTO"), N374, IF(R374="Faturado", _xlfn.MINIFS(N:N, C:C, C374)-30, ""))</f>
        <v>46020</v>
      </c>
      <c r="AI374" s="129" t="s">
        <v>602</v>
      </c>
      <c r="AJ374" s="129"/>
      <c r="AK374" s="129"/>
      <c r="AL374" s="129"/>
      <c r="AM374" s="129"/>
    </row>
    <row r="375" spans="1:39" ht="18" hidden="1" customHeight="1" x14ac:dyDescent="0.25">
      <c r="A375" s="117">
        <v>374</v>
      </c>
      <c r="B375" s="117"/>
      <c r="C375" s="118" t="s">
        <v>471</v>
      </c>
      <c r="D375" s="146">
        <f t="array" aca="1" ref="D375" ca="1">SUM(--(_xlfn.UNIQUE(_xlfn._xlws.FILTER($M$2:$M$1011 &amp; "", ($C$2:$C$1011 = C375) * ($M$2:$M$1011 &lt;&gt; ""))) &lt;&gt; ""))</f>
        <v>4</v>
      </c>
      <c r="E375" s="166">
        <f t="shared" ca="1" si="20"/>
        <v>11260.97</v>
      </c>
      <c r="F375" s="143">
        <v>1</v>
      </c>
      <c r="G375" s="143" t="s">
        <v>166</v>
      </c>
      <c r="H375" s="119">
        <f>_xlfn.XLOOKUP(G375,'🚛 FROTA'!B:B,'🚛 FROTA'!A:A,"")</f>
        <v>41</v>
      </c>
      <c r="I375" s="119"/>
      <c r="J375" s="119" t="str">
        <f>IF(G375="","",_xlfn.XLOOKUP(G375,'🚛 FROTA'!B:B,'🚛 FROTA'!E:E,""))</f>
        <v>Express Delivery</v>
      </c>
      <c r="K375" s="119" t="str">
        <f>IF(G375="","",_xlfn.XLOOKUP(G375,'🚛 FROTA'!B:B,'🚛 FROTA'!K:K,""))</f>
        <v>Carroceria Cabinado</v>
      </c>
      <c r="L375" s="143" t="s">
        <v>682</v>
      </c>
      <c r="M375" s="143" t="s">
        <v>1289</v>
      </c>
      <c r="N375" s="145">
        <v>46060</v>
      </c>
      <c r="O375" s="143">
        <v>2</v>
      </c>
      <c r="P375" s="143">
        <v>3</v>
      </c>
      <c r="Q375" s="167">
        <v>1950.9</v>
      </c>
      <c r="R375" s="143" t="s">
        <v>554</v>
      </c>
      <c r="S375" s="122" t="s">
        <v>560</v>
      </c>
      <c r="T375" s="120" t="s">
        <v>522</v>
      </c>
      <c r="U375" s="121" t="s">
        <v>555</v>
      </c>
      <c r="V375" s="119" t="s">
        <v>568</v>
      </c>
      <c r="W375" s="119" t="s">
        <v>1290</v>
      </c>
      <c r="X375" s="123" t="s">
        <v>1291</v>
      </c>
      <c r="Y375" s="119"/>
      <c r="Z375" s="124">
        <v>85050</v>
      </c>
      <c r="AA375" s="125"/>
      <c r="AB375" s="126"/>
      <c r="AC375" s="127"/>
      <c r="AD375" s="127"/>
      <c r="AE375" s="127"/>
      <c r="AF375" s="127"/>
      <c r="AG375" s="125"/>
      <c r="AH375" s="128">
        <f t="shared" ca="1" si="22"/>
        <v>45976</v>
      </c>
      <c r="AI375" s="129" t="s">
        <v>686</v>
      </c>
      <c r="AJ375" s="129"/>
      <c r="AK375" s="129"/>
      <c r="AL375" s="129"/>
      <c r="AM375" s="129"/>
    </row>
    <row r="376" spans="1:39" ht="18" hidden="1" customHeight="1" x14ac:dyDescent="0.25">
      <c r="A376" s="117">
        <v>375</v>
      </c>
      <c r="B376" s="117"/>
      <c r="C376" s="118" t="s">
        <v>1330</v>
      </c>
      <c r="D376" s="146">
        <f t="array" aca="1" ref="D376" ca="1">SUM(--(_xlfn.UNIQUE(_xlfn._xlws.FILTER($M$2:$M$1011 &amp; "", ($C$2:$C$1011 = C376) * ($M$2:$M$1011 &lt;&gt; ""))) &lt;&gt; ""))</f>
        <v>1</v>
      </c>
      <c r="E376" s="166">
        <f t="shared" ca="1" si="20"/>
        <v>2398</v>
      </c>
      <c r="F376" s="143">
        <v>1</v>
      </c>
      <c r="G376" s="143" t="s">
        <v>162</v>
      </c>
      <c r="H376" s="119">
        <f>_xlfn.XLOOKUP(G376,'🚛 FROTA'!B:B,'🚛 FROTA'!A:A,"")</f>
        <v>39</v>
      </c>
      <c r="I376" s="119"/>
      <c r="J376" s="119" t="str">
        <f>IF(G376="","",_xlfn.XLOOKUP(G376,'🚛 FROTA'!B:B,'🚛 FROTA'!E:E,""))</f>
        <v>Express Delivery</v>
      </c>
      <c r="K376" s="119" t="str">
        <f>IF(G376="","",_xlfn.XLOOKUP(G376,'🚛 FROTA'!B:B,'🚛 FROTA'!K:K,""))</f>
        <v>Carroceria Cabinado</v>
      </c>
      <c r="L376" s="143" t="s">
        <v>682</v>
      </c>
      <c r="M376" s="143" t="s">
        <v>1331</v>
      </c>
      <c r="N376" s="145">
        <v>46054</v>
      </c>
      <c r="O376" s="143">
        <v>1</v>
      </c>
      <c r="P376" s="143">
        <v>3</v>
      </c>
      <c r="Q376" s="167">
        <v>799.33</v>
      </c>
      <c r="R376" s="143" t="s">
        <v>554</v>
      </c>
      <c r="S376" s="122" t="s">
        <v>560</v>
      </c>
      <c r="T376" s="120" t="s">
        <v>522</v>
      </c>
      <c r="U376" s="121" t="s">
        <v>555</v>
      </c>
      <c r="V376" s="119" t="s">
        <v>556</v>
      </c>
      <c r="W376" s="119" t="s">
        <v>1332</v>
      </c>
      <c r="X376" s="123" t="s">
        <v>1333</v>
      </c>
      <c r="Y376" s="119" t="s">
        <v>1334</v>
      </c>
      <c r="Z376" s="124">
        <v>86933</v>
      </c>
      <c r="AA376" s="125"/>
      <c r="AB376" s="126"/>
      <c r="AC376" s="127"/>
      <c r="AD376" s="127"/>
      <c r="AE376" s="127"/>
      <c r="AF376" s="127"/>
      <c r="AG376" s="125"/>
      <c r="AH376" s="128">
        <f t="shared" ca="1" si="22"/>
        <v>46024</v>
      </c>
      <c r="AI376" s="129" t="s">
        <v>686</v>
      </c>
      <c r="AJ376" s="129"/>
      <c r="AK376" s="129"/>
      <c r="AL376" s="129"/>
      <c r="AM376" s="129"/>
    </row>
    <row r="377" spans="1:39" ht="18" hidden="1" customHeight="1" x14ac:dyDescent="0.25">
      <c r="A377" s="117">
        <v>376</v>
      </c>
      <c r="B377" s="117"/>
      <c r="C377" s="118" t="s">
        <v>1244</v>
      </c>
      <c r="D377" s="146">
        <f t="array" aca="1" ref="D377" ca="1">SUM(--(_xlfn.UNIQUE(_xlfn._xlws.FILTER($M$2:$M$1011 &amp; "", ($C$2:$C$1011 = C377) * ($M$2:$M$1011 &lt;&gt; ""))) &lt;&gt; ""))</f>
        <v>2</v>
      </c>
      <c r="E377" s="166">
        <f t="shared" ca="1" si="20"/>
        <v>4345.95</v>
      </c>
      <c r="F377" s="143">
        <v>1</v>
      </c>
      <c r="G377" s="143" t="s">
        <v>165</v>
      </c>
      <c r="H377" s="119">
        <f>_xlfn.XLOOKUP(G377,'🚛 FROTA'!B:B,'🚛 FROTA'!A:A,"")</f>
        <v>40</v>
      </c>
      <c r="I377" s="119"/>
      <c r="J377" s="119" t="str">
        <f>IF(G377="","",_xlfn.XLOOKUP(G377,'🚛 FROTA'!B:B,'🚛 FROTA'!E:E,""))</f>
        <v>Express Delivery</v>
      </c>
      <c r="K377" s="119" t="str">
        <f>IF(G377="","",_xlfn.XLOOKUP(G377,'🚛 FROTA'!B:B,'🚛 FROTA'!K:K,""))</f>
        <v>Carroceria Cabinado</v>
      </c>
      <c r="L377" s="143" t="s">
        <v>682</v>
      </c>
      <c r="M377" s="143" t="s">
        <v>1245</v>
      </c>
      <c r="N377" s="145">
        <v>46054</v>
      </c>
      <c r="O377" s="143">
        <v>2</v>
      </c>
      <c r="P377" s="143">
        <v>3</v>
      </c>
      <c r="Q377" s="167">
        <v>826.42</v>
      </c>
      <c r="R377" s="143" t="s">
        <v>554</v>
      </c>
      <c r="S377" s="122" t="s">
        <v>560</v>
      </c>
      <c r="T377" s="120" t="s">
        <v>522</v>
      </c>
      <c r="U377" s="121" t="s">
        <v>555</v>
      </c>
      <c r="V377" s="119" t="s">
        <v>689</v>
      </c>
      <c r="W377" s="119" t="s">
        <v>1221</v>
      </c>
      <c r="X377" s="123" t="s">
        <v>1246</v>
      </c>
      <c r="Y377" s="119" t="s">
        <v>800</v>
      </c>
      <c r="Z377" s="124">
        <v>56000</v>
      </c>
      <c r="AA377" s="125"/>
      <c r="AB377" s="126"/>
      <c r="AC377" s="127"/>
      <c r="AD377" s="127"/>
      <c r="AE377" s="127"/>
      <c r="AF377" s="127"/>
      <c r="AG377" s="125"/>
      <c r="AH377" s="128">
        <f t="shared" ca="1" si="22"/>
        <v>45993</v>
      </c>
      <c r="AI377" s="129" t="s">
        <v>686</v>
      </c>
      <c r="AJ377" s="129"/>
      <c r="AK377" s="129"/>
      <c r="AL377" s="129"/>
      <c r="AM377" s="129"/>
    </row>
    <row r="378" spans="1:39" ht="18" hidden="1" customHeight="1" x14ac:dyDescent="0.25">
      <c r="A378" s="117">
        <v>377</v>
      </c>
      <c r="B378" s="117"/>
      <c r="C378" s="118" t="s">
        <v>1335</v>
      </c>
      <c r="D378" s="146">
        <f t="array" aca="1" ref="D378" ca="1">SUM(--(_xlfn.UNIQUE(_xlfn._xlws.FILTER($M$2:$M$1011 &amp; "", ($C$2:$C$1011 = C378) * ($M$2:$M$1011 &lt;&gt; ""))) &lt;&gt; ""))</f>
        <v>1</v>
      </c>
      <c r="E378" s="166">
        <f t="shared" ca="1" si="20"/>
        <v>559</v>
      </c>
      <c r="F378" s="143">
        <v>1</v>
      </c>
      <c r="G378" s="143" t="s">
        <v>162</v>
      </c>
      <c r="H378" s="119">
        <f>_xlfn.XLOOKUP(G378,'🚛 FROTA'!B:B,'🚛 FROTA'!A:A,"")</f>
        <v>39</v>
      </c>
      <c r="I378" s="119"/>
      <c r="J378" s="119" t="str">
        <f>IF(G378="","",_xlfn.XLOOKUP(G378,'🚛 FROTA'!B:B,'🚛 FROTA'!E:E,""))</f>
        <v>Express Delivery</v>
      </c>
      <c r="K378" s="119" t="str">
        <f>IF(G378="","",_xlfn.XLOOKUP(G378,'🚛 FROTA'!B:B,'🚛 FROTA'!K:K,""))</f>
        <v>Carroceria Cabinado</v>
      </c>
      <c r="L378" s="143" t="s">
        <v>682</v>
      </c>
      <c r="M378" s="143" t="s">
        <v>1336</v>
      </c>
      <c r="N378" s="145">
        <v>46055</v>
      </c>
      <c r="O378" s="143">
        <v>1</v>
      </c>
      <c r="P378" s="143">
        <v>1</v>
      </c>
      <c r="Q378" s="167">
        <v>559</v>
      </c>
      <c r="R378" s="143" t="s">
        <v>554</v>
      </c>
      <c r="S378" s="122" t="s">
        <v>560</v>
      </c>
      <c r="T378" s="120" t="s">
        <v>522</v>
      </c>
      <c r="U378" s="121" t="s">
        <v>555</v>
      </c>
      <c r="V378" s="119" t="s">
        <v>619</v>
      </c>
      <c r="W378" s="119" t="s">
        <v>1337</v>
      </c>
      <c r="X378" s="123" t="s">
        <v>1338</v>
      </c>
      <c r="Y378" s="119"/>
      <c r="Z378" s="124">
        <v>86933</v>
      </c>
      <c r="AA378" s="125"/>
      <c r="AB378" s="126"/>
      <c r="AC378" s="127"/>
      <c r="AD378" s="127"/>
      <c r="AE378" s="127"/>
      <c r="AF378" s="127"/>
      <c r="AG378" s="125"/>
      <c r="AH378" s="128">
        <f t="shared" ca="1" si="22"/>
        <v>46025</v>
      </c>
      <c r="AI378" s="129" t="s">
        <v>686</v>
      </c>
      <c r="AJ378" s="129"/>
      <c r="AK378" s="129"/>
      <c r="AL378" s="129"/>
      <c r="AM378" s="129"/>
    </row>
    <row r="379" spans="1:39" ht="18" customHeight="1" x14ac:dyDescent="0.25">
      <c r="A379" s="117">
        <v>378</v>
      </c>
      <c r="B379" s="117"/>
      <c r="C379" s="118" t="s">
        <v>1301</v>
      </c>
      <c r="D379" s="146">
        <f t="array" aca="1" ref="D379" ca="1">SUM(--(_xlfn.UNIQUE(_xlfn._xlws.FILTER($M$2:$M$1011 &amp; "", ($C$2:$C$1011 = C379) * ($M$2:$M$1011 &lt;&gt; ""))) &lt;&gt; ""))</f>
        <v>1</v>
      </c>
      <c r="E379" s="166">
        <f t="shared" ca="1" si="20"/>
        <v>4600</v>
      </c>
      <c r="F379" s="143">
        <v>1</v>
      </c>
      <c r="G379" s="143" t="s">
        <v>166</v>
      </c>
      <c r="H379" s="119">
        <f>_xlfn.XLOOKUP(G379,'🚛 FROTA'!B:B,'🚛 FROTA'!A:A,"")</f>
        <v>41</v>
      </c>
      <c r="I379" s="119"/>
      <c r="J379" s="119" t="str">
        <f>IF(G379="","",_xlfn.XLOOKUP(G379,'🚛 FROTA'!B:B,'🚛 FROTA'!E:E,""))</f>
        <v>Express Delivery</v>
      </c>
      <c r="K379" s="119" t="str">
        <f>IF(G379="","",_xlfn.XLOOKUP(G379,'🚛 FROTA'!B:B,'🚛 FROTA'!K:K,""))</f>
        <v>Carroceria Cabinado</v>
      </c>
      <c r="L379" s="143" t="s">
        <v>703</v>
      </c>
      <c r="M379" s="143" t="s">
        <v>1302</v>
      </c>
      <c r="N379" s="145">
        <v>46062</v>
      </c>
      <c r="O379" s="143">
        <v>2</v>
      </c>
      <c r="P379" s="143">
        <v>4</v>
      </c>
      <c r="Q379" s="167">
        <v>1150</v>
      </c>
      <c r="R379" s="143" t="s">
        <v>554</v>
      </c>
      <c r="S379" s="122" t="s">
        <v>560</v>
      </c>
      <c r="T379" s="120" t="s">
        <v>522</v>
      </c>
      <c r="U379" s="121" t="s">
        <v>555</v>
      </c>
      <c r="V379" s="119" t="s">
        <v>573</v>
      </c>
      <c r="W379" s="119" t="s">
        <v>574</v>
      </c>
      <c r="X379" s="123" t="s">
        <v>1303</v>
      </c>
      <c r="Y379" s="119" t="s">
        <v>753</v>
      </c>
      <c r="Z379" s="124">
        <v>85050</v>
      </c>
      <c r="AA379" s="134" t="s">
        <v>759</v>
      </c>
      <c r="AB379" s="122">
        <v>4</v>
      </c>
      <c r="AC379" s="131" t="s">
        <v>578</v>
      </c>
      <c r="AD379" s="131" t="s">
        <v>709</v>
      </c>
      <c r="AE379" s="131" t="s">
        <v>713</v>
      </c>
      <c r="AF379" s="131" t="s">
        <v>581</v>
      </c>
      <c r="AG379" s="125" t="s">
        <v>582</v>
      </c>
      <c r="AH379" s="128">
        <f t="shared" ca="1" si="22"/>
        <v>46001</v>
      </c>
      <c r="AI379" s="129"/>
      <c r="AJ379" s="129"/>
      <c r="AK379" s="129"/>
      <c r="AL379" s="129"/>
      <c r="AM379" s="129"/>
    </row>
    <row r="380" spans="1:39" ht="18" hidden="1" customHeight="1" x14ac:dyDescent="0.25">
      <c r="A380" s="117">
        <v>379</v>
      </c>
      <c r="B380" s="117"/>
      <c r="C380" s="118" t="s">
        <v>1339</v>
      </c>
      <c r="D380" s="146">
        <f t="array" aca="1" ref="D380" ca="1">SUM(--(_xlfn.UNIQUE(_xlfn._xlws.FILTER($M$2:$M$1011 &amp; "", ($C$2:$C$1011 = C380) * ($M$2:$M$1011 &lt;&gt; ""))) &lt;&gt; ""))</f>
        <v>2</v>
      </c>
      <c r="E380" s="166">
        <f t="shared" ca="1" si="20"/>
        <v>970</v>
      </c>
      <c r="F380" s="143">
        <v>3</v>
      </c>
      <c r="G380" s="143" t="s">
        <v>162</v>
      </c>
      <c r="H380" s="119">
        <f>_xlfn.XLOOKUP(G380,'🚛 FROTA'!B:B,'🚛 FROTA'!A:A,"")</f>
        <v>39</v>
      </c>
      <c r="I380" s="119"/>
      <c r="J380" s="119" t="str">
        <f>IF(G380="","",_xlfn.XLOOKUP(G380,'🚛 FROTA'!B:B,'🚛 FROTA'!E:E,""))</f>
        <v>Express Delivery</v>
      </c>
      <c r="K380" s="119" t="str">
        <f>IF(G380="","",_xlfn.XLOOKUP(G380,'🚛 FROTA'!B:B,'🚛 FROTA'!K:K,""))</f>
        <v>Carroceria Cabinado</v>
      </c>
      <c r="L380" s="143" t="s">
        <v>1340</v>
      </c>
      <c r="M380" s="143" t="s">
        <v>1341</v>
      </c>
      <c r="N380" s="145">
        <v>46009</v>
      </c>
      <c r="O380" s="143">
        <v>1</v>
      </c>
      <c r="P380" s="143">
        <v>1</v>
      </c>
      <c r="Q380" s="167">
        <v>430</v>
      </c>
      <c r="R380" s="143" t="s">
        <v>651</v>
      </c>
      <c r="S380" s="122" t="s">
        <v>534</v>
      </c>
      <c r="T380" s="120" t="s">
        <v>522</v>
      </c>
      <c r="U380" s="121" t="s">
        <v>555</v>
      </c>
      <c r="V380" s="119" t="s">
        <v>670</v>
      </c>
      <c r="W380" s="119" t="s">
        <v>1342</v>
      </c>
      <c r="X380" s="123" t="s">
        <v>1343</v>
      </c>
      <c r="Y380" s="119"/>
      <c r="Z380" s="124">
        <v>86513</v>
      </c>
      <c r="AA380" s="125"/>
      <c r="AB380" s="126"/>
      <c r="AC380" s="127"/>
      <c r="AD380" s="127"/>
      <c r="AE380" s="127"/>
      <c r="AF380" s="127"/>
      <c r="AG380" s="125"/>
      <c r="AH380" s="128">
        <f>IF(OR(R380="A Vista", R380="Crédito", R380="Adiantamento"), N380, IF(R380="Faturado", _xlfn.MINIFS(N:N, C:C, C380)-30, ""))</f>
        <v>46009</v>
      </c>
      <c r="AI380" s="129"/>
      <c r="AJ380" s="129"/>
      <c r="AK380" s="129"/>
      <c r="AL380" s="129"/>
      <c r="AM380" s="129"/>
    </row>
    <row r="381" spans="1:39" ht="18" hidden="1" customHeight="1" x14ac:dyDescent="0.25">
      <c r="A381" s="117">
        <v>380</v>
      </c>
      <c r="B381" s="117"/>
      <c r="C381" s="118" t="s">
        <v>1247</v>
      </c>
      <c r="D381" s="146">
        <f t="array" aca="1" ref="D381" ca="1">SUM(--(_xlfn.UNIQUE(_xlfn._xlws.FILTER($M$2:$M$1011 &amp; "", ($C$2:$C$1011 = C381) * ($M$2:$M$1011 &lt;&gt; ""))) &lt;&gt; ""))</f>
        <v>1</v>
      </c>
      <c r="E381" s="166">
        <f t="shared" ca="1" si="20"/>
        <v>1138</v>
      </c>
      <c r="F381" s="143">
        <v>3</v>
      </c>
      <c r="G381" s="143" t="s">
        <v>169</v>
      </c>
      <c r="H381" s="119">
        <f>_xlfn.XLOOKUP(G381,'🚛 FROTA'!B:B,'🚛 FROTA'!A:A,"")</f>
        <v>43</v>
      </c>
      <c r="I381" s="119"/>
      <c r="J381" s="119" t="str">
        <f>IF(G381="","",_xlfn.XLOOKUP(G381,'🚛 FROTA'!B:B,'🚛 FROTA'!E:E,""))</f>
        <v>Express Delivery</v>
      </c>
      <c r="K381" s="119" t="str">
        <f>IF(G381="","",_xlfn.XLOOKUP(G381,'🚛 FROTA'!B:B,'🚛 FROTA'!K:K,""))</f>
        <v>Carroceria</v>
      </c>
      <c r="L381" s="143" t="s">
        <v>552</v>
      </c>
      <c r="M381" s="143" t="s">
        <v>1248</v>
      </c>
      <c r="N381" s="145">
        <v>46057</v>
      </c>
      <c r="O381" s="143">
        <v>2</v>
      </c>
      <c r="P381" s="143">
        <v>3</v>
      </c>
      <c r="Q381" s="167">
        <v>379.33</v>
      </c>
      <c r="R381" s="143" t="s">
        <v>554</v>
      </c>
      <c r="S381" s="122" t="s">
        <v>534</v>
      </c>
      <c r="T381" s="120" t="s">
        <v>522</v>
      </c>
      <c r="U381" s="121" t="s">
        <v>555</v>
      </c>
      <c r="V381" s="119" t="s">
        <v>556</v>
      </c>
      <c r="W381" s="119" t="s">
        <v>699</v>
      </c>
      <c r="X381" s="123" t="s">
        <v>1249</v>
      </c>
      <c r="Y381" s="119"/>
      <c r="Z381" s="124">
        <v>61578</v>
      </c>
      <c r="AA381" s="125"/>
      <c r="AB381" s="126"/>
      <c r="AC381" s="127"/>
      <c r="AD381" s="127"/>
      <c r="AE381" s="127"/>
      <c r="AF381" s="127"/>
      <c r="AG381" s="125"/>
      <c r="AH381" s="128">
        <f t="shared" ref="AH381:AH393" ca="1" si="23">IF(OR(R381="A VISTA", R381="C. CRÉDITO", R381="ADIANTAMENTO"), N381, IF(R381="Faturado", _xlfn.MINIFS(N:N, C:C, C381)-30, ""))</f>
        <v>45997</v>
      </c>
      <c r="AI381" s="129" t="s">
        <v>559</v>
      </c>
      <c r="AJ381" s="129"/>
      <c r="AK381" s="129"/>
      <c r="AL381" s="129"/>
      <c r="AM381" s="129"/>
    </row>
    <row r="382" spans="1:39" ht="18" hidden="1" customHeight="1" x14ac:dyDescent="0.25">
      <c r="A382" s="117">
        <v>381</v>
      </c>
      <c r="B382" s="117"/>
      <c r="C382" s="118" t="s">
        <v>1261</v>
      </c>
      <c r="D382" s="146">
        <f t="array" aca="1" ref="D382" ca="1">SUM(--(_xlfn.UNIQUE(_xlfn._xlws.FILTER($M$2:$M$1011 &amp; "", ($C$2:$C$1011 = C382) * ($M$2:$M$1011 &lt;&gt; ""))) &lt;&gt; ""))</f>
        <v>1</v>
      </c>
      <c r="E382" s="166">
        <f t="shared" ca="1" si="20"/>
        <v>2040</v>
      </c>
      <c r="F382" s="143">
        <v>3</v>
      </c>
      <c r="G382" s="143" t="s">
        <v>155</v>
      </c>
      <c r="H382" s="119">
        <f>_xlfn.XLOOKUP(G382,'🚛 FROTA'!B:B,'🚛 FROTA'!A:A,"")</f>
        <v>34</v>
      </c>
      <c r="I382" s="119"/>
      <c r="J382" s="119" t="str">
        <f>IF(G382="","",_xlfn.XLOOKUP(G382,'🚛 FROTA'!B:B,'🚛 FROTA'!E:E,""))</f>
        <v>9.170 Delivery</v>
      </c>
      <c r="K382" s="119" t="str">
        <f>IF(G382="","",_xlfn.XLOOKUP(G382,'🚛 FROTA'!B:B,'🚛 FROTA'!K:K,""))</f>
        <v>Basculante</v>
      </c>
      <c r="L382" s="143" t="s">
        <v>552</v>
      </c>
      <c r="M382" s="143" t="s">
        <v>1262</v>
      </c>
      <c r="N382" s="145">
        <v>46057</v>
      </c>
      <c r="O382" s="143">
        <v>2</v>
      </c>
      <c r="P382" s="143">
        <v>3</v>
      </c>
      <c r="Q382" s="167">
        <v>680</v>
      </c>
      <c r="R382" s="143" t="s">
        <v>554</v>
      </c>
      <c r="S382" s="122" t="s">
        <v>534</v>
      </c>
      <c r="T382" s="120" t="s">
        <v>522</v>
      </c>
      <c r="U382" s="121" t="s">
        <v>555</v>
      </c>
      <c r="V382" s="119" t="s">
        <v>568</v>
      </c>
      <c r="W382" s="119" t="s">
        <v>1263</v>
      </c>
      <c r="X382" s="123" t="s">
        <v>1264</v>
      </c>
      <c r="Y382" s="119"/>
      <c r="Z382" s="124">
        <v>80967</v>
      </c>
      <c r="AA382" s="125"/>
      <c r="AB382" s="126"/>
      <c r="AC382" s="127"/>
      <c r="AD382" s="127"/>
      <c r="AE382" s="127"/>
      <c r="AF382" s="127"/>
      <c r="AG382" s="125"/>
      <c r="AH382" s="128">
        <f t="shared" ca="1" si="23"/>
        <v>45997</v>
      </c>
      <c r="AI382" s="129" t="s">
        <v>559</v>
      </c>
      <c r="AJ382" s="129"/>
      <c r="AK382" s="129"/>
      <c r="AL382" s="129"/>
      <c r="AM382" s="129"/>
    </row>
    <row r="383" spans="1:39" ht="18" hidden="1" customHeight="1" x14ac:dyDescent="0.25">
      <c r="A383" s="117">
        <v>382</v>
      </c>
      <c r="B383" s="117"/>
      <c r="C383" s="118" t="s">
        <v>1344</v>
      </c>
      <c r="D383" s="146">
        <f t="array" aca="1" ref="D383" ca="1">SUM(--(_xlfn.UNIQUE(_xlfn._xlws.FILTER($M$2:$M$1011 &amp; "", ($C$2:$C$1011 = C383) * ($M$2:$M$1011 &lt;&gt; ""))) &lt;&gt; ""))</f>
        <v>1</v>
      </c>
      <c r="E383" s="166">
        <f t="shared" ca="1" si="20"/>
        <v>3013.3500000000004</v>
      </c>
      <c r="F383" s="143">
        <v>1</v>
      </c>
      <c r="G383" s="143" t="s">
        <v>165</v>
      </c>
      <c r="H383" s="119">
        <f>_xlfn.XLOOKUP(G383,'🚛 FROTA'!B:B,'🚛 FROTA'!A:A,"")</f>
        <v>40</v>
      </c>
      <c r="I383" s="119"/>
      <c r="J383" s="119" t="str">
        <f>IF(G383="","",_xlfn.XLOOKUP(G383,'🚛 FROTA'!B:B,'🚛 FROTA'!E:E,""))</f>
        <v>Express Delivery</v>
      </c>
      <c r="K383" s="119" t="str">
        <f>IF(G383="","",_xlfn.XLOOKUP(G383,'🚛 FROTA'!B:B,'🚛 FROTA'!K:K,""))</f>
        <v>Carroceria Cabinado</v>
      </c>
      <c r="L383" s="143" t="s">
        <v>682</v>
      </c>
      <c r="M383" s="143" t="s">
        <v>1345</v>
      </c>
      <c r="N383" s="145">
        <v>46058</v>
      </c>
      <c r="O383" s="143">
        <v>1</v>
      </c>
      <c r="P383" s="143">
        <v>3</v>
      </c>
      <c r="Q383" s="167">
        <v>1004.45</v>
      </c>
      <c r="R383" s="143" t="s">
        <v>554</v>
      </c>
      <c r="S383" s="122" t="s">
        <v>560</v>
      </c>
      <c r="T383" s="120" t="s">
        <v>522</v>
      </c>
      <c r="U383" s="121" t="s">
        <v>555</v>
      </c>
      <c r="V383" s="119" t="s">
        <v>556</v>
      </c>
      <c r="W383" s="119" t="s">
        <v>1346</v>
      </c>
      <c r="X383" s="123" t="s">
        <v>1347</v>
      </c>
      <c r="Y383" s="119" t="s">
        <v>1348</v>
      </c>
      <c r="Z383" s="130"/>
      <c r="AA383" s="125"/>
      <c r="AB383" s="126"/>
      <c r="AC383" s="127"/>
      <c r="AD383" s="127"/>
      <c r="AE383" s="127"/>
      <c r="AF383" s="127"/>
      <c r="AG383" s="125"/>
      <c r="AH383" s="128">
        <f t="shared" ca="1" si="23"/>
        <v>46028</v>
      </c>
      <c r="AI383" s="129" t="s">
        <v>686</v>
      </c>
      <c r="AJ383" s="129"/>
      <c r="AK383" s="129"/>
      <c r="AL383" s="129"/>
      <c r="AM383" s="129"/>
    </row>
    <row r="384" spans="1:39" ht="18" customHeight="1" x14ac:dyDescent="0.25">
      <c r="A384" s="117">
        <v>383</v>
      </c>
      <c r="B384" s="117"/>
      <c r="C384" s="118" t="s">
        <v>1349</v>
      </c>
      <c r="D384" s="146">
        <f t="array" aca="1" ref="D384" ca="1">SUM(--(_xlfn.UNIQUE(_xlfn._xlws.FILTER($M$2:$M$1011 &amp; "", ($C$2:$C$1011 = C384) * ($M$2:$M$1011 &lt;&gt; ""))) &lt;&gt; ""))</f>
        <v>1</v>
      </c>
      <c r="E384" s="166">
        <f t="shared" ca="1" si="20"/>
        <v>3164</v>
      </c>
      <c r="F384" s="143">
        <v>1</v>
      </c>
      <c r="G384" s="143" t="s">
        <v>128</v>
      </c>
      <c r="H384" s="119">
        <f>_xlfn.XLOOKUP(G384,'🚛 FROTA'!B:B,'🚛 FROTA'!A:A,"")</f>
        <v>20</v>
      </c>
      <c r="I384" s="119"/>
      <c r="J384" s="119" t="str">
        <f>IF(G384="","",_xlfn.XLOOKUP(G384,'🚛 FROTA'!B:B,'🚛 FROTA'!E:E,""))</f>
        <v>3CX</v>
      </c>
      <c r="K384" s="119"/>
      <c r="L384" s="143" t="s">
        <v>1350</v>
      </c>
      <c r="M384" s="143">
        <v>195177</v>
      </c>
      <c r="N384" s="145">
        <v>46059</v>
      </c>
      <c r="O384" s="143">
        <v>1</v>
      </c>
      <c r="P384" s="143">
        <v>4</v>
      </c>
      <c r="Q384" s="167">
        <v>791</v>
      </c>
      <c r="R384" s="143" t="s">
        <v>554</v>
      </c>
      <c r="S384" s="122" t="s">
        <v>560</v>
      </c>
      <c r="T384" s="120" t="s">
        <v>522</v>
      </c>
      <c r="U384" s="121" t="s">
        <v>555</v>
      </c>
      <c r="V384" s="119" t="s">
        <v>573</v>
      </c>
      <c r="W384" s="119" t="s">
        <v>574</v>
      </c>
      <c r="X384" s="123" t="s">
        <v>1351</v>
      </c>
      <c r="Y384" s="119" t="s">
        <v>576</v>
      </c>
      <c r="Z384" s="124"/>
      <c r="AA384" s="122" t="s">
        <v>577</v>
      </c>
      <c r="AB384" s="122">
        <v>2</v>
      </c>
      <c r="AC384" s="131" t="s">
        <v>613</v>
      </c>
      <c r="AD384" s="131" t="s">
        <v>1352</v>
      </c>
      <c r="AE384" s="131" t="s">
        <v>1353</v>
      </c>
      <c r="AF384" s="131" t="s">
        <v>581</v>
      </c>
      <c r="AG384" s="125" t="s">
        <v>582</v>
      </c>
      <c r="AH384" s="128">
        <f t="shared" ca="1" si="23"/>
        <v>46029</v>
      </c>
      <c r="AI384" s="129" t="s">
        <v>1354</v>
      </c>
      <c r="AJ384" s="129"/>
      <c r="AK384" s="129"/>
      <c r="AL384" s="129"/>
      <c r="AM384" s="129"/>
    </row>
    <row r="385" spans="1:39" ht="18" hidden="1" customHeight="1" x14ac:dyDescent="0.25">
      <c r="A385" s="117">
        <v>384</v>
      </c>
      <c r="B385" s="117"/>
      <c r="C385" s="118" t="s">
        <v>1339</v>
      </c>
      <c r="D385" s="146">
        <f t="array" aca="1" ref="D385" ca="1">SUM(--(_xlfn.UNIQUE(_xlfn._xlws.FILTER($M$2:$M$1011 &amp; "", ($C$2:$C$1011 = C385) * ($M$2:$M$1011 &lt;&gt; ""))) &lt;&gt; ""))</f>
        <v>2</v>
      </c>
      <c r="E385" s="166">
        <f t="shared" ca="1" si="20"/>
        <v>970</v>
      </c>
      <c r="F385" s="143">
        <v>3</v>
      </c>
      <c r="G385" s="143" t="s">
        <v>162</v>
      </c>
      <c r="H385" s="119">
        <f>_xlfn.XLOOKUP(G385,'🚛 FROTA'!B:B,'🚛 FROTA'!A:A,"")</f>
        <v>39</v>
      </c>
      <c r="I385" s="119"/>
      <c r="J385" s="119" t="str">
        <f>IF(G385="","",_xlfn.XLOOKUP(G385,'🚛 FROTA'!B:B,'🚛 FROTA'!E:E,""))</f>
        <v>Express Delivery</v>
      </c>
      <c r="K385" s="119" t="str">
        <f>IF(G385="","",_xlfn.XLOOKUP(G385,'🚛 FROTA'!B:B,'🚛 FROTA'!K:K,""))</f>
        <v>Carroceria Cabinado</v>
      </c>
      <c r="L385" s="143" t="s">
        <v>1281</v>
      </c>
      <c r="M385" s="143" t="s">
        <v>1282</v>
      </c>
      <c r="N385" s="145">
        <v>46027</v>
      </c>
      <c r="O385" s="143">
        <v>1</v>
      </c>
      <c r="P385" s="143">
        <v>1</v>
      </c>
      <c r="Q385" s="167">
        <v>540</v>
      </c>
      <c r="R385" s="143" t="s">
        <v>554</v>
      </c>
      <c r="S385" s="122" t="s">
        <v>560</v>
      </c>
      <c r="T385" s="120" t="s">
        <v>522</v>
      </c>
      <c r="U385" s="121" t="s">
        <v>555</v>
      </c>
      <c r="V385" s="119" t="s">
        <v>670</v>
      </c>
      <c r="W385" s="119" t="s">
        <v>1098</v>
      </c>
      <c r="X385" s="123" t="s">
        <v>1098</v>
      </c>
      <c r="Y385" s="119"/>
      <c r="Z385" s="124">
        <v>86471</v>
      </c>
      <c r="AA385" s="125"/>
      <c r="AB385" s="126"/>
      <c r="AC385" s="127"/>
      <c r="AD385" s="127"/>
      <c r="AE385" s="127"/>
      <c r="AF385" s="127"/>
      <c r="AG385" s="125"/>
      <c r="AH385" s="128">
        <f t="shared" ca="1" si="23"/>
        <v>45979</v>
      </c>
      <c r="AI385" s="129"/>
      <c r="AJ385" s="129"/>
      <c r="AK385" s="129"/>
      <c r="AL385" s="129"/>
      <c r="AM385" s="129"/>
    </row>
    <row r="386" spans="1:39" ht="18" hidden="1" customHeight="1" x14ac:dyDescent="0.25">
      <c r="A386" s="117">
        <v>385</v>
      </c>
      <c r="B386" s="117"/>
      <c r="C386" s="118" t="s">
        <v>1355</v>
      </c>
      <c r="D386" s="146">
        <f t="array" aca="1" ref="D386" ca="1">SUM(--(_xlfn.UNIQUE(_xlfn._xlws.FILTER($M$2:$M$1011 &amp; "", ($C$2:$C$1011 = C386) * ($M$2:$M$1011 &lt;&gt; ""))) &lt;&gt; ""))</f>
        <v>1</v>
      </c>
      <c r="E386" s="166">
        <f t="shared" ref="E386:E449" ca="1" si="24">SUMIF(C:C, C386, Q:Q)</f>
        <v>2200</v>
      </c>
      <c r="F386" s="143">
        <v>3</v>
      </c>
      <c r="G386" s="143" t="s">
        <v>166</v>
      </c>
      <c r="H386" s="119">
        <f>_xlfn.XLOOKUP(G386,'🚛 FROTA'!B:B,'🚛 FROTA'!A:A,"")</f>
        <v>41</v>
      </c>
      <c r="I386" s="119"/>
      <c r="J386" s="119" t="str">
        <f>IF(G386="","",_xlfn.XLOOKUP(G386,'🚛 FROTA'!B:B,'🚛 FROTA'!E:E,""))</f>
        <v>Express Delivery</v>
      </c>
      <c r="K386" s="119" t="str">
        <f>IF(G386="","",_xlfn.XLOOKUP(G386,'🚛 FROTA'!B:B,'🚛 FROTA'!K:K,""))</f>
        <v>Carroceria Cabinado</v>
      </c>
      <c r="L386" s="143" t="s">
        <v>876</v>
      </c>
      <c r="M386" s="143" t="s">
        <v>1356</v>
      </c>
      <c r="N386" s="145">
        <v>46077</v>
      </c>
      <c r="O386" s="143">
        <v>1</v>
      </c>
      <c r="P386" s="143">
        <v>2</v>
      </c>
      <c r="Q386" s="167">
        <v>1800</v>
      </c>
      <c r="R386" s="143" t="s">
        <v>554</v>
      </c>
      <c r="S386" s="122" t="s">
        <v>534</v>
      </c>
      <c r="T386" s="120" t="s">
        <v>522</v>
      </c>
      <c r="U386" s="121" t="s">
        <v>555</v>
      </c>
      <c r="V386" s="119" t="s">
        <v>670</v>
      </c>
      <c r="W386" s="119" t="s">
        <v>1357</v>
      </c>
      <c r="X386" s="123" t="s">
        <v>1358</v>
      </c>
      <c r="Y386" s="119"/>
      <c r="Z386" s="124">
        <v>89924</v>
      </c>
      <c r="AA386" s="125"/>
      <c r="AB386" s="126"/>
      <c r="AC386" s="127"/>
      <c r="AD386" s="127"/>
      <c r="AE386" s="127"/>
      <c r="AF386" s="127"/>
      <c r="AG386" s="125"/>
      <c r="AH386" s="128">
        <f t="shared" ca="1" si="23"/>
        <v>46047</v>
      </c>
      <c r="AI386" s="129" t="s">
        <v>880</v>
      </c>
      <c r="AJ386" s="129"/>
      <c r="AK386" s="129"/>
      <c r="AL386" s="129"/>
      <c r="AM386" s="129"/>
    </row>
    <row r="387" spans="1:39" ht="18" hidden="1" customHeight="1" x14ac:dyDescent="0.25">
      <c r="A387" s="117">
        <v>386</v>
      </c>
      <c r="B387" s="117"/>
      <c r="C387" s="118" t="s">
        <v>1294</v>
      </c>
      <c r="D387" s="146">
        <f t="array" aca="1" ref="D387" ca="1">SUM(--(_xlfn.UNIQUE(_xlfn._xlws.FILTER($M$2:$M$1011 &amp; "", ($C$2:$C$1011 = C387) * ($M$2:$M$1011 &lt;&gt; ""))) &lt;&gt; ""))</f>
        <v>1</v>
      </c>
      <c r="E387" s="166">
        <f t="shared" ca="1" si="24"/>
        <v>587.74</v>
      </c>
      <c r="F387" s="143">
        <v>1</v>
      </c>
      <c r="G387" s="143" t="s">
        <v>162</v>
      </c>
      <c r="H387" s="119">
        <f>_xlfn.XLOOKUP(G387,'🚛 FROTA'!B:B,'🚛 FROTA'!A:A,"")</f>
        <v>39</v>
      </c>
      <c r="I387" s="119"/>
      <c r="J387" s="119" t="str">
        <f>IF(G387="","",_xlfn.XLOOKUP(G387,'🚛 FROTA'!B:B,'🚛 FROTA'!E:E,""))</f>
        <v>Express Delivery</v>
      </c>
      <c r="K387" s="119" t="str">
        <f>IF(G387="","",_xlfn.XLOOKUP(G387,'🚛 FROTA'!B:B,'🚛 FROTA'!K:K,""))</f>
        <v>Carroceria Cabinado</v>
      </c>
      <c r="L387" s="143" t="s">
        <v>682</v>
      </c>
      <c r="M387" s="143" t="s">
        <v>1295</v>
      </c>
      <c r="N387" s="145">
        <v>46062</v>
      </c>
      <c r="O387" s="143">
        <v>2</v>
      </c>
      <c r="P387" s="143">
        <v>2</v>
      </c>
      <c r="Q387" s="167">
        <v>293.87</v>
      </c>
      <c r="R387" s="143" t="s">
        <v>554</v>
      </c>
      <c r="S387" s="122" t="s">
        <v>560</v>
      </c>
      <c r="T387" s="120" t="s">
        <v>522</v>
      </c>
      <c r="U387" s="121" t="s">
        <v>555</v>
      </c>
      <c r="V387" s="119" t="s">
        <v>689</v>
      </c>
      <c r="W387" s="119" t="s">
        <v>1296</v>
      </c>
      <c r="X387" s="123" t="s">
        <v>1297</v>
      </c>
      <c r="Y387" s="119"/>
      <c r="Z387" s="124">
        <v>86471</v>
      </c>
      <c r="AA387" s="125"/>
      <c r="AB387" s="126"/>
      <c r="AC387" s="127"/>
      <c r="AD387" s="127"/>
      <c r="AE387" s="127"/>
      <c r="AF387" s="127"/>
      <c r="AG387" s="125"/>
      <c r="AH387" s="128">
        <f t="shared" ca="1" si="23"/>
        <v>46006</v>
      </c>
      <c r="AI387" s="129" t="s">
        <v>686</v>
      </c>
      <c r="AJ387" s="129"/>
      <c r="AK387" s="129"/>
      <c r="AL387" s="129"/>
      <c r="AM387" s="129"/>
    </row>
    <row r="388" spans="1:39" ht="18" hidden="1" customHeight="1" x14ac:dyDescent="0.25">
      <c r="A388" s="117">
        <v>387</v>
      </c>
      <c r="B388" s="117"/>
      <c r="C388" s="118" t="s">
        <v>1298</v>
      </c>
      <c r="D388" s="146">
        <f t="array" aca="1" ref="D388" ca="1">SUM(--(_xlfn.UNIQUE(_xlfn._xlws.FILTER($M$2:$M$1011 &amp; "", ($C$2:$C$1011 = C388) * ($M$2:$M$1011 &lt;&gt; ""))) &lt;&gt; ""))</f>
        <v>1</v>
      </c>
      <c r="E388" s="166">
        <f t="shared" ca="1" si="24"/>
        <v>687.44</v>
      </c>
      <c r="F388" s="143">
        <v>1</v>
      </c>
      <c r="G388" s="143" t="s">
        <v>162</v>
      </c>
      <c r="H388" s="119">
        <f>_xlfn.XLOOKUP(G388,'🚛 FROTA'!B:B,'🚛 FROTA'!A:A,"")</f>
        <v>39</v>
      </c>
      <c r="I388" s="119"/>
      <c r="J388" s="119" t="str">
        <f>IF(G388="","",_xlfn.XLOOKUP(G388,'🚛 FROTA'!B:B,'🚛 FROTA'!E:E,""))</f>
        <v>Express Delivery</v>
      </c>
      <c r="K388" s="119" t="str">
        <f>IF(G388="","",_xlfn.XLOOKUP(G388,'🚛 FROTA'!B:B,'🚛 FROTA'!K:K,""))</f>
        <v>Carroceria Cabinado</v>
      </c>
      <c r="L388" s="143" t="s">
        <v>682</v>
      </c>
      <c r="M388" s="143" t="s">
        <v>1295</v>
      </c>
      <c r="N388" s="145">
        <v>46062</v>
      </c>
      <c r="O388" s="143">
        <v>2</v>
      </c>
      <c r="P388" s="143">
        <v>2</v>
      </c>
      <c r="Q388" s="167">
        <v>343.72</v>
      </c>
      <c r="R388" s="143" t="s">
        <v>554</v>
      </c>
      <c r="S388" s="122" t="s">
        <v>560</v>
      </c>
      <c r="T388" s="120" t="s">
        <v>522</v>
      </c>
      <c r="U388" s="121" t="s">
        <v>555</v>
      </c>
      <c r="V388" s="119" t="s">
        <v>568</v>
      </c>
      <c r="W388" s="119" t="s">
        <v>1299</v>
      </c>
      <c r="X388" s="123" t="s">
        <v>1300</v>
      </c>
      <c r="Y388" s="119" t="s">
        <v>800</v>
      </c>
      <c r="Z388" s="124">
        <v>86471</v>
      </c>
      <c r="AA388" s="125"/>
      <c r="AB388" s="126"/>
      <c r="AC388" s="127"/>
      <c r="AD388" s="127"/>
      <c r="AE388" s="127"/>
      <c r="AF388" s="127"/>
      <c r="AG388" s="125"/>
      <c r="AH388" s="128">
        <f t="shared" ca="1" si="23"/>
        <v>46006</v>
      </c>
      <c r="AI388" s="129" t="s">
        <v>686</v>
      </c>
      <c r="AJ388" s="129"/>
      <c r="AK388" s="129"/>
      <c r="AL388" s="129"/>
      <c r="AM388" s="129"/>
    </row>
    <row r="389" spans="1:39" ht="18" customHeight="1" x14ac:dyDescent="0.25">
      <c r="A389" s="117">
        <v>388</v>
      </c>
      <c r="B389" s="117"/>
      <c r="C389" s="118" t="s">
        <v>1283</v>
      </c>
      <c r="D389" s="146">
        <f t="array" aca="1" ref="D389" ca="1">SUM(--(_xlfn.UNIQUE(_xlfn._xlws.FILTER($M$2:$M$1011 &amp; "", ($C$2:$C$1011 = C389) * ($M$2:$M$1011 &lt;&gt; ""))) &lt;&gt; ""))</f>
        <v>1</v>
      </c>
      <c r="E389" s="166">
        <f t="shared" ca="1" si="24"/>
        <v>1504</v>
      </c>
      <c r="F389" s="143">
        <v>1</v>
      </c>
      <c r="G389" s="143" t="s">
        <v>170</v>
      </c>
      <c r="H389" s="119">
        <f>_xlfn.XLOOKUP(G389,'🚛 FROTA'!B:B,'🚛 FROTA'!A:A,"")</f>
        <v>44</v>
      </c>
      <c r="I389" s="119"/>
      <c r="J389" s="119" t="str">
        <f>IF(G389="","",_xlfn.XLOOKUP(G389,'🚛 FROTA'!B:B,'🚛 FROTA'!E:E,""))</f>
        <v>Express Delivery</v>
      </c>
      <c r="K389" s="119" t="str">
        <f>IF(G389="","",_xlfn.XLOOKUP(G389,'🚛 FROTA'!B:B,'🚛 FROTA'!K:K,""))</f>
        <v>Carroceria</v>
      </c>
      <c r="L389" s="143" t="s">
        <v>604</v>
      </c>
      <c r="M389" s="143" t="s">
        <v>1284</v>
      </c>
      <c r="N389" s="145">
        <v>46062</v>
      </c>
      <c r="O389" s="143">
        <v>2</v>
      </c>
      <c r="P389" s="143">
        <v>4</v>
      </c>
      <c r="Q389" s="167">
        <v>376</v>
      </c>
      <c r="R389" s="143" t="s">
        <v>554</v>
      </c>
      <c r="S389" s="122" t="s">
        <v>560</v>
      </c>
      <c r="T389" s="120" t="s">
        <v>522</v>
      </c>
      <c r="U389" s="121" t="s">
        <v>555</v>
      </c>
      <c r="V389" s="119" t="s">
        <v>573</v>
      </c>
      <c r="W389" s="119" t="s">
        <v>574</v>
      </c>
      <c r="X389" s="123" t="s">
        <v>1285</v>
      </c>
      <c r="Y389" s="119" t="s">
        <v>576</v>
      </c>
      <c r="Z389" s="124">
        <v>43296</v>
      </c>
      <c r="AA389" s="134" t="s">
        <v>759</v>
      </c>
      <c r="AB389" s="122">
        <v>2</v>
      </c>
      <c r="AC389" s="131" t="s">
        <v>578</v>
      </c>
      <c r="AD389" s="131" t="s">
        <v>607</v>
      </c>
      <c r="AE389" s="131" t="s">
        <v>608</v>
      </c>
      <c r="AF389" s="131" t="s">
        <v>581</v>
      </c>
      <c r="AG389" s="125" t="s">
        <v>582</v>
      </c>
      <c r="AH389" s="128">
        <f t="shared" ca="1" si="23"/>
        <v>46001</v>
      </c>
      <c r="AI389" s="129" t="s">
        <v>609</v>
      </c>
      <c r="AJ389" s="129"/>
      <c r="AK389" s="129"/>
      <c r="AL389" s="129"/>
      <c r="AM389" s="129"/>
    </row>
    <row r="390" spans="1:39" ht="18" customHeight="1" x14ac:dyDescent="0.25">
      <c r="A390" s="117">
        <v>389</v>
      </c>
      <c r="B390" s="117"/>
      <c r="C390" s="118" t="s">
        <v>1286</v>
      </c>
      <c r="D390" s="146">
        <f t="array" aca="1" ref="D390" ca="1">SUM(--(_xlfn.UNIQUE(_xlfn._xlws.FILTER($M$2:$M$1011 &amp; "", ($C$2:$C$1011 = C390) * ($M$2:$M$1011 &lt;&gt; ""))) &lt;&gt; ""))</f>
        <v>1</v>
      </c>
      <c r="E390" s="166">
        <f t="shared" ca="1" si="24"/>
        <v>1504</v>
      </c>
      <c r="F390" s="143">
        <v>1</v>
      </c>
      <c r="G390" s="143" t="s">
        <v>172</v>
      </c>
      <c r="H390" s="119">
        <f>_xlfn.XLOOKUP(G390,'🚛 FROTA'!B:B,'🚛 FROTA'!A:A,"")</f>
        <v>45</v>
      </c>
      <c r="I390" s="119"/>
      <c r="J390" s="119" t="str">
        <f>IF(G390="","",_xlfn.XLOOKUP(G390,'🚛 FROTA'!B:B,'🚛 FROTA'!E:E,""))</f>
        <v>Express Delivery</v>
      </c>
      <c r="K390" s="119" t="str">
        <f>IF(G390="","",_xlfn.XLOOKUP(G390,'🚛 FROTA'!B:B,'🚛 FROTA'!K:K,""))</f>
        <v>Carroceria</v>
      </c>
      <c r="L390" s="143" t="s">
        <v>604</v>
      </c>
      <c r="M390" s="143" t="s">
        <v>1284</v>
      </c>
      <c r="N390" s="145">
        <v>46062</v>
      </c>
      <c r="O390" s="143">
        <v>2</v>
      </c>
      <c r="P390" s="143">
        <v>4</v>
      </c>
      <c r="Q390" s="167">
        <v>376</v>
      </c>
      <c r="R390" s="143" t="s">
        <v>554</v>
      </c>
      <c r="S390" s="122" t="s">
        <v>560</v>
      </c>
      <c r="T390" s="120" t="s">
        <v>522</v>
      </c>
      <c r="U390" s="121" t="s">
        <v>555</v>
      </c>
      <c r="V390" s="119" t="s">
        <v>573</v>
      </c>
      <c r="W390" s="119" t="s">
        <v>574</v>
      </c>
      <c r="X390" s="123" t="s">
        <v>1285</v>
      </c>
      <c r="Y390" s="119" t="s">
        <v>576</v>
      </c>
      <c r="Z390" s="124">
        <v>47489</v>
      </c>
      <c r="AA390" s="134" t="s">
        <v>759</v>
      </c>
      <c r="AB390" s="122">
        <v>2</v>
      </c>
      <c r="AC390" s="131" t="s">
        <v>578</v>
      </c>
      <c r="AD390" s="131" t="s">
        <v>607</v>
      </c>
      <c r="AE390" s="131" t="s">
        <v>608</v>
      </c>
      <c r="AF390" s="131" t="s">
        <v>581</v>
      </c>
      <c r="AG390" s="125" t="s">
        <v>582</v>
      </c>
      <c r="AH390" s="128">
        <f t="shared" ca="1" si="23"/>
        <v>46001</v>
      </c>
      <c r="AI390" s="129" t="s">
        <v>609</v>
      </c>
      <c r="AJ390" s="129"/>
      <c r="AK390" s="129"/>
      <c r="AL390" s="129"/>
      <c r="AM390" s="129"/>
    </row>
    <row r="391" spans="1:39" ht="18" customHeight="1" x14ac:dyDescent="0.25">
      <c r="A391" s="117">
        <v>390</v>
      </c>
      <c r="B391" s="117"/>
      <c r="C391" s="118" t="s">
        <v>1287</v>
      </c>
      <c r="D391" s="146">
        <f t="array" aca="1" ref="D391" ca="1">SUM(--(_xlfn.UNIQUE(_xlfn._xlws.FILTER($M$2:$M$1011 &amp; "", ($C$2:$C$1011 = C391) * ($M$2:$M$1011 &lt;&gt; ""))) &lt;&gt; ""))</f>
        <v>1</v>
      </c>
      <c r="E391" s="166">
        <f t="shared" ca="1" si="24"/>
        <v>1504</v>
      </c>
      <c r="F391" s="143">
        <v>1</v>
      </c>
      <c r="G391" s="143" t="s">
        <v>165</v>
      </c>
      <c r="H391" s="119">
        <f>_xlfn.XLOOKUP(G391,'🚛 FROTA'!B:B,'🚛 FROTA'!A:A,"")</f>
        <v>40</v>
      </c>
      <c r="I391" s="119"/>
      <c r="J391" s="119" t="str">
        <f>IF(G391="","",_xlfn.XLOOKUP(G391,'🚛 FROTA'!B:B,'🚛 FROTA'!E:E,""))</f>
        <v>Express Delivery</v>
      </c>
      <c r="K391" s="119" t="str">
        <f>IF(G391="","",_xlfn.XLOOKUP(G391,'🚛 FROTA'!B:B,'🚛 FROTA'!K:K,""))</f>
        <v>Carroceria Cabinado</v>
      </c>
      <c r="L391" s="143" t="s">
        <v>604</v>
      </c>
      <c r="M391" s="143" t="s">
        <v>1284</v>
      </c>
      <c r="N391" s="145">
        <v>46062</v>
      </c>
      <c r="O391" s="143">
        <v>2</v>
      </c>
      <c r="P391" s="143">
        <v>4</v>
      </c>
      <c r="Q391" s="167">
        <v>376</v>
      </c>
      <c r="R391" s="143" t="s">
        <v>554</v>
      </c>
      <c r="S391" s="122" t="s">
        <v>560</v>
      </c>
      <c r="T391" s="120" t="s">
        <v>522</v>
      </c>
      <c r="U391" s="121" t="s">
        <v>555</v>
      </c>
      <c r="V391" s="119" t="s">
        <v>573</v>
      </c>
      <c r="W391" s="119" t="s">
        <v>574</v>
      </c>
      <c r="X391" s="123" t="s">
        <v>1288</v>
      </c>
      <c r="Y391" s="119" t="s">
        <v>576</v>
      </c>
      <c r="Z391" s="124">
        <v>56826</v>
      </c>
      <c r="AA391" s="134" t="s">
        <v>759</v>
      </c>
      <c r="AB391" s="122">
        <v>2</v>
      </c>
      <c r="AC391" s="131" t="s">
        <v>578</v>
      </c>
      <c r="AD391" s="131" t="s">
        <v>607</v>
      </c>
      <c r="AE391" s="131" t="s">
        <v>608</v>
      </c>
      <c r="AF391" s="131" t="s">
        <v>581</v>
      </c>
      <c r="AG391" s="125" t="s">
        <v>582</v>
      </c>
      <c r="AH391" s="128">
        <f t="shared" ca="1" si="23"/>
        <v>46001</v>
      </c>
      <c r="AI391" s="129" t="s">
        <v>609</v>
      </c>
      <c r="AJ391" s="129"/>
      <c r="AK391" s="129"/>
      <c r="AL391" s="129"/>
      <c r="AM391" s="129"/>
    </row>
    <row r="392" spans="1:39" ht="18" hidden="1" customHeight="1" x14ac:dyDescent="0.25">
      <c r="A392" s="117">
        <v>391</v>
      </c>
      <c r="B392" s="117"/>
      <c r="C392" s="118" t="s">
        <v>1244</v>
      </c>
      <c r="D392" s="146">
        <f t="array" aca="1" ref="D392" ca="1">SUM(--(_xlfn.UNIQUE(_xlfn._xlws.FILTER($M$2:$M$1011 &amp; "", ($C$2:$C$1011 = C392) * ($M$2:$M$1011 &lt;&gt; ""))) &lt;&gt; ""))</f>
        <v>2</v>
      </c>
      <c r="E392" s="166">
        <f t="shared" ca="1" si="24"/>
        <v>4345.95</v>
      </c>
      <c r="F392" s="143">
        <v>3</v>
      </c>
      <c r="G392" s="143" t="s">
        <v>165</v>
      </c>
      <c r="H392" s="119">
        <f>_xlfn.XLOOKUP(G392,'🚛 FROTA'!B:B,'🚛 FROTA'!A:A,"")</f>
        <v>40</v>
      </c>
      <c r="I392" s="119"/>
      <c r="J392" s="119" t="str">
        <f>IF(G392="","",_xlfn.XLOOKUP(G392,'🚛 FROTA'!B:B,'🚛 FROTA'!E:E,""))</f>
        <v>Express Delivery</v>
      </c>
      <c r="K392" s="119" t="str">
        <f>IF(G392="","",_xlfn.XLOOKUP(G392,'🚛 FROTA'!B:B,'🚛 FROTA'!K:K,""))</f>
        <v>Carroceria Cabinado</v>
      </c>
      <c r="L392" s="143" t="s">
        <v>1129</v>
      </c>
      <c r="M392" s="143" t="s">
        <v>1316</v>
      </c>
      <c r="N392" s="145">
        <v>46062</v>
      </c>
      <c r="O392" s="143">
        <v>2</v>
      </c>
      <c r="P392" s="143">
        <v>3</v>
      </c>
      <c r="Q392" s="167">
        <v>466.67</v>
      </c>
      <c r="R392" s="143" t="s">
        <v>554</v>
      </c>
      <c r="S392" s="122" t="s">
        <v>534</v>
      </c>
      <c r="T392" s="120" t="s">
        <v>522</v>
      </c>
      <c r="U392" s="121" t="s">
        <v>555</v>
      </c>
      <c r="V392" s="119" t="s">
        <v>689</v>
      </c>
      <c r="W392" s="119" t="s">
        <v>1317</v>
      </c>
      <c r="X392" s="123" t="s">
        <v>1317</v>
      </c>
      <c r="Y392" s="119"/>
      <c r="Z392" s="124">
        <v>56000</v>
      </c>
      <c r="AA392" s="125"/>
      <c r="AB392" s="126"/>
      <c r="AC392" s="127"/>
      <c r="AD392" s="127"/>
      <c r="AE392" s="127"/>
      <c r="AF392" s="127"/>
      <c r="AG392" s="125"/>
      <c r="AH392" s="128">
        <f t="shared" ca="1" si="23"/>
        <v>45993</v>
      </c>
      <c r="AI392" s="129" t="s">
        <v>1132</v>
      </c>
      <c r="AJ392" s="129"/>
      <c r="AK392" s="129"/>
      <c r="AL392" s="129"/>
      <c r="AM392" s="129"/>
    </row>
    <row r="393" spans="1:39" ht="18" hidden="1" customHeight="1" x14ac:dyDescent="0.25">
      <c r="A393" s="117">
        <v>392</v>
      </c>
      <c r="B393" s="117"/>
      <c r="C393" s="118" t="s">
        <v>1359</v>
      </c>
      <c r="D393" s="146">
        <f t="array" aca="1" ref="D393" ca="1">SUM(--(_xlfn.UNIQUE(_xlfn._xlws.FILTER($M$2:$M$1011 &amp; "", ($C$2:$C$1011 = C393) * ($M$2:$M$1011 &lt;&gt; ""))) &lt;&gt; ""))</f>
        <v>1</v>
      </c>
      <c r="E393" s="166">
        <f t="shared" ca="1" si="24"/>
        <v>8375</v>
      </c>
      <c r="F393" s="143">
        <v>3</v>
      </c>
      <c r="G393" s="143" t="s">
        <v>166</v>
      </c>
      <c r="H393" s="119">
        <f>_xlfn.XLOOKUP(G393,'🚛 FROTA'!B:B,'🚛 FROTA'!A:A,"")</f>
        <v>41</v>
      </c>
      <c r="I393" s="119"/>
      <c r="J393" s="119" t="str">
        <f>IF(G393="","",_xlfn.XLOOKUP(G393,'🚛 FROTA'!B:B,'🚛 FROTA'!E:E,""))</f>
        <v>Express Delivery</v>
      </c>
      <c r="K393" s="119" t="str">
        <f>IF(G393="","",_xlfn.XLOOKUP(G393,'🚛 FROTA'!B:B,'🚛 FROTA'!K:K,""))</f>
        <v>Carroceria Cabinado</v>
      </c>
      <c r="L393" s="143" t="s">
        <v>876</v>
      </c>
      <c r="M393" s="143">
        <v>58</v>
      </c>
      <c r="N393" s="145">
        <v>46080</v>
      </c>
      <c r="O393" s="143">
        <v>2</v>
      </c>
      <c r="P393" s="143">
        <v>4</v>
      </c>
      <c r="Q393" s="167">
        <v>1675</v>
      </c>
      <c r="R393" s="143" t="s">
        <v>554</v>
      </c>
      <c r="S393" s="122" t="s">
        <v>534</v>
      </c>
      <c r="T393" s="120" t="s">
        <v>522</v>
      </c>
      <c r="U393" s="121" t="s">
        <v>555</v>
      </c>
      <c r="V393" s="119" t="s">
        <v>634</v>
      </c>
      <c r="W393" s="119" t="s">
        <v>1360</v>
      </c>
      <c r="X393" s="123" t="s">
        <v>1361</v>
      </c>
      <c r="Y393" s="119"/>
      <c r="Z393" s="124">
        <v>85050</v>
      </c>
      <c r="AA393" s="125"/>
      <c r="AB393" s="126"/>
      <c r="AC393" s="127"/>
      <c r="AD393" s="127"/>
      <c r="AE393" s="127"/>
      <c r="AF393" s="127"/>
      <c r="AG393" s="125"/>
      <c r="AH393" s="128">
        <f t="shared" ca="1" si="23"/>
        <v>46050</v>
      </c>
      <c r="AI393" s="129" t="s">
        <v>880</v>
      </c>
      <c r="AJ393" s="129"/>
      <c r="AK393" s="129"/>
      <c r="AL393" s="129"/>
      <c r="AM393" s="129"/>
    </row>
    <row r="394" spans="1:39" ht="18" hidden="1" customHeight="1" x14ac:dyDescent="0.25">
      <c r="A394" s="117">
        <v>393</v>
      </c>
      <c r="B394" s="117"/>
      <c r="C394" s="118" t="s">
        <v>1362</v>
      </c>
      <c r="D394" s="146">
        <f t="array" aca="1" ref="D394" ca="1">SUM(--(_xlfn.UNIQUE(_xlfn._xlws.FILTER($M$2:$M$1011 &amp; "", ($C$2:$C$1011 = C394) * ($M$2:$M$1011 &lt;&gt; ""))) &lt;&gt; ""))</f>
        <v>2</v>
      </c>
      <c r="E394" s="166">
        <f t="shared" ca="1" si="24"/>
        <v>370</v>
      </c>
      <c r="F394" s="143">
        <v>3</v>
      </c>
      <c r="G394" s="143" t="s">
        <v>85</v>
      </c>
      <c r="H394" s="119">
        <f>_xlfn.XLOOKUP(G394,'🚛 FROTA'!B:B,'🚛 FROTA'!A:A,"")</f>
        <v>6</v>
      </c>
      <c r="I394" s="119"/>
      <c r="J394" s="119" t="str">
        <f>IF(G394="","",_xlfn.XLOOKUP(G394,'🚛 FROTA'!B:B,'🚛 FROTA'!E:E,""))</f>
        <v>13.180 Constellation</v>
      </c>
      <c r="K394" s="119" t="str">
        <f>IF(G394="","",_xlfn.XLOOKUP(G394,'🚛 FROTA'!B:B,'🚛 FROTA'!K:K,""))</f>
        <v>Munck</v>
      </c>
      <c r="L394" s="143" t="s">
        <v>1363</v>
      </c>
      <c r="M394" s="143" t="s">
        <v>1364</v>
      </c>
      <c r="N394" s="145">
        <v>46063</v>
      </c>
      <c r="O394" s="143">
        <v>1</v>
      </c>
      <c r="P394" s="143">
        <v>1</v>
      </c>
      <c r="Q394" s="167">
        <v>120</v>
      </c>
      <c r="R394" s="143" t="s">
        <v>651</v>
      </c>
      <c r="S394" s="122" t="s">
        <v>534</v>
      </c>
      <c r="T394" s="120" t="s">
        <v>522</v>
      </c>
      <c r="U394" s="121" t="s">
        <v>555</v>
      </c>
      <c r="V394" s="119" t="s">
        <v>619</v>
      </c>
      <c r="W394" s="119" t="s">
        <v>1365</v>
      </c>
      <c r="X394" s="123" t="s">
        <v>1366</v>
      </c>
      <c r="Y394" s="119"/>
      <c r="Z394" s="130"/>
      <c r="AA394" s="125"/>
      <c r="AB394" s="126"/>
      <c r="AC394" s="127"/>
      <c r="AD394" s="127"/>
      <c r="AE394" s="127"/>
      <c r="AF394" s="127"/>
      <c r="AG394" s="125"/>
      <c r="AH394" s="128">
        <f>IF(OR(R394="A Vista", R394="Crédito", R394="Adiantamento"), N394, IF(R394="Faturado", _xlfn.MINIFS(N:N, C:C, C394)-30, ""))</f>
        <v>46063</v>
      </c>
      <c r="AI394" s="129"/>
      <c r="AJ394" s="129"/>
      <c r="AK394" s="129"/>
      <c r="AL394" s="129"/>
      <c r="AM394" s="129"/>
    </row>
    <row r="395" spans="1:39" ht="18" hidden="1" customHeight="1" x14ac:dyDescent="0.25">
      <c r="A395" s="117">
        <v>394</v>
      </c>
      <c r="B395" s="117"/>
      <c r="C395" s="118" t="s">
        <v>1362</v>
      </c>
      <c r="D395" s="146">
        <f t="array" aca="1" ref="D395" ca="1">SUM(--(_xlfn.UNIQUE(_xlfn._xlws.FILTER($M$2:$M$1011 &amp; "", ($C$2:$C$1011 = C395) * ($M$2:$M$1011 &lt;&gt; ""))) &lt;&gt; ""))</f>
        <v>2</v>
      </c>
      <c r="E395" s="166">
        <f t="shared" ca="1" si="24"/>
        <v>370</v>
      </c>
      <c r="F395" s="143">
        <v>3</v>
      </c>
      <c r="G395" s="143" t="s">
        <v>85</v>
      </c>
      <c r="H395" s="119">
        <f>_xlfn.XLOOKUP(G395,'🚛 FROTA'!B:B,'🚛 FROTA'!A:A,"")</f>
        <v>6</v>
      </c>
      <c r="I395" s="119"/>
      <c r="J395" s="119" t="str">
        <f>IF(G395="","",_xlfn.XLOOKUP(G395,'🚛 FROTA'!B:B,'🚛 FROTA'!E:E,""))</f>
        <v>13.180 Constellation</v>
      </c>
      <c r="K395" s="119" t="str">
        <f>IF(G395="","",_xlfn.XLOOKUP(G395,'🚛 FROTA'!B:B,'🚛 FROTA'!K:K,""))</f>
        <v>Munck</v>
      </c>
      <c r="L395" s="143" t="s">
        <v>1367</v>
      </c>
      <c r="M395" s="143" t="s">
        <v>1368</v>
      </c>
      <c r="N395" s="145">
        <v>46063</v>
      </c>
      <c r="O395" s="143">
        <v>1</v>
      </c>
      <c r="P395" s="143">
        <v>1</v>
      </c>
      <c r="Q395" s="167">
        <v>250</v>
      </c>
      <c r="R395" s="143" t="s">
        <v>651</v>
      </c>
      <c r="S395" s="122" t="s">
        <v>560</v>
      </c>
      <c r="T395" s="120" t="s">
        <v>522</v>
      </c>
      <c r="U395" s="121" t="s">
        <v>555</v>
      </c>
      <c r="V395" s="119" t="s">
        <v>619</v>
      </c>
      <c r="W395" s="119" t="s">
        <v>1369</v>
      </c>
      <c r="X395" s="123" t="s">
        <v>1370</v>
      </c>
      <c r="Y395" s="119"/>
      <c r="Z395" s="130"/>
      <c r="AA395" s="125"/>
      <c r="AB395" s="126"/>
      <c r="AC395" s="127"/>
      <c r="AD395" s="127"/>
      <c r="AE395" s="127"/>
      <c r="AF395" s="127"/>
      <c r="AG395" s="125"/>
      <c r="AH395" s="128">
        <f>IF(OR(R395="A Vista", R395="Crédito", R395="Adiantamento"), N395, IF(R395="Faturado", _xlfn.MINIFS(N:N, C:C, C395)-30, ""))</f>
        <v>46063</v>
      </c>
      <c r="AI395" s="129"/>
      <c r="AJ395" s="129"/>
      <c r="AK395" s="129"/>
      <c r="AL395" s="129"/>
      <c r="AM395" s="129"/>
    </row>
    <row r="396" spans="1:39" ht="18" hidden="1" customHeight="1" x14ac:dyDescent="0.25">
      <c r="A396" s="117">
        <v>395</v>
      </c>
      <c r="B396" s="117"/>
      <c r="C396" s="118" t="s">
        <v>469</v>
      </c>
      <c r="D396" s="146">
        <f t="array" aca="1" ref="D396" ca="1">SUM(--(_xlfn.UNIQUE(_xlfn._xlws.FILTER($M$2:$M$1011 &amp; "", ($C$2:$C$1011 = C396) * ($M$2:$M$1011 &lt;&gt; ""))) &lt;&gt; ""))</f>
        <v>1</v>
      </c>
      <c r="E396" s="166">
        <f t="shared" ca="1" si="24"/>
        <v>4940.01</v>
      </c>
      <c r="F396" s="143">
        <v>3</v>
      </c>
      <c r="G396" s="143" t="s">
        <v>162</v>
      </c>
      <c r="H396" s="119">
        <f>_xlfn.XLOOKUP(G396,'🚛 FROTA'!B:B,'🚛 FROTA'!A:A,"")</f>
        <v>39</v>
      </c>
      <c r="I396" s="119"/>
      <c r="J396" s="119" t="str">
        <f>IF(G396="","",_xlfn.XLOOKUP(G396,'🚛 FROTA'!B:B,'🚛 FROTA'!E:E,""))</f>
        <v>Express Delivery</v>
      </c>
      <c r="K396" s="119" t="str">
        <f>IF(G396="","",_xlfn.XLOOKUP(G396,'🚛 FROTA'!B:B,'🚛 FROTA'!K:K,""))</f>
        <v>Carroceria Cabinado</v>
      </c>
      <c r="L396" s="143" t="s">
        <v>876</v>
      </c>
      <c r="M396" s="143" t="s">
        <v>1371</v>
      </c>
      <c r="N396" s="145">
        <v>46014</v>
      </c>
      <c r="O396" s="143">
        <v>1</v>
      </c>
      <c r="P396" s="143">
        <v>3</v>
      </c>
      <c r="Q396" s="167">
        <v>1646.67</v>
      </c>
      <c r="R396" s="143" t="s">
        <v>554</v>
      </c>
      <c r="S396" s="122" t="s">
        <v>534</v>
      </c>
      <c r="T396" s="120" t="s">
        <v>522</v>
      </c>
      <c r="U396" s="121" t="s">
        <v>555</v>
      </c>
      <c r="V396" s="119" t="s">
        <v>689</v>
      </c>
      <c r="W396" s="119" t="s">
        <v>1372</v>
      </c>
      <c r="X396" s="123" t="s">
        <v>1373</v>
      </c>
      <c r="Y396" s="119"/>
      <c r="Z396" s="124">
        <v>84410</v>
      </c>
      <c r="AA396" s="125"/>
      <c r="AB396" s="126"/>
      <c r="AC396" s="127"/>
      <c r="AD396" s="127"/>
      <c r="AE396" s="127"/>
      <c r="AF396" s="127"/>
      <c r="AG396" s="125"/>
      <c r="AH396" s="128">
        <f ca="1">IF(OR(R396="A VISTA", R396="C. CRÉDITO", R396="ADIANTAMENTO"), N396, IF(R396="Faturado", _xlfn.MINIFS(N:N, C:C, C396)-30, ""))</f>
        <v>45984</v>
      </c>
      <c r="AI396" s="129" t="s">
        <v>880</v>
      </c>
      <c r="AJ396" s="129"/>
      <c r="AK396" s="129"/>
      <c r="AL396" s="129"/>
      <c r="AM396" s="129"/>
    </row>
    <row r="397" spans="1:39" ht="18" hidden="1" customHeight="1" x14ac:dyDescent="0.25">
      <c r="A397" s="117">
        <v>396</v>
      </c>
      <c r="B397" s="117"/>
      <c r="C397" s="118" t="s">
        <v>469</v>
      </c>
      <c r="D397" s="146">
        <f t="array" aca="1" ref="D397" ca="1">SUM(--(_xlfn.UNIQUE(_xlfn._xlws.FILTER($M$2:$M$1011 &amp; "", ($C$2:$C$1011 = C397) * ($M$2:$M$1011 &lt;&gt; ""))) &lt;&gt; ""))</f>
        <v>1</v>
      </c>
      <c r="E397" s="166">
        <f t="shared" ca="1" si="24"/>
        <v>4940.01</v>
      </c>
      <c r="F397" s="143">
        <v>3</v>
      </c>
      <c r="G397" s="143" t="s">
        <v>162</v>
      </c>
      <c r="H397" s="119">
        <f>_xlfn.XLOOKUP(G397,'🚛 FROTA'!B:B,'🚛 FROTA'!A:A,"")</f>
        <v>39</v>
      </c>
      <c r="I397" s="119"/>
      <c r="J397" s="119" t="str">
        <f>IF(G397="","",_xlfn.XLOOKUP(G397,'🚛 FROTA'!B:B,'🚛 FROTA'!E:E,""))</f>
        <v>Express Delivery</v>
      </c>
      <c r="K397" s="119" t="str">
        <f>IF(G397="","",_xlfn.XLOOKUP(G397,'🚛 FROTA'!B:B,'🚛 FROTA'!K:K,""))</f>
        <v>Carroceria Cabinado</v>
      </c>
      <c r="L397" s="143" t="s">
        <v>876</v>
      </c>
      <c r="M397" s="143" t="s">
        <v>1371</v>
      </c>
      <c r="N397" s="145">
        <v>46045</v>
      </c>
      <c r="O397" s="143">
        <v>2</v>
      </c>
      <c r="P397" s="143">
        <v>3</v>
      </c>
      <c r="Q397" s="167">
        <v>1646.67</v>
      </c>
      <c r="R397" s="143" t="s">
        <v>554</v>
      </c>
      <c r="S397" s="122" t="s">
        <v>534</v>
      </c>
      <c r="T397" s="120" t="s">
        <v>522</v>
      </c>
      <c r="U397" s="121" t="s">
        <v>555</v>
      </c>
      <c r="V397" s="119" t="s">
        <v>689</v>
      </c>
      <c r="W397" s="119" t="s">
        <v>1372</v>
      </c>
      <c r="X397" s="123" t="s">
        <v>1373</v>
      </c>
      <c r="Y397" s="119"/>
      <c r="Z397" s="124">
        <v>84410</v>
      </c>
      <c r="AA397" s="125"/>
      <c r="AB397" s="126"/>
      <c r="AC397" s="127"/>
      <c r="AD397" s="127"/>
      <c r="AE397" s="127"/>
      <c r="AF397" s="127"/>
      <c r="AG397" s="125"/>
      <c r="AH397" s="128">
        <f ca="1">IF(OR(R397="A VISTA", R397="C. CRÉDITO", R397="ADIANTAMENTO"), N397, IF(R397="Faturado", _xlfn.MINIFS(N:N, C:C, C397)-30, ""))</f>
        <v>45984</v>
      </c>
      <c r="AI397" s="129" t="s">
        <v>880</v>
      </c>
      <c r="AJ397" s="129"/>
      <c r="AK397" s="129"/>
      <c r="AL397" s="129"/>
      <c r="AM397" s="129"/>
    </row>
    <row r="398" spans="1:39" ht="18" hidden="1" customHeight="1" x14ac:dyDescent="0.25">
      <c r="A398" s="117">
        <v>397</v>
      </c>
      <c r="B398" s="117"/>
      <c r="C398" s="118" t="s">
        <v>469</v>
      </c>
      <c r="D398" s="146">
        <f t="array" aca="1" ref="D398" ca="1">SUM(--(_xlfn.UNIQUE(_xlfn._xlws.FILTER($M$2:$M$1011 &amp; "", ($C$2:$C$1011 = C398) * ($M$2:$M$1011 &lt;&gt; ""))) &lt;&gt; ""))</f>
        <v>1</v>
      </c>
      <c r="E398" s="166">
        <f t="shared" ca="1" si="24"/>
        <v>4940.01</v>
      </c>
      <c r="F398" s="143">
        <v>3</v>
      </c>
      <c r="G398" s="143" t="s">
        <v>162</v>
      </c>
      <c r="H398" s="119">
        <f>_xlfn.XLOOKUP(G398,'🚛 FROTA'!B:B,'🚛 FROTA'!A:A,"")</f>
        <v>39</v>
      </c>
      <c r="I398" s="119"/>
      <c r="J398" s="119" t="str">
        <f>IF(G398="","",_xlfn.XLOOKUP(G398,'🚛 FROTA'!B:B,'🚛 FROTA'!E:E,""))</f>
        <v>Express Delivery</v>
      </c>
      <c r="K398" s="119" t="str">
        <f>IF(G398="","",_xlfn.XLOOKUP(G398,'🚛 FROTA'!B:B,'🚛 FROTA'!K:K,""))</f>
        <v>Carroceria Cabinado</v>
      </c>
      <c r="L398" s="143" t="s">
        <v>876</v>
      </c>
      <c r="M398" s="143" t="s">
        <v>1371</v>
      </c>
      <c r="N398" s="145">
        <v>46076</v>
      </c>
      <c r="O398" s="143">
        <v>3</v>
      </c>
      <c r="P398" s="143">
        <v>3</v>
      </c>
      <c r="Q398" s="167">
        <v>1646.67</v>
      </c>
      <c r="R398" s="143" t="s">
        <v>554</v>
      </c>
      <c r="S398" s="122" t="s">
        <v>534</v>
      </c>
      <c r="T398" s="120" t="s">
        <v>522</v>
      </c>
      <c r="U398" s="121" t="s">
        <v>555</v>
      </c>
      <c r="V398" s="119" t="s">
        <v>689</v>
      </c>
      <c r="W398" s="119" t="s">
        <v>1372</v>
      </c>
      <c r="X398" s="123" t="s">
        <v>1373</v>
      </c>
      <c r="Y398" s="119"/>
      <c r="Z398" s="124">
        <v>84410</v>
      </c>
      <c r="AA398" s="125"/>
      <c r="AB398" s="126"/>
      <c r="AC398" s="127"/>
      <c r="AD398" s="127"/>
      <c r="AE398" s="127"/>
      <c r="AF398" s="127"/>
      <c r="AG398" s="125"/>
      <c r="AH398" s="128">
        <f ca="1">IF(OR(R398="A VISTA", R398="C. CRÉDITO", R398="ADIANTAMENTO"), N398, IF(R398="Faturado", _xlfn.MINIFS(N:N, C:C, C398)-30, ""))</f>
        <v>45984</v>
      </c>
      <c r="AI398" s="129" t="s">
        <v>880</v>
      </c>
      <c r="AJ398" s="129"/>
      <c r="AK398" s="129"/>
      <c r="AL398" s="129"/>
      <c r="AM398" s="129"/>
    </row>
    <row r="399" spans="1:39" ht="18" hidden="1" customHeight="1" x14ac:dyDescent="0.25">
      <c r="A399" s="117">
        <v>398</v>
      </c>
      <c r="B399" s="117"/>
      <c r="C399" s="118" t="s">
        <v>1244</v>
      </c>
      <c r="D399" s="146">
        <f t="array" aca="1" ref="D399" ca="1">SUM(--(_xlfn.UNIQUE(_xlfn._xlws.FILTER($M$2:$M$1011 &amp; "", ($C$2:$C$1011 = C399) * ($M$2:$M$1011 &lt;&gt; ""))) &lt;&gt; ""))</f>
        <v>2</v>
      </c>
      <c r="E399" s="166">
        <f t="shared" ca="1" si="24"/>
        <v>4345.95</v>
      </c>
      <c r="F399" s="143">
        <v>1</v>
      </c>
      <c r="G399" s="143" t="s">
        <v>165</v>
      </c>
      <c r="H399" s="119">
        <f>_xlfn.XLOOKUP(G399,'🚛 FROTA'!B:B,'🚛 FROTA'!A:A,"")</f>
        <v>40</v>
      </c>
      <c r="I399" s="119"/>
      <c r="J399" s="119" t="str">
        <f>IF(G399="","",_xlfn.XLOOKUP(G399,'🚛 FROTA'!B:B,'🚛 FROTA'!E:E,""))</f>
        <v>Express Delivery</v>
      </c>
      <c r="K399" s="119" t="str">
        <f>IF(G399="","",_xlfn.XLOOKUP(G399,'🚛 FROTA'!B:B,'🚛 FROTA'!K:K,""))</f>
        <v>Carroceria Cabinado</v>
      </c>
      <c r="L399" s="143" t="s">
        <v>682</v>
      </c>
      <c r="M399" s="143" t="s">
        <v>1245</v>
      </c>
      <c r="N399" s="145">
        <v>46075</v>
      </c>
      <c r="O399" s="143">
        <v>3</v>
      </c>
      <c r="P399" s="143">
        <v>3</v>
      </c>
      <c r="Q399" s="167">
        <v>826.44</v>
      </c>
      <c r="R399" s="143" t="s">
        <v>554</v>
      </c>
      <c r="S399" s="122" t="s">
        <v>560</v>
      </c>
      <c r="T399" s="120" t="s">
        <v>522</v>
      </c>
      <c r="U399" s="121" t="s">
        <v>555</v>
      </c>
      <c r="V399" s="119" t="s">
        <v>689</v>
      </c>
      <c r="W399" s="119" t="s">
        <v>1221</v>
      </c>
      <c r="X399" s="123" t="s">
        <v>1246</v>
      </c>
      <c r="Y399" s="119" t="s">
        <v>800</v>
      </c>
      <c r="Z399" s="124">
        <v>56000</v>
      </c>
      <c r="AA399" s="125"/>
      <c r="AB399" s="126"/>
      <c r="AC399" s="127"/>
      <c r="AD399" s="127"/>
      <c r="AE399" s="127"/>
      <c r="AF399" s="127"/>
      <c r="AG399" s="125"/>
      <c r="AH399" s="128">
        <f ca="1">IF(OR(R399="A VISTA", R399="C. CRÉDITO", R399="ADIANTAMENTO"), N399, IF(R399="Faturado", _xlfn.MINIFS(N:N, C:C, C399)-30, ""))</f>
        <v>45993</v>
      </c>
      <c r="AI399" s="129" t="s">
        <v>686</v>
      </c>
      <c r="AJ399" s="129"/>
      <c r="AK399" s="129"/>
      <c r="AL399" s="129"/>
      <c r="AM399" s="129"/>
    </row>
    <row r="400" spans="1:39" ht="18" hidden="1" customHeight="1" x14ac:dyDescent="0.25">
      <c r="A400" s="117">
        <v>399</v>
      </c>
      <c r="B400" s="117"/>
      <c r="C400" s="118" t="s">
        <v>1330</v>
      </c>
      <c r="D400" s="146">
        <f t="array" aca="1" ref="D400" ca="1">SUM(--(_xlfn.UNIQUE(_xlfn._xlws.FILTER($M$2:$M$1011 &amp; "", ($C$2:$C$1011 = C400) * ($M$2:$M$1011 &lt;&gt; ""))) &lt;&gt; ""))</f>
        <v>1</v>
      </c>
      <c r="E400" s="166">
        <f t="shared" ca="1" si="24"/>
        <v>2398</v>
      </c>
      <c r="F400" s="143">
        <v>1</v>
      </c>
      <c r="G400" s="143" t="s">
        <v>162</v>
      </c>
      <c r="H400" s="119">
        <f>_xlfn.XLOOKUP(G400,'🚛 FROTA'!B:B,'🚛 FROTA'!A:A,"")</f>
        <v>39</v>
      </c>
      <c r="I400" s="119"/>
      <c r="J400" s="119" t="str">
        <f>IF(G400="","",_xlfn.XLOOKUP(G400,'🚛 FROTA'!B:B,'🚛 FROTA'!E:E,""))</f>
        <v>Express Delivery</v>
      </c>
      <c r="K400" s="119" t="str">
        <f>IF(G400="","",_xlfn.XLOOKUP(G400,'🚛 FROTA'!B:B,'🚛 FROTA'!K:K,""))</f>
        <v>Carroceria Cabinado</v>
      </c>
      <c r="L400" s="143" t="s">
        <v>682</v>
      </c>
      <c r="M400" s="143" t="s">
        <v>1331</v>
      </c>
      <c r="N400" s="145">
        <v>46076</v>
      </c>
      <c r="O400" s="143">
        <v>2</v>
      </c>
      <c r="P400" s="143">
        <v>3</v>
      </c>
      <c r="Q400" s="167">
        <v>799.33</v>
      </c>
      <c r="R400" s="143" t="s">
        <v>554</v>
      </c>
      <c r="S400" s="122" t="s">
        <v>560</v>
      </c>
      <c r="T400" s="120" t="s">
        <v>522</v>
      </c>
      <c r="U400" s="121" t="s">
        <v>555</v>
      </c>
      <c r="V400" s="119" t="s">
        <v>556</v>
      </c>
      <c r="W400" s="119" t="s">
        <v>1332</v>
      </c>
      <c r="X400" s="123" t="s">
        <v>1333</v>
      </c>
      <c r="Y400" s="119" t="s">
        <v>1334</v>
      </c>
      <c r="Z400" s="124">
        <v>86929</v>
      </c>
      <c r="AA400" s="125"/>
      <c r="AB400" s="126"/>
      <c r="AC400" s="127"/>
      <c r="AD400" s="127"/>
      <c r="AE400" s="127"/>
      <c r="AF400" s="127"/>
      <c r="AG400" s="125"/>
      <c r="AH400" s="128">
        <f ca="1">IF(OR(R400="A VISTA", R400="C. CRÉDITO", R400="ADIANTAMENTO"), N400, IF(R400="Faturado", _xlfn.MINIFS(N:N, C:C, C400)-30, ""))</f>
        <v>46024</v>
      </c>
      <c r="AI400" s="129" t="s">
        <v>686</v>
      </c>
      <c r="AJ400" s="129"/>
      <c r="AK400" s="129"/>
      <c r="AL400" s="129"/>
      <c r="AM400" s="129"/>
    </row>
    <row r="401" spans="1:39" ht="18" hidden="1" customHeight="1" x14ac:dyDescent="0.25">
      <c r="A401" s="117">
        <v>400</v>
      </c>
      <c r="B401" s="117"/>
      <c r="C401" s="118" t="s">
        <v>1374</v>
      </c>
      <c r="D401" s="146">
        <f t="array" aca="1" ref="D401" ca="1">SUM(--(_xlfn.UNIQUE(_xlfn._xlws.FILTER($M$2:$M$1011 &amp; "", ($C$2:$C$1011 = C401) * ($M$2:$M$1011 &lt;&gt; ""))) &lt;&gt; ""))</f>
        <v>1</v>
      </c>
      <c r="E401" s="166">
        <f t="shared" ca="1" si="24"/>
        <v>445</v>
      </c>
      <c r="F401" s="143">
        <v>3</v>
      </c>
      <c r="G401" s="143" t="s">
        <v>162</v>
      </c>
      <c r="H401" s="119">
        <f>_xlfn.XLOOKUP(G401,'🚛 FROTA'!B:B,'🚛 FROTA'!A:A,"")</f>
        <v>39</v>
      </c>
      <c r="I401" s="119"/>
      <c r="J401" s="119" t="str">
        <f>IF(G401="","",_xlfn.XLOOKUP(G401,'🚛 FROTA'!B:B,'🚛 FROTA'!E:E,""))</f>
        <v>Express Delivery</v>
      </c>
      <c r="K401" s="119" t="str">
        <f>IF(G401="","",_xlfn.XLOOKUP(G401,'🚛 FROTA'!B:B,'🚛 FROTA'!K:K,""))</f>
        <v>Carroceria Cabinado</v>
      </c>
      <c r="L401" s="143" t="s">
        <v>1375</v>
      </c>
      <c r="M401" s="143" t="s">
        <v>1376</v>
      </c>
      <c r="N401" s="145">
        <v>46021</v>
      </c>
      <c r="O401" s="143">
        <v>1</v>
      </c>
      <c r="P401" s="143">
        <v>2</v>
      </c>
      <c r="Q401" s="167">
        <v>222.5</v>
      </c>
      <c r="R401" s="143" t="s">
        <v>797</v>
      </c>
      <c r="S401" s="122" t="s">
        <v>534</v>
      </c>
      <c r="T401" s="120" t="s">
        <v>522</v>
      </c>
      <c r="U401" s="121" t="s">
        <v>555</v>
      </c>
      <c r="V401" s="119" t="s">
        <v>634</v>
      </c>
      <c r="W401" s="119" t="s">
        <v>1377</v>
      </c>
      <c r="X401" s="123" t="s">
        <v>1378</v>
      </c>
      <c r="Y401" s="119"/>
      <c r="Z401" s="124">
        <v>86929</v>
      </c>
      <c r="AA401" s="125"/>
      <c r="AB401" s="126"/>
      <c r="AC401" s="127"/>
      <c r="AD401" s="127"/>
      <c r="AE401" s="127"/>
      <c r="AF401" s="127"/>
      <c r="AG401" s="125"/>
      <c r="AH401" s="128">
        <f>IF(OR(R401="A Vista", R401="Crédito", R401="Adiantamento"), N401, IF(R401="Faturado", _xlfn.MINIFS(N:N, C:C, C401)-30, ""))</f>
        <v>46021</v>
      </c>
      <c r="AI401" s="129"/>
      <c r="AJ401" s="129"/>
      <c r="AK401" s="129"/>
      <c r="AL401" s="129"/>
      <c r="AM401" s="129"/>
    </row>
    <row r="402" spans="1:39" ht="18" hidden="1" customHeight="1" x14ac:dyDescent="0.25">
      <c r="A402" s="117">
        <v>401</v>
      </c>
      <c r="B402" s="117"/>
      <c r="C402" s="118" t="s">
        <v>471</v>
      </c>
      <c r="D402" s="146">
        <f t="array" aca="1" ref="D402" ca="1">SUM(--(_xlfn.UNIQUE(_xlfn._xlws.FILTER($M$2:$M$1011 &amp; "", ($C$2:$C$1011 = C402) * ($M$2:$M$1011 &lt;&gt; ""))) &lt;&gt; ""))</f>
        <v>4</v>
      </c>
      <c r="E402" s="166">
        <f t="shared" ca="1" si="24"/>
        <v>11260.97</v>
      </c>
      <c r="F402" s="143">
        <v>3</v>
      </c>
      <c r="G402" s="143" t="s">
        <v>166</v>
      </c>
      <c r="H402" s="119">
        <f>_xlfn.XLOOKUP(G402,'🚛 FROTA'!B:B,'🚛 FROTA'!A:A,"")</f>
        <v>41</v>
      </c>
      <c r="I402" s="119"/>
      <c r="J402" s="119" t="str">
        <f>IF(G402="","",_xlfn.XLOOKUP(G402,'🚛 FROTA'!B:B,'🚛 FROTA'!E:E,""))</f>
        <v>Express Delivery</v>
      </c>
      <c r="K402" s="119" t="str">
        <f>IF(G402="","",_xlfn.XLOOKUP(G402,'🚛 FROTA'!B:B,'🚛 FROTA'!K:K,""))</f>
        <v>Carroceria Cabinado</v>
      </c>
      <c r="L402" s="143" t="s">
        <v>1255</v>
      </c>
      <c r="M402" s="143" t="s">
        <v>1256</v>
      </c>
      <c r="N402" s="145">
        <v>46080</v>
      </c>
      <c r="O402" s="143">
        <v>3</v>
      </c>
      <c r="P402" s="143">
        <v>3</v>
      </c>
      <c r="Q402" s="167">
        <v>1500</v>
      </c>
      <c r="R402" s="143" t="s">
        <v>554</v>
      </c>
      <c r="S402" s="122" t="s">
        <v>534</v>
      </c>
      <c r="T402" s="120" t="s">
        <v>522</v>
      </c>
      <c r="U402" s="121" t="s">
        <v>555</v>
      </c>
      <c r="V402" s="119" t="s">
        <v>1257</v>
      </c>
      <c r="W402" s="119" t="s">
        <v>1258</v>
      </c>
      <c r="X402" s="123" t="s">
        <v>1259</v>
      </c>
      <c r="Y402" s="119"/>
      <c r="Z402" s="124">
        <v>85050</v>
      </c>
      <c r="AA402" s="125"/>
      <c r="AB402" s="126"/>
      <c r="AC402" s="127"/>
      <c r="AD402" s="127"/>
      <c r="AE402" s="127"/>
      <c r="AF402" s="127"/>
      <c r="AG402" s="125"/>
      <c r="AH402" s="128">
        <f ca="1">IF(OR(R402="A VISTA", R402="C. CRÉDITO", R402="ADIANTAMENTO"), N402, IF(R402="Faturado", _xlfn.MINIFS(N:N, C:C, C402)-30, ""))</f>
        <v>45976</v>
      </c>
      <c r="AI402" s="129" t="s">
        <v>1260</v>
      </c>
      <c r="AJ402" s="129"/>
      <c r="AK402" s="129"/>
      <c r="AL402" s="129"/>
      <c r="AM402" s="129"/>
    </row>
    <row r="403" spans="1:39" ht="18" hidden="1" customHeight="1" x14ac:dyDescent="0.25">
      <c r="A403" s="117">
        <v>402</v>
      </c>
      <c r="B403" s="117"/>
      <c r="C403" s="118" t="s">
        <v>1325</v>
      </c>
      <c r="D403" s="146">
        <f t="array" aca="1" ref="D403" ca="1">SUM(--(_xlfn.UNIQUE(_xlfn._xlws.FILTER($M$2:$M$1011 &amp; "", ($C$2:$C$1011 = C403) * ($M$2:$M$1011 &lt;&gt; ""))) &lt;&gt; ""))</f>
        <v>1</v>
      </c>
      <c r="E403" s="166">
        <f t="shared" ca="1" si="24"/>
        <v>2200</v>
      </c>
      <c r="F403" s="143">
        <v>1</v>
      </c>
      <c r="G403" s="143" t="s">
        <v>162</v>
      </c>
      <c r="H403" s="119">
        <f>_xlfn.XLOOKUP(G403,'🚛 FROTA'!B:B,'🚛 FROTA'!A:A,"")</f>
        <v>39</v>
      </c>
      <c r="I403" s="119"/>
      <c r="J403" s="119" t="str">
        <f>IF(G403="","",_xlfn.XLOOKUP(G403,'🚛 FROTA'!B:B,'🚛 FROTA'!E:E,""))</f>
        <v>Express Delivery</v>
      </c>
      <c r="K403" s="119" t="str">
        <f>IF(G403="","",_xlfn.XLOOKUP(G403,'🚛 FROTA'!B:B,'🚛 FROTA'!K:K,""))</f>
        <v>Carroceria Cabinado</v>
      </c>
      <c r="L403" s="143" t="s">
        <v>595</v>
      </c>
      <c r="M403" s="143" t="s">
        <v>1326</v>
      </c>
      <c r="N403" s="145">
        <v>46080</v>
      </c>
      <c r="O403" s="143">
        <v>2</v>
      </c>
      <c r="P403" s="143">
        <v>3</v>
      </c>
      <c r="Q403" s="167">
        <v>733.26</v>
      </c>
      <c r="R403" s="143" t="s">
        <v>554</v>
      </c>
      <c r="S403" s="122" t="s">
        <v>560</v>
      </c>
      <c r="T403" s="120" t="s">
        <v>522</v>
      </c>
      <c r="U403" s="121" t="s">
        <v>555</v>
      </c>
      <c r="V403" s="119" t="s">
        <v>640</v>
      </c>
      <c r="W403" s="119" t="s">
        <v>1327</v>
      </c>
      <c r="X403" s="123" t="s">
        <v>1328</v>
      </c>
      <c r="Y403" s="119" t="s">
        <v>1329</v>
      </c>
      <c r="Z403" s="124">
        <v>86929</v>
      </c>
      <c r="AA403" s="125"/>
      <c r="AB403" s="126"/>
      <c r="AC403" s="127"/>
      <c r="AD403" s="127"/>
      <c r="AE403" s="127"/>
      <c r="AF403" s="127"/>
      <c r="AG403" s="125"/>
      <c r="AH403" s="128">
        <f ca="1">IF(OR(R403="A VISTA", R403="C. CRÉDITO", R403="ADIANTAMENTO"), N403, IF(R403="Faturado", _xlfn.MINIFS(N:N, C:C, C403)-30, ""))</f>
        <v>46020</v>
      </c>
      <c r="AI403" s="129" t="s">
        <v>602</v>
      </c>
      <c r="AJ403" s="129"/>
      <c r="AK403" s="129"/>
      <c r="AL403" s="129"/>
      <c r="AM403" s="129"/>
    </row>
    <row r="404" spans="1:39" ht="18" hidden="1" customHeight="1" x14ac:dyDescent="0.25">
      <c r="A404" s="117">
        <v>403</v>
      </c>
      <c r="B404" s="117"/>
      <c r="C404" s="118" t="s">
        <v>1374</v>
      </c>
      <c r="D404" s="146">
        <f t="array" aca="1" ref="D404" ca="1">SUM(--(_xlfn.UNIQUE(_xlfn._xlws.FILTER($M$2:$M$1011 &amp; "", ($C$2:$C$1011 = C404) * ($M$2:$M$1011 &lt;&gt; ""))) &lt;&gt; ""))</f>
        <v>1</v>
      </c>
      <c r="E404" s="166">
        <f t="shared" ca="1" si="24"/>
        <v>445</v>
      </c>
      <c r="F404" s="143">
        <v>3</v>
      </c>
      <c r="G404" s="143" t="s">
        <v>162</v>
      </c>
      <c r="H404" s="119">
        <f>_xlfn.XLOOKUP(G404,'🚛 FROTA'!B:B,'🚛 FROTA'!A:A,"")</f>
        <v>39</v>
      </c>
      <c r="I404" s="119"/>
      <c r="J404" s="119" t="str">
        <f>IF(G404="","",_xlfn.XLOOKUP(G404,'🚛 FROTA'!B:B,'🚛 FROTA'!E:E,""))</f>
        <v>Express Delivery</v>
      </c>
      <c r="K404" s="119" t="str">
        <f>IF(G404="","",_xlfn.XLOOKUP(G404,'🚛 FROTA'!B:B,'🚛 FROTA'!K:K,""))</f>
        <v>Carroceria Cabinado</v>
      </c>
      <c r="L404" s="143" t="s">
        <v>1375</v>
      </c>
      <c r="M404" s="143" t="s">
        <v>1376</v>
      </c>
      <c r="N404" s="145">
        <v>46056</v>
      </c>
      <c r="O404" s="143">
        <v>2</v>
      </c>
      <c r="P404" s="143">
        <v>2</v>
      </c>
      <c r="Q404" s="167">
        <v>222.5</v>
      </c>
      <c r="R404" s="143" t="s">
        <v>797</v>
      </c>
      <c r="S404" s="122" t="s">
        <v>534</v>
      </c>
      <c r="T404" s="120" t="s">
        <v>522</v>
      </c>
      <c r="U404" s="121" t="s">
        <v>555</v>
      </c>
      <c r="V404" s="119" t="s">
        <v>634</v>
      </c>
      <c r="W404" s="119" t="s">
        <v>1377</v>
      </c>
      <c r="X404" s="123" t="s">
        <v>1378</v>
      </c>
      <c r="Y404" s="119"/>
      <c r="Z404" s="124">
        <v>86933</v>
      </c>
      <c r="AA404" s="125"/>
      <c r="AB404" s="126"/>
      <c r="AC404" s="127"/>
      <c r="AD404" s="127"/>
      <c r="AE404" s="127"/>
      <c r="AF404" s="127"/>
      <c r="AG404" s="125"/>
      <c r="AH404" s="128">
        <f>IF(OR(R404="A Vista", R404="Crédito", R404="Adiantamento"), N404, IF(R404="Faturado", _xlfn.MINIFS(N:N, C:C, C404)-30, ""))</f>
        <v>46056</v>
      </c>
      <c r="AI404" s="129"/>
      <c r="AJ404" s="129"/>
      <c r="AK404" s="129"/>
      <c r="AL404" s="129"/>
      <c r="AM404" s="129"/>
    </row>
    <row r="405" spans="1:39" ht="18" hidden="1" customHeight="1" x14ac:dyDescent="0.25">
      <c r="A405" s="117">
        <v>404</v>
      </c>
      <c r="B405" s="117"/>
      <c r="C405" s="118" t="s">
        <v>1379</v>
      </c>
      <c r="D405" s="146">
        <f t="array" aca="1" ref="D405" ca="1">SUM(--(_xlfn.UNIQUE(_xlfn._xlws.FILTER($M$2:$M$1011 &amp; "", ($C$2:$C$1011 = C405) * ($M$2:$M$1011 &lt;&gt; ""))) &lt;&gt; ""))</f>
        <v>1</v>
      </c>
      <c r="E405" s="166">
        <f t="shared" ca="1" si="24"/>
        <v>338</v>
      </c>
      <c r="F405" s="143">
        <v>3</v>
      </c>
      <c r="G405" s="143" t="s">
        <v>162</v>
      </c>
      <c r="H405" s="119">
        <f>_xlfn.XLOOKUP(G405,'🚛 FROTA'!B:B,'🚛 FROTA'!A:A,"")</f>
        <v>39</v>
      </c>
      <c r="I405" s="119"/>
      <c r="J405" s="119" t="str">
        <f>IF(G405="","",_xlfn.XLOOKUP(G405,'🚛 FROTA'!B:B,'🚛 FROTA'!E:E,""))</f>
        <v>Express Delivery</v>
      </c>
      <c r="K405" s="119" t="str">
        <f>IF(G405="","",_xlfn.XLOOKUP(G405,'🚛 FROTA'!B:B,'🚛 FROTA'!K:K,""))</f>
        <v>Carroceria Cabinado</v>
      </c>
      <c r="L405" s="143" t="s">
        <v>1375</v>
      </c>
      <c r="M405" s="143" t="s">
        <v>1376</v>
      </c>
      <c r="N405" s="145">
        <v>46021</v>
      </c>
      <c r="O405" s="143">
        <v>1</v>
      </c>
      <c r="P405" s="143">
        <v>2</v>
      </c>
      <c r="Q405" s="167">
        <v>169</v>
      </c>
      <c r="R405" s="143" t="s">
        <v>797</v>
      </c>
      <c r="S405" s="122" t="s">
        <v>534</v>
      </c>
      <c r="T405" s="120" t="s">
        <v>522</v>
      </c>
      <c r="U405" s="121" t="s">
        <v>555</v>
      </c>
      <c r="V405" s="119" t="s">
        <v>556</v>
      </c>
      <c r="W405" s="119" t="s">
        <v>1380</v>
      </c>
      <c r="X405" s="123" t="s">
        <v>1381</v>
      </c>
      <c r="Y405" s="119"/>
      <c r="Z405" s="124">
        <v>86929</v>
      </c>
      <c r="AA405" s="125"/>
      <c r="AB405" s="126"/>
      <c r="AC405" s="127"/>
      <c r="AD405" s="127"/>
      <c r="AE405" s="127"/>
      <c r="AF405" s="127"/>
      <c r="AG405" s="125"/>
      <c r="AH405" s="128">
        <f>IF(OR(R405="A Vista", R405="Crédito", R405="Adiantamento"), N405, IF(R405="Faturado", _xlfn.MINIFS(N:N, C:C, C405)-30, ""))</f>
        <v>46021</v>
      </c>
      <c r="AI405" s="129"/>
      <c r="AJ405" s="129"/>
      <c r="AK405" s="129"/>
      <c r="AL405" s="129"/>
      <c r="AM405" s="129"/>
    </row>
    <row r="406" spans="1:39" ht="18" hidden="1" customHeight="1" x14ac:dyDescent="0.25">
      <c r="A406" s="117">
        <v>405</v>
      </c>
      <c r="B406" s="117"/>
      <c r="C406" s="118" t="s">
        <v>1247</v>
      </c>
      <c r="D406" s="146">
        <f t="array" aca="1" ref="D406" ca="1">SUM(--(_xlfn.UNIQUE(_xlfn._xlws.FILTER($M$2:$M$1011 &amp; "", ($C$2:$C$1011 = C406) * ($M$2:$M$1011 &lt;&gt; ""))) &lt;&gt; ""))</f>
        <v>1</v>
      </c>
      <c r="E406" s="166">
        <f t="shared" ca="1" si="24"/>
        <v>1138</v>
      </c>
      <c r="F406" s="143">
        <v>3</v>
      </c>
      <c r="G406" s="143" t="s">
        <v>169</v>
      </c>
      <c r="H406" s="119">
        <f>_xlfn.XLOOKUP(G406,'🚛 FROTA'!B:B,'🚛 FROTA'!A:A,"")</f>
        <v>43</v>
      </c>
      <c r="I406" s="119"/>
      <c r="J406" s="119" t="str">
        <f>IF(G406="","",_xlfn.XLOOKUP(G406,'🚛 FROTA'!B:B,'🚛 FROTA'!E:E,""))</f>
        <v>Express Delivery</v>
      </c>
      <c r="K406" s="119" t="str">
        <f>IF(G406="","",_xlfn.XLOOKUP(G406,'🚛 FROTA'!B:B,'🚛 FROTA'!K:K,""))</f>
        <v>Carroceria</v>
      </c>
      <c r="L406" s="143" t="s">
        <v>552</v>
      </c>
      <c r="M406" s="143" t="s">
        <v>1248</v>
      </c>
      <c r="N406" s="145">
        <v>46084</v>
      </c>
      <c r="O406" s="143">
        <v>3</v>
      </c>
      <c r="P406" s="143">
        <v>3</v>
      </c>
      <c r="Q406" s="167">
        <v>379.33</v>
      </c>
      <c r="R406" s="143" t="s">
        <v>554</v>
      </c>
      <c r="S406" s="122" t="s">
        <v>534</v>
      </c>
      <c r="T406" s="120" t="s">
        <v>522</v>
      </c>
      <c r="U406" s="121" t="s">
        <v>555</v>
      </c>
      <c r="V406" s="119" t="s">
        <v>556</v>
      </c>
      <c r="W406" s="119" t="s">
        <v>699</v>
      </c>
      <c r="X406" s="123" t="s">
        <v>1249</v>
      </c>
      <c r="Y406" s="119"/>
      <c r="Z406" s="124">
        <v>61578</v>
      </c>
      <c r="AA406" s="125"/>
      <c r="AB406" s="126"/>
      <c r="AC406" s="127"/>
      <c r="AD406" s="127"/>
      <c r="AE406" s="127"/>
      <c r="AF406" s="127"/>
      <c r="AG406" s="125"/>
      <c r="AH406" s="128">
        <f ca="1">IF(OR(R406="A VISTA", R406="C. CRÉDITO", R406="ADIANTAMENTO"), N406, IF(R406="Faturado", _xlfn.MINIFS(N:N, C:C, C406)-30, ""))</f>
        <v>45997</v>
      </c>
      <c r="AI406" s="129" t="s">
        <v>559</v>
      </c>
      <c r="AJ406" s="129"/>
      <c r="AK406" s="129"/>
      <c r="AL406" s="129"/>
      <c r="AM406" s="129"/>
    </row>
    <row r="407" spans="1:39" ht="18" hidden="1" customHeight="1" x14ac:dyDescent="0.25">
      <c r="A407" s="117">
        <v>406</v>
      </c>
      <c r="B407" s="117"/>
      <c r="C407" s="118" t="s">
        <v>1261</v>
      </c>
      <c r="D407" s="146">
        <f t="array" aca="1" ref="D407" ca="1">SUM(--(_xlfn.UNIQUE(_xlfn._xlws.FILTER($M$2:$M$1011 &amp; "", ($C$2:$C$1011 = C407) * ($M$2:$M$1011 &lt;&gt; ""))) &lt;&gt; ""))</f>
        <v>1</v>
      </c>
      <c r="E407" s="166">
        <f t="shared" ca="1" si="24"/>
        <v>2040</v>
      </c>
      <c r="F407" s="143">
        <v>3</v>
      </c>
      <c r="G407" s="143" t="s">
        <v>155</v>
      </c>
      <c r="H407" s="119">
        <f>_xlfn.XLOOKUP(G407,'🚛 FROTA'!B:B,'🚛 FROTA'!A:A,"")</f>
        <v>34</v>
      </c>
      <c r="I407" s="119"/>
      <c r="J407" s="119" t="str">
        <f>IF(G407="","",_xlfn.XLOOKUP(G407,'🚛 FROTA'!B:B,'🚛 FROTA'!E:E,""))</f>
        <v>9.170 Delivery</v>
      </c>
      <c r="K407" s="119" t="str">
        <f>IF(G407="","",_xlfn.XLOOKUP(G407,'🚛 FROTA'!B:B,'🚛 FROTA'!K:K,""))</f>
        <v>Basculante</v>
      </c>
      <c r="L407" s="143" t="s">
        <v>552</v>
      </c>
      <c r="M407" s="143" t="s">
        <v>1262</v>
      </c>
      <c r="N407" s="145">
        <v>46084</v>
      </c>
      <c r="O407" s="143">
        <v>3</v>
      </c>
      <c r="P407" s="143">
        <v>3</v>
      </c>
      <c r="Q407" s="167">
        <v>680</v>
      </c>
      <c r="R407" s="143" t="s">
        <v>554</v>
      </c>
      <c r="S407" s="122" t="s">
        <v>534</v>
      </c>
      <c r="T407" s="120" t="s">
        <v>522</v>
      </c>
      <c r="U407" s="121" t="s">
        <v>555</v>
      </c>
      <c r="V407" s="119" t="s">
        <v>568</v>
      </c>
      <c r="W407" s="119" t="s">
        <v>1263</v>
      </c>
      <c r="X407" s="123" t="s">
        <v>1264</v>
      </c>
      <c r="Y407" s="119"/>
      <c r="Z407" s="124">
        <v>80967</v>
      </c>
      <c r="AA407" s="125"/>
      <c r="AB407" s="126"/>
      <c r="AC407" s="127"/>
      <c r="AD407" s="127"/>
      <c r="AE407" s="127"/>
      <c r="AF407" s="127"/>
      <c r="AG407" s="125"/>
      <c r="AH407" s="128">
        <f ca="1">IF(OR(R407="A VISTA", R407="C. CRÉDITO", R407="ADIANTAMENTO"), N407, IF(R407="Faturado", _xlfn.MINIFS(N:N, C:C, C407)-30, ""))</f>
        <v>45997</v>
      </c>
      <c r="AI407" s="129" t="s">
        <v>559</v>
      </c>
      <c r="AJ407" s="129"/>
      <c r="AK407" s="129"/>
      <c r="AL407" s="129"/>
      <c r="AM407" s="129"/>
    </row>
    <row r="408" spans="1:39" ht="18" hidden="1" customHeight="1" x14ac:dyDescent="0.25">
      <c r="A408" s="117">
        <v>407</v>
      </c>
      <c r="B408" s="117"/>
      <c r="C408" s="118" t="s">
        <v>1379</v>
      </c>
      <c r="D408" s="146">
        <f t="array" aca="1" ref="D408" ca="1">SUM(--(_xlfn.UNIQUE(_xlfn._xlws.FILTER($M$2:$M$1011 &amp; "", ($C$2:$C$1011 = C408) * ($M$2:$M$1011 &lt;&gt; ""))) &lt;&gt; ""))</f>
        <v>1</v>
      </c>
      <c r="E408" s="166">
        <f t="shared" ca="1" si="24"/>
        <v>338</v>
      </c>
      <c r="F408" s="143">
        <v>3</v>
      </c>
      <c r="G408" s="143" t="s">
        <v>162</v>
      </c>
      <c r="H408" s="119">
        <f>_xlfn.XLOOKUP(G408,'🚛 FROTA'!B:B,'🚛 FROTA'!A:A,"")</f>
        <v>39</v>
      </c>
      <c r="I408" s="119"/>
      <c r="J408" s="119" t="str">
        <f>IF(G408="","",_xlfn.XLOOKUP(G408,'🚛 FROTA'!B:B,'🚛 FROTA'!E:E,""))</f>
        <v>Express Delivery</v>
      </c>
      <c r="K408" s="119" t="str">
        <f>IF(G408="","",_xlfn.XLOOKUP(G408,'🚛 FROTA'!B:B,'🚛 FROTA'!K:K,""))</f>
        <v>Carroceria Cabinado</v>
      </c>
      <c r="L408" s="143" t="s">
        <v>1375</v>
      </c>
      <c r="M408" s="143" t="s">
        <v>1376</v>
      </c>
      <c r="N408" s="145">
        <v>46056</v>
      </c>
      <c r="O408" s="143">
        <v>2</v>
      </c>
      <c r="P408" s="143">
        <v>2</v>
      </c>
      <c r="Q408" s="167">
        <v>169</v>
      </c>
      <c r="R408" s="143" t="s">
        <v>797</v>
      </c>
      <c r="S408" s="122" t="s">
        <v>534</v>
      </c>
      <c r="T408" s="120" t="s">
        <v>522</v>
      </c>
      <c r="U408" s="121" t="s">
        <v>555</v>
      </c>
      <c r="V408" s="119" t="s">
        <v>556</v>
      </c>
      <c r="W408" s="119" t="s">
        <v>1380</v>
      </c>
      <c r="X408" s="123" t="s">
        <v>1381</v>
      </c>
      <c r="Y408" s="119"/>
      <c r="Z408" s="124">
        <v>86933</v>
      </c>
      <c r="AA408" s="125"/>
      <c r="AB408" s="126"/>
      <c r="AC408" s="127"/>
      <c r="AD408" s="127"/>
      <c r="AE408" s="127"/>
      <c r="AF408" s="127"/>
      <c r="AG408" s="125"/>
      <c r="AH408" s="128">
        <f>IF(OR(R408="A Vista", R408="Crédito", R408="Adiantamento"), N408, IF(R408="Faturado", _xlfn.MINIFS(N:N, C:C, C408)-30, ""))</f>
        <v>46056</v>
      </c>
      <c r="AI408" s="129"/>
      <c r="AJ408" s="129"/>
      <c r="AK408" s="129"/>
      <c r="AL408" s="129"/>
      <c r="AM408" s="129"/>
    </row>
    <row r="409" spans="1:39" ht="18" hidden="1" customHeight="1" x14ac:dyDescent="0.25">
      <c r="A409" s="117">
        <v>408</v>
      </c>
      <c r="B409" s="117"/>
      <c r="C409" s="118" t="s">
        <v>1344</v>
      </c>
      <c r="D409" s="146">
        <f t="array" aca="1" ref="D409" ca="1">SUM(--(_xlfn.UNIQUE(_xlfn._xlws.FILTER($M$2:$M$1011 &amp; "", ($C$2:$C$1011 = C409) * ($M$2:$M$1011 &lt;&gt; ""))) &lt;&gt; ""))</f>
        <v>1</v>
      </c>
      <c r="E409" s="166">
        <f t="shared" ca="1" si="24"/>
        <v>3013.3500000000004</v>
      </c>
      <c r="F409" s="143">
        <v>1</v>
      </c>
      <c r="G409" s="143" t="s">
        <v>165</v>
      </c>
      <c r="H409" s="119">
        <f>_xlfn.XLOOKUP(G409,'🚛 FROTA'!B:B,'🚛 FROTA'!A:A,"")</f>
        <v>40</v>
      </c>
      <c r="I409" s="119"/>
      <c r="J409" s="119" t="str">
        <f>IF(G409="","",_xlfn.XLOOKUP(G409,'🚛 FROTA'!B:B,'🚛 FROTA'!E:E,""))</f>
        <v>Express Delivery</v>
      </c>
      <c r="K409" s="119" t="str">
        <f>IF(G409="","",_xlfn.XLOOKUP(G409,'🚛 FROTA'!B:B,'🚛 FROTA'!K:K,""))</f>
        <v>Carroceria Cabinado</v>
      </c>
      <c r="L409" s="143" t="s">
        <v>682</v>
      </c>
      <c r="M409" s="143" t="s">
        <v>1345</v>
      </c>
      <c r="N409" s="145">
        <v>46086</v>
      </c>
      <c r="O409" s="143">
        <v>2</v>
      </c>
      <c r="P409" s="143">
        <v>3</v>
      </c>
      <c r="Q409" s="167">
        <v>1004.45</v>
      </c>
      <c r="R409" s="143" t="s">
        <v>554</v>
      </c>
      <c r="S409" s="122" t="s">
        <v>560</v>
      </c>
      <c r="T409" s="120" t="s">
        <v>522</v>
      </c>
      <c r="U409" s="121" t="s">
        <v>555</v>
      </c>
      <c r="V409" s="119" t="s">
        <v>556</v>
      </c>
      <c r="W409" s="119" t="s">
        <v>1346</v>
      </c>
      <c r="X409" s="123" t="s">
        <v>1347</v>
      </c>
      <c r="Y409" s="119" t="s">
        <v>1348</v>
      </c>
      <c r="Z409" s="130"/>
      <c r="AA409" s="125"/>
      <c r="AB409" s="126"/>
      <c r="AC409" s="127"/>
      <c r="AD409" s="127"/>
      <c r="AE409" s="127"/>
      <c r="AF409" s="127"/>
      <c r="AG409" s="125"/>
      <c r="AH409" s="128">
        <f t="shared" ref="AH409:AH414" ca="1" si="25">IF(OR(R409="A VISTA", R409="C. CRÉDITO", R409="ADIANTAMENTO"), N409, IF(R409="Faturado", _xlfn.MINIFS(N:N, C:C, C409)-30, ""))</f>
        <v>46028</v>
      </c>
      <c r="AI409" s="129" t="s">
        <v>686</v>
      </c>
      <c r="AJ409" s="129"/>
      <c r="AK409" s="129"/>
      <c r="AL409" s="129"/>
      <c r="AM409" s="129"/>
    </row>
    <row r="410" spans="1:39" ht="18" customHeight="1" x14ac:dyDescent="0.25">
      <c r="A410" s="117">
        <v>409</v>
      </c>
      <c r="B410" s="117"/>
      <c r="C410" s="118" t="s">
        <v>1349</v>
      </c>
      <c r="D410" s="146">
        <f t="array" aca="1" ref="D410" ca="1">SUM(--(_xlfn.UNIQUE(_xlfn._xlws.FILTER($M$2:$M$1011 &amp; "", ($C$2:$C$1011 = C410) * ($M$2:$M$1011 &lt;&gt; ""))) &lt;&gt; ""))</f>
        <v>1</v>
      </c>
      <c r="E410" s="166">
        <f t="shared" ca="1" si="24"/>
        <v>3164</v>
      </c>
      <c r="F410" s="143">
        <v>1</v>
      </c>
      <c r="G410" s="143" t="s">
        <v>128</v>
      </c>
      <c r="H410" s="119">
        <f>_xlfn.XLOOKUP(G410,'🚛 FROTA'!B:B,'🚛 FROTA'!A:A,"")</f>
        <v>20</v>
      </c>
      <c r="I410" s="119"/>
      <c r="J410" s="119" t="str">
        <f>IF(G410="","",_xlfn.XLOOKUP(G410,'🚛 FROTA'!B:B,'🚛 FROTA'!E:E,""))</f>
        <v>3CX</v>
      </c>
      <c r="K410" s="119"/>
      <c r="L410" s="143" t="s">
        <v>1350</v>
      </c>
      <c r="M410" s="143">
        <v>195177</v>
      </c>
      <c r="N410" s="145">
        <v>46087</v>
      </c>
      <c r="O410" s="143">
        <v>2</v>
      </c>
      <c r="P410" s="143">
        <v>4</v>
      </c>
      <c r="Q410" s="167">
        <v>791</v>
      </c>
      <c r="R410" s="143" t="s">
        <v>554</v>
      </c>
      <c r="S410" s="122" t="s">
        <v>560</v>
      </c>
      <c r="T410" s="120" t="s">
        <v>522</v>
      </c>
      <c r="U410" s="121" t="s">
        <v>555</v>
      </c>
      <c r="V410" s="119" t="s">
        <v>573</v>
      </c>
      <c r="W410" s="119" t="s">
        <v>574</v>
      </c>
      <c r="X410" s="123" t="s">
        <v>1351</v>
      </c>
      <c r="Y410" s="119" t="s">
        <v>576</v>
      </c>
      <c r="Z410" s="124"/>
      <c r="AA410" s="122" t="s">
        <v>577</v>
      </c>
      <c r="AB410" s="122">
        <v>2</v>
      </c>
      <c r="AC410" s="131" t="s">
        <v>613</v>
      </c>
      <c r="AD410" s="131" t="s">
        <v>1352</v>
      </c>
      <c r="AE410" s="131" t="s">
        <v>1353</v>
      </c>
      <c r="AF410" s="131" t="s">
        <v>581</v>
      </c>
      <c r="AG410" s="125" t="s">
        <v>582</v>
      </c>
      <c r="AH410" s="128">
        <f t="shared" ca="1" si="25"/>
        <v>46029</v>
      </c>
      <c r="AI410" s="129" t="s">
        <v>1354</v>
      </c>
      <c r="AJ410" s="129"/>
      <c r="AK410" s="129"/>
      <c r="AL410" s="129"/>
      <c r="AM410" s="129"/>
    </row>
    <row r="411" spans="1:39" ht="18" hidden="1" customHeight="1" x14ac:dyDescent="0.25">
      <c r="A411" s="117">
        <v>410</v>
      </c>
      <c r="B411" s="117"/>
      <c r="C411" s="118" t="s">
        <v>471</v>
      </c>
      <c r="D411" s="146">
        <f t="array" aca="1" ref="D411" ca="1">SUM(--(_xlfn.UNIQUE(_xlfn._xlws.FILTER($M$2:$M$1011 &amp; "", ($C$2:$C$1011 = C411) * ($M$2:$M$1011 &lt;&gt; ""))) &lt;&gt; ""))</f>
        <v>4</v>
      </c>
      <c r="E411" s="166">
        <f t="shared" ca="1" si="24"/>
        <v>11260.97</v>
      </c>
      <c r="F411" s="143">
        <v>1</v>
      </c>
      <c r="G411" s="143" t="s">
        <v>166</v>
      </c>
      <c r="H411" s="119">
        <f>_xlfn.XLOOKUP(G411,'🚛 FROTA'!B:B,'🚛 FROTA'!A:A,"")</f>
        <v>41</v>
      </c>
      <c r="I411" s="119"/>
      <c r="J411" s="119" t="str">
        <f>IF(G411="","",_xlfn.XLOOKUP(G411,'🚛 FROTA'!B:B,'🚛 FROTA'!E:E,""))</f>
        <v>Express Delivery</v>
      </c>
      <c r="K411" s="119" t="str">
        <f>IF(G411="","",_xlfn.XLOOKUP(G411,'🚛 FROTA'!B:B,'🚛 FROTA'!K:K,""))</f>
        <v>Carroceria Cabinado</v>
      </c>
      <c r="L411" s="143" t="s">
        <v>682</v>
      </c>
      <c r="M411" s="143" t="s">
        <v>1289</v>
      </c>
      <c r="N411" s="145">
        <v>46084</v>
      </c>
      <c r="O411" s="143">
        <v>3</v>
      </c>
      <c r="P411" s="143">
        <v>3</v>
      </c>
      <c r="Q411" s="167">
        <v>1950.9</v>
      </c>
      <c r="R411" s="143" t="s">
        <v>554</v>
      </c>
      <c r="S411" s="122" t="s">
        <v>560</v>
      </c>
      <c r="T411" s="120" t="s">
        <v>522</v>
      </c>
      <c r="U411" s="121" t="s">
        <v>555</v>
      </c>
      <c r="V411" s="119" t="s">
        <v>568</v>
      </c>
      <c r="W411" s="119" t="s">
        <v>1290</v>
      </c>
      <c r="X411" s="123" t="s">
        <v>1291</v>
      </c>
      <c r="Y411" s="119"/>
      <c r="Z411" s="124">
        <v>85050</v>
      </c>
      <c r="AA411" s="125"/>
      <c r="AB411" s="126"/>
      <c r="AC411" s="127"/>
      <c r="AD411" s="127"/>
      <c r="AE411" s="127"/>
      <c r="AF411" s="127"/>
      <c r="AG411" s="125"/>
      <c r="AH411" s="128">
        <f t="shared" ca="1" si="25"/>
        <v>45976</v>
      </c>
      <c r="AI411" s="129" t="s">
        <v>686</v>
      </c>
      <c r="AJ411" s="129"/>
      <c r="AK411" s="129"/>
      <c r="AL411" s="129"/>
      <c r="AM411" s="129"/>
    </row>
    <row r="412" spans="1:39" ht="18" hidden="1" customHeight="1" x14ac:dyDescent="0.25">
      <c r="A412" s="117">
        <v>411</v>
      </c>
      <c r="B412" s="117"/>
      <c r="C412" s="118" t="s">
        <v>1244</v>
      </c>
      <c r="D412" s="146">
        <f t="array" aca="1" ref="D412" ca="1">SUM(--(_xlfn.UNIQUE(_xlfn._xlws.FILTER($M$2:$M$1011 &amp; "", ($C$2:$C$1011 = C412) * ($M$2:$M$1011 &lt;&gt; ""))) &lt;&gt; ""))</f>
        <v>2</v>
      </c>
      <c r="E412" s="166">
        <f t="shared" ca="1" si="24"/>
        <v>4345.95</v>
      </c>
      <c r="F412" s="143">
        <v>3</v>
      </c>
      <c r="G412" s="143" t="s">
        <v>165</v>
      </c>
      <c r="H412" s="119">
        <f>_xlfn.XLOOKUP(G412,'🚛 FROTA'!B:B,'🚛 FROTA'!A:A,"")</f>
        <v>40</v>
      </c>
      <c r="I412" s="119"/>
      <c r="J412" s="119" t="str">
        <f>IF(G412="","",_xlfn.XLOOKUP(G412,'🚛 FROTA'!B:B,'🚛 FROTA'!E:E,""))</f>
        <v>Express Delivery</v>
      </c>
      <c r="K412" s="119" t="str">
        <f>IF(G412="","",_xlfn.XLOOKUP(G412,'🚛 FROTA'!B:B,'🚛 FROTA'!K:K,""))</f>
        <v>Carroceria Cabinado</v>
      </c>
      <c r="L412" s="143" t="s">
        <v>1129</v>
      </c>
      <c r="M412" s="143" t="s">
        <v>1316</v>
      </c>
      <c r="N412" s="145">
        <v>46090</v>
      </c>
      <c r="O412" s="143">
        <v>3</v>
      </c>
      <c r="P412" s="143">
        <v>3</v>
      </c>
      <c r="Q412" s="167">
        <v>466.67</v>
      </c>
      <c r="R412" s="143" t="s">
        <v>554</v>
      </c>
      <c r="S412" s="122" t="s">
        <v>534</v>
      </c>
      <c r="T412" s="120" t="s">
        <v>522</v>
      </c>
      <c r="U412" s="121" t="s">
        <v>555</v>
      </c>
      <c r="V412" s="119" t="s">
        <v>689</v>
      </c>
      <c r="W412" s="119" t="s">
        <v>1317</v>
      </c>
      <c r="X412" s="123" t="s">
        <v>1317</v>
      </c>
      <c r="Y412" s="119"/>
      <c r="Z412" s="124">
        <v>56000</v>
      </c>
      <c r="AA412" s="125"/>
      <c r="AB412" s="126"/>
      <c r="AC412" s="127"/>
      <c r="AD412" s="127"/>
      <c r="AE412" s="127"/>
      <c r="AF412" s="127"/>
      <c r="AG412" s="125"/>
      <c r="AH412" s="128">
        <f t="shared" ca="1" si="25"/>
        <v>45993</v>
      </c>
      <c r="AI412" s="129" t="s">
        <v>1132</v>
      </c>
      <c r="AJ412" s="129"/>
      <c r="AK412" s="129"/>
      <c r="AL412" s="129"/>
      <c r="AM412" s="129"/>
    </row>
    <row r="413" spans="1:39" ht="18" hidden="1" customHeight="1" x14ac:dyDescent="0.25">
      <c r="A413" s="117">
        <v>412</v>
      </c>
      <c r="B413" s="117"/>
      <c r="C413" s="118" t="s">
        <v>1382</v>
      </c>
      <c r="D413" s="146">
        <f t="array" aca="1" ref="D413" ca="1">SUM(--(_xlfn.UNIQUE(_xlfn._xlws.FILTER($M$2:$M$1011 &amp; "", ($C$2:$C$1011 = C413) * ($M$2:$M$1011 &lt;&gt; ""))) &lt;&gt; ""))</f>
        <v>2</v>
      </c>
      <c r="E413" s="166">
        <f t="shared" ca="1" si="24"/>
        <v>5896.7799999999907</v>
      </c>
      <c r="F413" s="143">
        <v>1</v>
      </c>
      <c r="G413" s="143" t="s">
        <v>141</v>
      </c>
      <c r="H413" s="119">
        <f>_xlfn.XLOOKUP(G413,'🚛 FROTA'!B:B,'🚛 FROTA'!A:A,"")</f>
        <v>24</v>
      </c>
      <c r="I413" s="119"/>
      <c r="J413" s="119" t="str">
        <f>IF(G413="","",_xlfn.XLOOKUP(G413,'🚛 FROTA'!B:B,'🚛 FROTA'!E:E,""))</f>
        <v>14.190 Constellation</v>
      </c>
      <c r="K413" s="119" t="str">
        <f>IF(G413="","",_xlfn.XLOOKUP(G413,'🚛 FROTA'!B:B,'🚛 FROTA'!K:K,""))</f>
        <v>Munck</v>
      </c>
      <c r="L413" s="143" t="s">
        <v>682</v>
      </c>
      <c r="M413" s="143" t="s">
        <v>1383</v>
      </c>
      <c r="N413" s="145">
        <v>46090</v>
      </c>
      <c r="O413" s="143">
        <v>1</v>
      </c>
      <c r="P413" s="143">
        <v>3</v>
      </c>
      <c r="Q413" s="167">
        <v>522.26</v>
      </c>
      <c r="R413" s="143" t="s">
        <v>554</v>
      </c>
      <c r="S413" s="122" t="s">
        <v>560</v>
      </c>
      <c r="T413" s="120" t="s">
        <v>522</v>
      </c>
      <c r="U413" s="121" t="s">
        <v>555</v>
      </c>
      <c r="V413" s="119" t="s">
        <v>689</v>
      </c>
      <c r="W413" s="119" t="s">
        <v>1384</v>
      </c>
      <c r="X413" s="123" t="s">
        <v>1385</v>
      </c>
      <c r="Y413" s="119"/>
      <c r="Z413" s="130">
        <v>142937</v>
      </c>
      <c r="AA413" s="125"/>
      <c r="AB413" s="126"/>
      <c r="AC413" s="127"/>
      <c r="AD413" s="127"/>
      <c r="AE413" s="127"/>
      <c r="AF413" s="127"/>
      <c r="AG413" s="125"/>
      <c r="AH413" s="128">
        <f t="shared" ca="1" si="25"/>
        <v>46060</v>
      </c>
      <c r="AI413" s="129" t="s">
        <v>686</v>
      </c>
      <c r="AJ413" s="129"/>
      <c r="AK413" s="129"/>
      <c r="AL413" s="129"/>
      <c r="AM413" s="129"/>
    </row>
    <row r="414" spans="1:39" ht="18" hidden="1" customHeight="1" x14ac:dyDescent="0.25">
      <c r="A414" s="117">
        <v>413</v>
      </c>
      <c r="B414" s="117"/>
      <c r="C414" s="118" t="s">
        <v>1355</v>
      </c>
      <c r="D414" s="146">
        <f t="array" aca="1" ref="D414" ca="1">SUM(--(_xlfn.UNIQUE(_xlfn._xlws.FILTER($M$2:$M$1011 &amp; "", ($C$2:$C$1011 = C414) * ($M$2:$M$1011 &lt;&gt; ""))) &lt;&gt; ""))</f>
        <v>1</v>
      </c>
      <c r="E414" s="166">
        <f t="shared" ca="1" si="24"/>
        <v>2200</v>
      </c>
      <c r="F414" s="143">
        <v>3</v>
      </c>
      <c r="G414" s="143" t="s">
        <v>166</v>
      </c>
      <c r="H414" s="119">
        <f>_xlfn.XLOOKUP(G414,'🚛 FROTA'!B:B,'🚛 FROTA'!A:A,"")</f>
        <v>41</v>
      </c>
      <c r="I414" s="119"/>
      <c r="J414" s="119" t="str">
        <f>IF(G414="","",_xlfn.XLOOKUP(G414,'🚛 FROTA'!B:B,'🚛 FROTA'!E:E,""))</f>
        <v>Express Delivery</v>
      </c>
      <c r="K414" s="119" t="str">
        <f>IF(G414="","",_xlfn.XLOOKUP(G414,'🚛 FROTA'!B:B,'🚛 FROTA'!K:K,""))</f>
        <v>Carroceria Cabinado</v>
      </c>
      <c r="L414" s="143" t="s">
        <v>876</v>
      </c>
      <c r="M414" s="143" t="s">
        <v>1356</v>
      </c>
      <c r="N414" s="145">
        <v>46090</v>
      </c>
      <c r="O414" s="143">
        <v>1</v>
      </c>
      <c r="P414" s="143">
        <v>2</v>
      </c>
      <c r="Q414" s="167">
        <v>400</v>
      </c>
      <c r="R414" s="143" t="s">
        <v>554</v>
      </c>
      <c r="S414" s="122" t="s">
        <v>534</v>
      </c>
      <c r="T414" s="120" t="s">
        <v>522</v>
      </c>
      <c r="U414" s="121" t="s">
        <v>555</v>
      </c>
      <c r="V414" s="119" t="s">
        <v>670</v>
      </c>
      <c r="W414" s="119" t="s">
        <v>1357</v>
      </c>
      <c r="X414" s="123" t="s">
        <v>1358</v>
      </c>
      <c r="Y414" s="119"/>
      <c r="Z414" s="124">
        <v>89924</v>
      </c>
      <c r="AA414" s="125"/>
      <c r="AB414" s="126"/>
      <c r="AC414" s="127"/>
      <c r="AD414" s="127"/>
      <c r="AE414" s="127"/>
      <c r="AF414" s="127"/>
      <c r="AG414" s="125"/>
      <c r="AH414" s="128">
        <f t="shared" ca="1" si="25"/>
        <v>46047</v>
      </c>
      <c r="AI414" s="129" t="s">
        <v>880</v>
      </c>
      <c r="AJ414" s="129"/>
      <c r="AK414" s="129"/>
      <c r="AL414" s="129"/>
      <c r="AM414" s="129"/>
    </row>
    <row r="415" spans="1:39" ht="18" hidden="1" customHeight="1" x14ac:dyDescent="0.25">
      <c r="A415" s="117">
        <v>414</v>
      </c>
      <c r="B415" s="117"/>
      <c r="C415" s="118" t="s">
        <v>1386</v>
      </c>
      <c r="D415" s="146">
        <f t="array" aca="1" ref="D415" ca="1">SUM(--(_xlfn.UNIQUE(_xlfn._xlws.FILTER($M$2:$M$1011 &amp; "", ($C$2:$C$1011 = C415) * ($M$2:$M$1011 &lt;&gt; ""))) &lt;&gt; ""))</f>
        <v>4</v>
      </c>
      <c r="E415" s="166">
        <f t="shared" ca="1" si="24"/>
        <v>5325.0100000000011</v>
      </c>
      <c r="F415" s="143">
        <v>1</v>
      </c>
      <c r="G415" s="143" t="s">
        <v>162</v>
      </c>
      <c r="H415" s="119">
        <f>_xlfn.XLOOKUP(G415,'🚛 FROTA'!B:B,'🚛 FROTA'!A:A,"")</f>
        <v>39</v>
      </c>
      <c r="I415" s="119"/>
      <c r="J415" s="119" t="str">
        <f>IF(G415="","",_xlfn.XLOOKUP(G415,'🚛 FROTA'!B:B,'🚛 FROTA'!E:E,""))</f>
        <v>Express Delivery</v>
      </c>
      <c r="K415" s="119" t="str">
        <f>IF(G415="","",_xlfn.XLOOKUP(G415,'🚛 FROTA'!B:B,'🚛 FROTA'!K:K,""))</f>
        <v>Carroceria Cabinado</v>
      </c>
      <c r="L415" s="143" t="s">
        <v>1387</v>
      </c>
      <c r="M415" s="143">
        <v>148528</v>
      </c>
      <c r="N415" s="145">
        <v>46090</v>
      </c>
      <c r="O415" s="143">
        <v>1</v>
      </c>
      <c r="P415" s="143">
        <v>1</v>
      </c>
      <c r="Q415" s="167">
        <v>1455</v>
      </c>
      <c r="R415" s="143" t="s">
        <v>651</v>
      </c>
      <c r="S415" s="122" t="s">
        <v>560</v>
      </c>
      <c r="T415" s="120" t="s">
        <v>522</v>
      </c>
      <c r="U415" s="121" t="s">
        <v>555</v>
      </c>
      <c r="V415" s="119" t="s">
        <v>689</v>
      </c>
      <c r="W415" s="119" t="s">
        <v>1388</v>
      </c>
      <c r="X415" s="123" t="s">
        <v>1389</v>
      </c>
      <c r="Y415" s="119"/>
      <c r="Z415" s="124">
        <v>87685</v>
      </c>
      <c r="AA415" s="125"/>
      <c r="AB415" s="126"/>
      <c r="AC415" s="127"/>
      <c r="AD415" s="127"/>
      <c r="AE415" s="127"/>
      <c r="AF415" s="127"/>
      <c r="AG415" s="125"/>
      <c r="AH415" s="128">
        <f>IF(OR(R415="A Vista", R415="Crédito", R415="Adiantamento"), N415, IF(R415="Faturado", _xlfn.MINIFS(N:N, C:C, C415)-30, ""))</f>
        <v>46090</v>
      </c>
      <c r="AI415" s="129"/>
      <c r="AJ415" s="129"/>
      <c r="AK415" s="129"/>
      <c r="AL415" s="129"/>
      <c r="AM415" s="129"/>
    </row>
    <row r="416" spans="1:39" ht="18" customHeight="1" x14ac:dyDescent="0.25">
      <c r="A416" s="117">
        <v>415</v>
      </c>
      <c r="B416" s="117"/>
      <c r="C416" s="118" t="s">
        <v>1283</v>
      </c>
      <c r="D416" s="146">
        <f t="array" aca="1" ref="D416" ca="1">SUM(--(_xlfn.UNIQUE(_xlfn._xlws.FILTER($M$2:$M$1011 &amp; "", ($C$2:$C$1011 = C416) * ($M$2:$M$1011 &lt;&gt; ""))) &lt;&gt; ""))</f>
        <v>1</v>
      </c>
      <c r="E416" s="166">
        <f t="shared" ca="1" si="24"/>
        <v>1504</v>
      </c>
      <c r="F416" s="143">
        <v>1</v>
      </c>
      <c r="G416" s="143" t="s">
        <v>170</v>
      </c>
      <c r="H416" s="119">
        <f>_xlfn.XLOOKUP(G416,'🚛 FROTA'!B:B,'🚛 FROTA'!A:A,"")</f>
        <v>44</v>
      </c>
      <c r="I416" s="119"/>
      <c r="J416" s="119" t="str">
        <f>IF(G416="","",_xlfn.XLOOKUP(G416,'🚛 FROTA'!B:B,'🚛 FROTA'!E:E,""))</f>
        <v>Express Delivery</v>
      </c>
      <c r="K416" s="119" t="str">
        <f>IF(G416="","",_xlfn.XLOOKUP(G416,'🚛 FROTA'!B:B,'🚛 FROTA'!K:K,""))</f>
        <v>Carroceria</v>
      </c>
      <c r="L416" s="143" t="s">
        <v>604</v>
      </c>
      <c r="M416" s="143" t="s">
        <v>1284</v>
      </c>
      <c r="N416" s="145">
        <v>46091</v>
      </c>
      <c r="O416" s="143">
        <v>3</v>
      </c>
      <c r="P416" s="143">
        <v>4</v>
      </c>
      <c r="Q416" s="167">
        <v>376</v>
      </c>
      <c r="R416" s="143" t="s">
        <v>554</v>
      </c>
      <c r="S416" s="122" t="s">
        <v>560</v>
      </c>
      <c r="T416" s="120" t="s">
        <v>522</v>
      </c>
      <c r="U416" s="121" t="s">
        <v>555</v>
      </c>
      <c r="V416" s="119" t="s">
        <v>573</v>
      </c>
      <c r="W416" s="119" t="s">
        <v>574</v>
      </c>
      <c r="X416" s="123" t="s">
        <v>1285</v>
      </c>
      <c r="Y416" s="119" t="s">
        <v>576</v>
      </c>
      <c r="Z416" s="124">
        <v>43296</v>
      </c>
      <c r="AA416" s="134" t="s">
        <v>759</v>
      </c>
      <c r="AB416" s="122">
        <v>2</v>
      </c>
      <c r="AC416" s="131" t="s">
        <v>578</v>
      </c>
      <c r="AD416" s="131" t="s">
        <v>607</v>
      </c>
      <c r="AE416" s="131" t="s">
        <v>608</v>
      </c>
      <c r="AF416" s="131" t="s">
        <v>581</v>
      </c>
      <c r="AG416" s="125" t="s">
        <v>582</v>
      </c>
      <c r="AH416" s="128">
        <f t="shared" ref="AH416:AH430" ca="1" si="26">IF(OR(R416="A VISTA", R416="C. CRÉDITO", R416="ADIANTAMENTO"), N416, IF(R416="Faturado", _xlfn.MINIFS(N:N, C:C, C416)-30, ""))</f>
        <v>46001</v>
      </c>
      <c r="AI416" s="129" t="s">
        <v>609</v>
      </c>
      <c r="AJ416" s="129"/>
      <c r="AK416" s="129"/>
      <c r="AL416" s="129"/>
      <c r="AM416" s="129"/>
    </row>
    <row r="417" spans="1:39" ht="18" customHeight="1" x14ac:dyDescent="0.25">
      <c r="A417" s="117">
        <v>416</v>
      </c>
      <c r="B417" s="117"/>
      <c r="C417" s="118" t="s">
        <v>1286</v>
      </c>
      <c r="D417" s="146">
        <f t="array" aca="1" ref="D417" ca="1">SUM(--(_xlfn.UNIQUE(_xlfn._xlws.FILTER($M$2:$M$1011 &amp; "", ($C$2:$C$1011 = C417) * ($M$2:$M$1011 &lt;&gt; ""))) &lt;&gt; ""))</f>
        <v>1</v>
      </c>
      <c r="E417" s="166">
        <f t="shared" ca="1" si="24"/>
        <v>1504</v>
      </c>
      <c r="F417" s="143">
        <v>1</v>
      </c>
      <c r="G417" s="143" t="s">
        <v>172</v>
      </c>
      <c r="H417" s="119">
        <f>_xlfn.XLOOKUP(G417,'🚛 FROTA'!B:B,'🚛 FROTA'!A:A,"")</f>
        <v>45</v>
      </c>
      <c r="I417" s="119"/>
      <c r="J417" s="119" t="str">
        <f>IF(G417="","",_xlfn.XLOOKUP(G417,'🚛 FROTA'!B:B,'🚛 FROTA'!E:E,""))</f>
        <v>Express Delivery</v>
      </c>
      <c r="K417" s="119" t="str">
        <f>IF(G417="","",_xlfn.XLOOKUP(G417,'🚛 FROTA'!B:B,'🚛 FROTA'!K:K,""))</f>
        <v>Carroceria</v>
      </c>
      <c r="L417" s="143" t="s">
        <v>604</v>
      </c>
      <c r="M417" s="143" t="s">
        <v>1284</v>
      </c>
      <c r="N417" s="145">
        <v>46091</v>
      </c>
      <c r="O417" s="143">
        <v>3</v>
      </c>
      <c r="P417" s="143">
        <v>4</v>
      </c>
      <c r="Q417" s="167">
        <v>376</v>
      </c>
      <c r="R417" s="143" t="s">
        <v>554</v>
      </c>
      <c r="S417" s="122" t="s">
        <v>560</v>
      </c>
      <c r="T417" s="120" t="s">
        <v>522</v>
      </c>
      <c r="U417" s="121" t="s">
        <v>555</v>
      </c>
      <c r="V417" s="119" t="s">
        <v>573</v>
      </c>
      <c r="W417" s="119" t="s">
        <v>574</v>
      </c>
      <c r="X417" s="123" t="s">
        <v>1285</v>
      </c>
      <c r="Y417" s="119" t="s">
        <v>576</v>
      </c>
      <c r="Z417" s="124">
        <v>47489</v>
      </c>
      <c r="AA417" s="134" t="s">
        <v>759</v>
      </c>
      <c r="AB417" s="122">
        <v>2</v>
      </c>
      <c r="AC417" s="131" t="s">
        <v>578</v>
      </c>
      <c r="AD417" s="131" t="s">
        <v>607</v>
      </c>
      <c r="AE417" s="131" t="s">
        <v>608</v>
      </c>
      <c r="AF417" s="131" t="s">
        <v>581</v>
      </c>
      <c r="AG417" s="125" t="s">
        <v>582</v>
      </c>
      <c r="AH417" s="128">
        <f t="shared" ca="1" si="26"/>
        <v>46001</v>
      </c>
      <c r="AI417" s="129" t="s">
        <v>609</v>
      </c>
      <c r="AJ417" s="129"/>
      <c r="AK417" s="129"/>
      <c r="AL417" s="129"/>
      <c r="AM417" s="129"/>
    </row>
    <row r="418" spans="1:39" ht="18" customHeight="1" x14ac:dyDescent="0.25">
      <c r="A418" s="117">
        <v>417</v>
      </c>
      <c r="B418" s="117"/>
      <c r="C418" s="118" t="s">
        <v>1287</v>
      </c>
      <c r="D418" s="146">
        <f t="array" aca="1" ref="D418" ca="1">SUM(--(_xlfn.UNIQUE(_xlfn._xlws.FILTER($M$2:$M$1011 &amp; "", ($C$2:$C$1011 = C418) * ($M$2:$M$1011 &lt;&gt; ""))) &lt;&gt; ""))</f>
        <v>1</v>
      </c>
      <c r="E418" s="166">
        <f t="shared" ca="1" si="24"/>
        <v>1504</v>
      </c>
      <c r="F418" s="143">
        <v>1</v>
      </c>
      <c r="G418" s="143" t="s">
        <v>165</v>
      </c>
      <c r="H418" s="119">
        <f>_xlfn.XLOOKUP(G418,'🚛 FROTA'!B:B,'🚛 FROTA'!A:A,"")</f>
        <v>40</v>
      </c>
      <c r="I418" s="119"/>
      <c r="J418" s="119" t="str">
        <f>IF(G418="","",_xlfn.XLOOKUP(G418,'🚛 FROTA'!B:B,'🚛 FROTA'!E:E,""))</f>
        <v>Express Delivery</v>
      </c>
      <c r="K418" s="119" t="str">
        <f>IF(G418="","",_xlfn.XLOOKUP(G418,'🚛 FROTA'!B:B,'🚛 FROTA'!K:K,""))</f>
        <v>Carroceria Cabinado</v>
      </c>
      <c r="L418" s="143" t="s">
        <v>604</v>
      </c>
      <c r="M418" s="143" t="s">
        <v>1284</v>
      </c>
      <c r="N418" s="145">
        <v>46091</v>
      </c>
      <c r="O418" s="143">
        <v>3</v>
      </c>
      <c r="P418" s="143">
        <v>4</v>
      </c>
      <c r="Q418" s="167">
        <v>376</v>
      </c>
      <c r="R418" s="143" t="s">
        <v>554</v>
      </c>
      <c r="S418" s="122" t="s">
        <v>560</v>
      </c>
      <c r="T418" s="120" t="s">
        <v>522</v>
      </c>
      <c r="U418" s="121" t="s">
        <v>555</v>
      </c>
      <c r="V418" s="119" t="s">
        <v>573</v>
      </c>
      <c r="W418" s="119" t="s">
        <v>574</v>
      </c>
      <c r="X418" s="123" t="s">
        <v>1288</v>
      </c>
      <c r="Y418" s="119" t="s">
        <v>576</v>
      </c>
      <c r="Z418" s="124">
        <v>56826</v>
      </c>
      <c r="AA418" s="134" t="s">
        <v>759</v>
      </c>
      <c r="AB418" s="122">
        <v>2</v>
      </c>
      <c r="AC418" s="131" t="s">
        <v>578</v>
      </c>
      <c r="AD418" s="131" t="s">
        <v>607</v>
      </c>
      <c r="AE418" s="131" t="s">
        <v>608</v>
      </c>
      <c r="AF418" s="131" t="s">
        <v>581</v>
      </c>
      <c r="AG418" s="125" t="s">
        <v>582</v>
      </c>
      <c r="AH418" s="128">
        <f t="shared" ca="1" si="26"/>
        <v>46001</v>
      </c>
      <c r="AI418" s="129" t="s">
        <v>609</v>
      </c>
      <c r="AJ418" s="129"/>
      <c r="AK418" s="129"/>
      <c r="AL418" s="129"/>
      <c r="AM418" s="129"/>
    </row>
    <row r="419" spans="1:39" ht="18" hidden="1" customHeight="1" x14ac:dyDescent="0.25">
      <c r="A419" s="117">
        <v>418</v>
      </c>
      <c r="B419" s="117"/>
      <c r="C419" s="118" t="s">
        <v>1390</v>
      </c>
      <c r="D419" s="146">
        <f t="array" aca="1" ref="D419" ca="1">SUM(--(_xlfn.UNIQUE(_xlfn._xlws.FILTER($M$2:$M$1011 &amp; "", ($C$2:$C$1011 = C419) * ($M$2:$M$1011 &lt;&gt; ""))) &lt;&gt; ""))</f>
        <v>1</v>
      </c>
      <c r="E419" s="166">
        <f t="shared" ca="1" si="24"/>
        <v>799.5</v>
      </c>
      <c r="F419" s="143">
        <v>3</v>
      </c>
      <c r="G419" s="143" t="s">
        <v>162</v>
      </c>
      <c r="H419" s="119">
        <f>_xlfn.XLOOKUP(G419,'🚛 FROTA'!B:B,'🚛 FROTA'!A:A,"")</f>
        <v>39</v>
      </c>
      <c r="I419" s="119"/>
      <c r="J419" s="119" t="str">
        <f>IF(G419="","",_xlfn.XLOOKUP(G419,'🚛 FROTA'!B:B,'🚛 FROTA'!E:E,""))</f>
        <v>Express Delivery</v>
      </c>
      <c r="K419" s="119" t="str">
        <f>IF(G419="","",_xlfn.XLOOKUP(G419,'🚛 FROTA'!B:B,'🚛 FROTA'!K:K,""))</f>
        <v>Carroceria Cabinado</v>
      </c>
      <c r="L419" s="143" t="s">
        <v>976</v>
      </c>
      <c r="M419" s="143" t="s">
        <v>1391</v>
      </c>
      <c r="N419" s="145">
        <v>46091</v>
      </c>
      <c r="O419" s="143">
        <v>1</v>
      </c>
      <c r="P419" s="143">
        <v>2</v>
      </c>
      <c r="Q419" s="167">
        <v>399.75</v>
      </c>
      <c r="R419" s="143" t="s">
        <v>554</v>
      </c>
      <c r="S419" s="122" t="s">
        <v>534</v>
      </c>
      <c r="T419" s="120" t="s">
        <v>522</v>
      </c>
      <c r="U419" s="121" t="s">
        <v>555</v>
      </c>
      <c r="V419" s="119" t="s">
        <v>978</v>
      </c>
      <c r="W419" s="119" t="s">
        <v>1392</v>
      </c>
      <c r="X419" s="123" t="s">
        <v>1393</v>
      </c>
      <c r="Y419" s="119"/>
      <c r="Z419" s="130"/>
      <c r="AA419" s="125"/>
      <c r="AB419" s="126"/>
      <c r="AC419" s="127"/>
      <c r="AD419" s="127"/>
      <c r="AE419" s="127"/>
      <c r="AF419" s="127"/>
      <c r="AG419" s="125"/>
      <c r="AH419" s="128">
        <f t="shared" ca="1" si="26"/>
        <v>46061</v>
      </c>
      <c r="AI419" s="129" t="s">
        <v>981</v>
      </c>
      <c r="AJ419" s="129"/>
      <c r="AK419" s="129"/>
      <c r="AL419" s="129"/>
      <c r="AM419" s="129"/>
    </row>
    <row r="420" spans="1:39" ht="18" hidden="1" customHeight="1" x14ac:dyDescent="0.25">
      <c r="A420" s="117">
        <v>419</v>
      </c>
      <c r="B420" s="117"/>
      <c r="C420" s="118" t="s">
        <v>1394</v>
      </c>
      <c r="D420" s="146">
        <f t="array" aca="1" ref="D420" ca="1">SUM(--(_xlfn.UNIQUE(_xlfn._xlws.FILTER($M$2:$M$1011 &amp; "", ($C$2:$C$1011 = C420) * ($M$2:$M$1011 &lt;&gt; ""))) &lt;&gt; ""))</f>
        <v>1</v>
      </c>
      <c r="E420" s="166">
        <f t="shared" ca="1" si="24"/>
        <v>920.5</v>
      </c>
      <c r="F420" s="143">
        <v>3</v>
      </c>
      <c r="G420" s="143" t="s">
        <v>85</v>
      </c>
      <c r="H420" s="119">
        <f>_xlfn.XLOOKUP(G420,'🚛 FROTA'!B:B,'🚛 FROTA'!A:A,"")</f>
        <v>6</v>
      </c>
      <c r="I420" s="119"/>
      <c r="J420" s="119" t="str">
        <f>IF(G420="","",_xlfn.XLOOKUP(G420,'🚛 FROTA'!B:B,'🚛 FROTA'!E:E,""))</f>
        <v>13.180 Constellation</v>
      </c>
      <c r="K420" s="119" t="str">
        <f>IF(G420="","",_xlfn.XLOOKUP(G420,'🚛 FROTA'!B:B,'🚛 FROTA'!K:K,""))</f>
        <v>Munck</v>
      </c>
      <c r="L420" s="143" t="s">
        <v>976</v>
      </c>
      <c r="M420" s="143" t="s">
        <v>1391</v>
      </c>
      <c r="N420" s="145">
        <v>46091</v>
      </c>
      <c r="O420" s="143">
        <v>1</v>
      </c>
      <c r="P420" s="143">
        <v>2</v>
      </c>
      <c r="Q420" s="167">
        <v>460.25</v>
      </c>
      <c r="R420" s="143" t="s">
        <v>554</v>
      </c>
      <c r="S420" s="122" t="s">
        <v>534</v>
      </c>
      <c r="T420" s="120" t="s">
        <v>522</v>
      </c>
      <c r="U420" s="121" t="s">
        <v>555</v>
      </c>
      <c r="V420" s="119" t="s">
        <v>978</v>
      </c>
      <c r="W420" s="119" t="s">
        <v>1392</v>
      </c>
      <c r="X420" s="123" t="s">
        <v>1395</v>
      </c>
      <c r="Y420" s="119"/>
      <c r="Z420" s="130"/>
      <c r="AA420" s="125"/>
      <c r="AB420" s="126"/>
      <c r="AC420" s="127"/>
      <c r="AD420" s="127"/>
      <c r="AE420" s="127"/>
      <c r="AF420" s="127"/>
      <c r="AG420" s="125"/>
      <c r="AH420" s="128">
        <f t="shared" ca="1" si="26"/>
        <v>46061</v>
      </c>
      <c r="AI420" s="129" t="s">
        <v>981</v>
      </c>
      <c r="AJ420" s="129"/>
      <c r="AK420" s="129"/>
      <c r="AL420" s="129"/>
      <c r="AM420" s="129"/>
    </row>
    <row r="421" spans="1:39" ht="18" hidden="1" customHeight="1" x14ac:dyDescent="0.25">
      <c r="A421" s="117">
        <v>420</v>
      </c>
      <c r="B421" s="117"/>
      <c r="C421" s="118" t="s">
        <v>1396</v>
      </c>
      <c r="D421" s="146">
        <f t="array" aca="1" ref="D421" ca="1">SUM(--(_xlfn.UNIQUE(_xlfn._xlws.FILTER($M$2:$M$1011 &amp; "", ($C$2:$C$1011 = C421) * ($M$2:$M$1011 &lt;&gt; ""))) &lt;&gt; ""))</f>
        <v>1</v>
      </c>
      <c r="E421" s="166">
        <f t="shared" ca="1" si="24"/>
        <v>3300</v>
      </c>
      <c r="F421" s="143">
        <v>3</v>
      </c>
      <c r="G421" s="143" t="s">
        <v>162</v>
      </c>
      <c r="H421" s="119">
        <f>_xlfn.XLOOKUP(G421,'🚛 FROTA'!B:B,'🚛 FROTA'!A:A,"")</f>
        <v>39</v>
      </c>
      <c r="I421" s="119"/>
      <c r="J421" s="119" t="str">
        <f>IF(G421="","",_xlfn.XLOOKUP(G421,'🚛 FROTA'!B:B,'🚛 FROTA'!E:E,""))</f>
        <v>Express Delivery</v>
      </c>
      <c r="K421" s="119" t="str">
        <f>IF(G421="","",_xlfn.XLOOKUP(G421,'🚛 FROTA'!B:B,'🚛 FROTA'!K:K,""))</f>
        <v>Carroceria Cabinado</v>
      </c>
      <c r="L421" s="143" t="s">
        <v>876</v>
      </c>
      <c r="M421" s="143" t="s">
        <v>1397</v>
      </c>
      <c r="N421" s="145">
        <v>46091</v>
      </c>
      <c r="O421" s="143">
        <v>1</v>
      </c>
      <c r="P421" s="143">
        <v>3</v>
      </c>
      <c r="Q421" s="167">
        <v>1100</v>
      </c>
      <c r="R421" s="143" t="s">
        <v>554</v>
      </c>
      <c r="S421" s="122" t="s">
        <v>534</v>
      </c>
      <c r="T421" s="120" t="s">
        <v>522</v>
      </c>
      <c r="U421" s="121" t="s">
        <v>555</v>
      </c>
      <c r="V421" s="119" t="s">
        <v>670</v>
      </c>
      <c r="W421" s="119" t="s">
        <v>1398</v>
      </c>
      <c r="X421" s="123" t="s">
        <v>1399</v>
      </c>
      <c r="Y421" s="119"/>
      <c r="Z421" s="124">
        <v>87218</v>
      </c>
      <c r="AA421" s="125"/>
      <c r="AB421" s="126"/>
      <c r="AC421" s="127"/>
      <c r="AD421" s="127"/>
      <c r="AE421" s="127"/>
      <c r="AF421" s="127"/>
      <c r="AG421" s="125"/>
      <c r="AH421" s="128">
        <f t="shared" ca="1" si="26"/>
        <v>46061</v>
      </c>
      <c r="AI421" s="129" t="s">
        <v>880</v>
      </c>
      <c r="AJ421" s="129"/>
      <c r="AK421" s="129"/>
      <c r="AL421" s="129"/>
      <c r="AM421" s="129"/>
    </row>
    <row r="422" spans="1:39" ht="18" hidden="1" customHeight="1" x14ac:dyDescent="0.25">
      <c r="A422" s="117">
        <v>421</v>
      </c>
      <c r="B422" s="117"/>
      <c r="C422" s="118" t="s">
        <v>1382</v>
      </c>
      <c r="D422" s="146">
        <f t="array" aca="1" ref="D422" ca="1">SUM(--(_xlfn.UNIQUE(_xlfn._xlws.FILTER($M$2:$M$1011 &amp; "", ($C$2:$C$1011 = C422) * ($M$2:$M$1011 &lt;&gt; ""))) &lt;&gt; ""))</f>
        <v>2</v>
      </c>
      <c r="E422" s="166">
        <f t="shared" ca="1" si="24"/>
        <v>5896.7799999999907</v>
      </c>
      <c r="F422" s="143">
        <v>3</v>
      </c>
      <c r="G422" s="143" t="s">
        <v>141</v>
      </c>
      <c r="H422" s="119">
        <f>_xlfn.XLOOKUP(G422,'🚛 FROTA'!B:B,'🚛 FROTA'!A:A,"")</f>
        <v>24</v>
      </c>
      <c r="I422" s="119"/>
      <c r="J422" s="119" t="str">
        <f>IF(G422="","",_xlfn.XLOOKUP(G422,'🚛 FROTA'!B:B,'🚛 FROTA'!E:E,""))</f>
        <v>14.190 Constellation</v>
      </c>
      <c r="K422" s="119" t="str">
        <f>IF(G422="","",_xlfn.XLOOKUP(G422,'🚛 FROTA'!B:B,'🚛 FROTA'!K:K,""))</f>
        <v>Munck</v>
      </c>
      <c r="L422" s="143" t="s">
        <v>876</v>
      </c>
      <c r="M422" s="143" t="s">
        <v>1397</v>
      </c>
      <c r="N422" s="145">
        <v>46091</v>
      </c>
      <c r="O422" s="143">
        <v>1</v>
      </c>
      <c r="P422" s="143">
        <v>3</v>
      </c>
      <c r="Q422" s="167">
        <v>1443.3333333333301</v>
      </c>
      <c r="R422" s="143" t="s">
        <v>554</v>
      </c>
      <c r="S422" s="122" t="s">
        <v>534</v>
      </c>
      <c r="T422" s="120" t="s">
        <v>522</v>
      </c>
      <c r="U422" s="121" t="s">
        <v>555</v>
      </c>
      <c r="V422" s="119" t="s">
        <v>689</v>
      </c>
      <c r="W422" s="119" t="s">
        <v>1400</v>
      </c>
      <c r="X422" s="123" t="s">
        <v>1401</v>
      </c>
      <c r="Y422" s="119"/>
      <c r="Z422" s="130">
        <v>142937</v>
      </c>
      <c r="AA422" s="125"/>
      <c r="AB422" s="126"/>
      <c r="AC422" s="127"/>
      <c r="AD422" s="127"/>
      <c r="AE422" s="127"/>
      <c r="AF422" s="127"/>
      <c r="AG422" s="125"/>
      <c r="AH422" s="128">
        <f t="shared" ca="1" si="26"/>
        <v>46060</v>
      </c>
      <c r="AI422" s="129" t="s">
        <v>880</v>
      </c>
      <c r="AJ422" s="129"/>
      <c r="AK422" s="129"/>
      <c r="AL422" s="129"/>
      <c r="AM422" s="129"/>
    </row>
    <row r="423" spans="1:39" ht="18" hidden="1" customHeight="1" x14ac:dyDescent="0.25">
      <c r="A423" s="117">
        <v>422</v>
      </c>
      <c r="B423" s="117"/>
      <c r="C423" s="118" t="s">
        <v>466</v>
      </c>
      <c r="D423" s="146">
        <f t="array" aca="1" ref="D423" ca="1">SUM(--(_xlfn.UNIQUE(_xlfn._xlws.FILTER($M$2:$M$1011 &amp; "", ($C$2:$C$1011 = C423) * ($M$2:$M$1011 &lt;&gt; ""))) &lt;&gt; ""))</f>
        <v>3</v>
      </c>
      <c r="E423" s="166">
        <f t="shared" ca="1" si="24"/>
        <v>4974.2000000000007</v>
      </c>
      <c r="F423" s="143">
        <v>1</v>
      </c>
      <c r="G423" s="143" t="s">
        <v>162</v>
      </c>
      <c r="H423" s="119">
        <f>_xlfn.XLOOKUP(G423,'🚛 FROTA'!B:B,'🚛 FROTA'!A:A,"")</f>
        <v>39</v>
      </c>
      <c r="I423" s="119"/>
      <c r="J423" s="119" t="str">
        <f>IF(G423="","",_xlfn.XLOOKUP(G423,'🚛 FROTA'!B:B,'🚛 FROTA'!E:E,""))</f>
        <v>Express Delivery</v>
      </c>
      <c r="K423" s="119" t="str">
        <f>IF(G423="","",_xlfn.XLOOKUP(G423,'🚛 FROTA'!B:B,'🚛 FROTA'!K:K,""))</f>
        <v>Carroceria Cabinado</v>
      </c>
      <c r="L423" s="143" t="s">
        <v>617</v>
      </c>
      <c r="M423" s="143">
        <v>1093</v>
      </c>
      <c r="N423" s="145">
        <v>45869</v>
      </c>
      <c r="O423" s="143">
        <v>1</v>
      </c>
      <c r="P423" s="143">
        <v>1</v>
      </c>
      <c r="Q423" s="167">
        <v>800</v>
      </c>
      <c r="R423" s="143" t="s">
        <v>554</v>
      </c>
      <c r="S423" s="122" t="s">
        <v>534</v>
      </c>
      <c r="T423" s="120" t="s">
        <v>522</v>
      </c>
      <c r="U423" s="121" t="s">
        <v>555</v>
      </c>
      <c r="V423" s="119" t="s">
        <v>556</v>
      </c>
      <c r="W423" s="119" t="s">
        <v>1402</v>
      </c>
      <c r="X423" s="123" t="s">
        <v>1403</v>
      </c>
      <c r="Y423" s="119"/>
      <c r="Z423" s="130"/>
      <c r="AA423" s="125"/>
      <c r="AB423" s="126"/>
      <c r="AC423" s="127"/>
      <c r="AD423" s="127"/>
      <c r="AE423" s="127"/>
      <c r="AF423" s="127"/>
      <c r="AG423" s="125"/>
      <c r="AH423" s="128">
        <f t="shared" ca="1" si="26"/>
        <v>45839</v>
      </c>
      <c r="AI423" s="129"/>
      <c r="AJ423" s="129"/>
      <c r="AK423" s="129"/>
      <c r="AL423" s="129"/>
      <c r="AM423" s="129"/>
    </row>
    <row r="424" spans="1:39" ht="18" hidden="1" customHeight="1" x14ac:dyDescent="0.25">
      <c r="A424" s="117">
        <v>423</v>
      </c>
      <c r="B424" s="117"/>
      <c r="C424" s="118" t="s">
        <v>466</v>
      </c>
      <c r="D424" s="146">
        <f t="array" aca="1" ref="D424" ca="1">SUM(--(_xlfn.UNIQUE(_xlfn._xlws.FILTER($M$2:$M$1011 &amp; "", ($C$2:$C$1011 = C424) * ($M$2:$M$1011 &lt;&gt; ""))) &lt;&gt; ""))</f>
        <v>3</v>
      </c>
      <c r="E424" s="166">
        <f t="shared" ca="1" si="24"/>
        <v>4974.2000000000007</v>
      </c>
      <c r="F424" s="143">
        <v>1</v>
      </c>
      <c r="G424" s="143" t="s">
        <v>162</v>
      </c>
      <c r="H424" s="119">
        <f>_xlfn.XLOOKUP(G424,'🚛 FROTA'!B:B,'🚛 FROTA'!A:A,"")</f>
        <v>39</v>
      </c>
      <c r="I424" s="119"/>
      <c r="J424" s="119" t="str">
        <f>IF(G424="","",_xlfn.XLOOKUP(G424,'🚛 FROTA'!B:B,'🚛 FROTA'!E:E,""))</f>
        <v>Express Delivery</v>
      </c>
      <c r="K424" s="119" t="str">
        <f>IF(G424="","",_xlfn.XLOOKUP(G424,'🚛 FROTA'!B:B,'🚛 FROTA'!K:K,""))</f>
        <v>Carroceria Cabinado</v>
      </c>
      <c r="L424" s="143" t="s">
        <v>627</v>
      </c>
      <c r="M424" s="143">
        <v>688235</v>
      </c>
      <c r="N424" s="145">
        <v>45873</v>
      </c>
      <c r="O424" s="143">
        <v>1</v>
      </c>
      <c r="P424" s="143">
        <v>1</v>
      </c>
      <c r="Q424" s="167">
        <v>655.54</v>
      </c>
      <c r="R424" s="143" t="s">
        <v>554</v>
      </c>
      <c r="S424" s="122" t="s">
        <v>560</v>
      </c>
      <c r="T424" s="120" t="s">
        <v>522</v>
      </c>
      <c r="U424" s="121" t="s">
        <v>555</v>
      </c>
      <c r="V424" s="119" t="s">
        <v>815</v>
      </c>
      <c r="W424" s="119" t="s">
        <v>1404</v>
      </c>
      <c r="X424" s="123" t="s">
        <v>1405</v>
      </c>
      <c r="Y424" s="119"/>
      <c r="Z424" s="130"/>
      <c r="AA424" s="125"/>
      <c r="AB424" s="126"/>
      <c r="AC424" s="127"/>
      <c r="AD424" s="127"/>
      <c r="AE424" s="127"/>
      <c r="AF424" s="127"/>
      <c r="AG424" s="125"/>
      <c r="AH424" s="128">
        <f t="shared" ca="1" si="26"/>
        <v>45839</v>
      </c>
      <c r="AI424" s="129"/>
      <c r="AJ424" s="129"/>
      <c r="AK424" s="129"/>
      <c r="AL424" s="129"/>
      <c r="AM424" s="129"/>
    </row>
    <row r="425" spans="1:39" ht="18" hidden="1" customHeight="1" x14ac:dyDescent="0.25">
      <c r="A425" s="117">
        <v>424</v>
      </c>
      <c r="B425" s="117"/>
      <c r="C425" s="118" t="s">
        <v>466</v>
      </c>
      <c r="D425" s="146">
        <f t="array" aca="1" ref="D425" ca="1">SUM(--(_xlfn.UNIQUE(_xlfn._xlws.FILTER($M$2:$M$1011 &amp; "", ($C$2:$C$1011 = C425) * ($M$2:$M$1011 &lt;&gt; ""))) &lt;&gt; ""))</f>
        <v>3</v>
      </c>
      <c r="E425" s="166">
        <f t="shared" ca="1" si="24"/>
        <v>4974.2000000000007</v>
      </c>
      <c r="F425" s="143">
        <v>1</v>
      </c>
      <c r="G425" s="143" t="s">
        <v>162</v>
      </c>
      <c r="H425" s="119">
        <f>_xlfn.XLOOKUP(G425,'🚛 FROTA'!B:B,'🚛 FROTA'!A:A,"")</f>
        <v>39</v>
      </c>
      <c r="I425" s="119"/>
      <c r="J425" s="119" t="str">
        <f>IF(G425="","",_xlfn.XLOOKUP(G425,'🚛 FROTA'!B:B,'🚛 FROTA'!E:E,""))</f>
        <v>Express Delivery</v>
      </c>
      <c r="K425" s="119" t="str">
        <f>IF(G425="","",_xlfn.XLOOKUP(G425,'🚛 FROTA'!B:B,'🚛 FROTA'!K:K,""))</f>
        <v>Carroceria Cabinado</v>
      </c>
      <c r="L425" s="143" t="s">
        <v>627</v>
      </c>
      <c r="M425" s="143">
        <v>687847</v>
      </c>
      <c r="N425" s="145">
        <v>45870</v>
      </c>
      <c r="O425" s="143">
        <v>1</v>
      </c>
      <c r="P425" s="143">
        <v>3</v>
      </c>
      <c r="Q425" s="167">
        <v>339.2</v>
      </c>
      <c r="R425" s="143" t="s">
        <v>554</v>
      </c>
      <c r="S425" s="122" t="s">
        <v>560</v>
      </c>
      <c r="T425" s="120" t="s">
        <v>522</v>
      </c>
      <c r="U425" s="121" t="s">
        <v>555</v>
      </c>
      <c r="V425" s="119" t="s">
        <v>556</v>
      </c>
      <c r="W425" s="119" t="s">
        <v>1406</v>
      </c>
      <c r="X425" s="123" t="s">
        <v>1407</v>
      </c>
      <c r="Y425" s="119"/>
      <c r="Z425" s="130"/>
      <c r="AA425" s="125"/>
      <c r="AB425" s="126"/>
      <c r="AC425" s="127"/>
      <c r="AD425" s="127"/>
      <c r="AE425" s="127"/>
      <c r="AF425" s="127"/>
      <c r="AG425" s="125"/>
      <c r="AH425" s="128">
        <f t="shared" ca="1" si="26"/>
        <v>45839</v>
      </c>
      <c r="AI425" s="129"/>
      <c r="AJ425" s="129"/>
      <c r="AK425" s="129"/>
      <c r="AL425" s="129"/>
      <c r="AM425" s="129"/>
    </row>
    <row r="426" spans="1:39" ht="18" hidden="1" customHeight="1" x14ac:dyDescent="0.25">
      <c r="A426" s="117">
        <v>425</v>
      </c>
      <c r="B426" s="117"/>
      <c r="C426" s="118" t="s">
        <v>466</v>
      </c>
      <c r="D426" s="146">
        <f t="array" aca="1" ref="D426" ca="1">SUM(--(_xlfn.UNIQUE(_xlfn._xlws.FILTER($M$2:$M$1011 &amp; "", ($C$2:$C$1011 = C426) * ($M$2:$M$1011 &lt;&gt; ""))) &lt;&gt; ""))</f>
        <v>3</v>
      </c>
      <c r="E426" s="166">
        <f t="shared" ca="1" si="24"/>
        <v>4974.2000000000007</v>
      </c>
      <c r="F426" s="143">
        <v>1</v>
      </c>
      <c r="G426" s="143" t="s">
        <v>162</v>
      </c>
      <c r="H426" s="119">
        <f>_xlfn.XLOOKUP(G426,'🚛 FROTA'!B:B,'🚛 FROTA'!A:A,"")</f>
        <v>39</v>
      </c>
      <c r="I426" s="119"/>
      <c r="J426" s="119" t="str">
        <f>IF(G426="","",_xlfn.XLOOKUP(G426,'🚛 FROTA'!B:B,'🚛 FROTA'!E:E,""))</f>
        <v>Express Delivery</v>
      </c>
      <c r="K426" s="119" t="str">
        <f>IF(G426="","",_xlfn.XLOOKUP(G426,'🚛 FROTA'!B:B,'🚛 FROTA'!K:K,""))</f>
        <v>Carroceria Cabinado</v>
      </c>
      <c r="L426" s="143" t="s">
        <v>627</v>
      </c>
      <c r="M426" s="143">
        <v>687847</v>
      </c>
      <c r="N426" s="145">
        <v>45870</v>
      </c>
      <c r="O426" s="143">
        <v>1</v>
      </c>
      <c r="P426" s="143">
        <v>3</v>
      </c>
      <c r="Q426" s="167">
        <v>833.7</v>
      </c>
      <c r="R426" s="143" t="s">
        <v>554</v>
      </c>
      <c r="S426" s="122" t="s">
        <v>560</v>
      </c>
      <c r="T426" s="120" t="s">
        <v>522</v>
      </c>
      <c r="U426" s="121" t="s">
        <v>555</v>
      </c>
      <c r="V426" s="119" t="s">
        <v>815</v>
      </c>
      <c r="W426" s="119" t="s">
        <v>1404</v>
      </c>
      <c r="X426" s="123" t="s">
        <v>1405</v>
      </c>
      <c r="Y426" s="119"/>
      <c r="Z426" s="130"/>
      <c r="AA426" s="125"/>
      <c r="AB426" s="126"/>
      <c r="AC426" s="127"/>
      <c r="AD426" s="127"/>
      <c r="AE426" s="127"/>
      <c r="AF426" s="127"/>
      <c r="AG426" s="125"/>
      <c r="AH426" s="128">
        <f t="shared" ca="1" si="26"/>
        <v>45839</v>
      </c>
      <c r="AI426" s="129"/>
      <c r="AJ426" s="129"/>
      <c r="AK426" s="129"/>
      <c r="AL426" s="129"/>
      <c r="AM426" s="129"/>
    </row>
    <row r="427" spans="1:39" ht="18" hidden="1" customHeight="1" x14ac:dyDescent="0.25">
      <c r="A427" s="117">
        <v>426</v>
      </c>
      <c r="B427" s="117"/>
      <c r="C427" s="118" t="s">
        <v>466</v>
      </c>
      <c r="D427" s="146">
        <f t="array" aca="1" ref="D427" ca="1">SUM(--(_xlfn.UNIQUE(_xlfn._xlws.FILTER($M$2:$M$1011 &amp; "", ($C$2:$C$1011 = C427) * ($M$2:$M$1011 &lt;&gt; ""))) &lt;&gt; ""))</f>
        <v>3</v>
      </c>
      <c r="E427" s="166">
        <f t="shared" ca="1" si="24"/>
        <v>4974.2000000000007</v>
      </c>
      <c r="F427" s="143">
        <v>1</v>
      </c>
      <c r="G427" s="143" t="s">
        <v>162</v>
      </c>
      <c r="H427" s="119">
        <f>_xlfn.XLOOKUP(G427,'🚛 FROTA'!B:B,'🚛 FROTA'!A:A,"")</f>
        <v>39</v>
      </c>
      <c r="I427" s="119"/>
      <c r="J427" s="119" t="str">
        <f>IF(G427="","",_xlfn.XLOOKUP(G427,'🚛 FROTA'!B:B,'🚛 FROTA'!E:E,""))</f>
        <v>Express Delivery</v>
      </c>
      <c r="K427" s="119" t="str">
        <f>IF(G427="","",_xlfn.XLOOKUP(G427,'🚛 FROTA'!B:B,'🚛 FROTA'!K:K,""))</f>
        <v>Carroceria Cabinado</v>
      </c>
      <c r="L427" s="143" t="s">
        <v>627</v>
      </c>
      <c r="M427" s="143">
        <v>687847</v>
      </c>
      <c r="N427" s="145">
        <v>45891</v>
      </c>
      <c r="O427" s="143">
        <v>2</v>
      </c>
      <c r="P427" s="143">
        <v>3</v>
      </c>
      <c r="Q427" s="167">
        <v>339.19</v>
      </c>
      <c r="R427" s="143" t="s">
        <v>554</v>
      </c>
      <c r="S427" s="122" t="s">
        <v>560</v>
      </c>
      <c r="T427" s="120" t="s">
        <v>522</v>
      </c>
      <c r="U427" s="121" t="s">
        <v>555</v>
      </c>
      <c r="V427" s="119" t="s">
        <v>556</v>
      </c>
      <c r="W427" s="119" t="s">
        <v>1406</v>
      </c>
      <c r="X427" s="123" t="s">
        <v>1407</v>
      </c>
      <c r="Y427" s="119"/>
      <c r="Z427" s="130"/>
      <c r="AA427" s="125"/>
      <c r="AB427" s="126"/>
      <c r="AC427" s="127"/>
      <c r="AD427" s="127"/>
      <c r="AE427" s="127"/>
      <c r="AF427" s="127"/>
      <c r="AG427" s="125"/>
      <c r="AH427" s="128">
        <f t="shared" ca="1" si="26"/>
        <v>45839</v>
      </c>
      <c r="AI427" s="129"/>
      <c r="AJ427" s="129"/>
      <c r="AK427" s="129"/>
      <c r="AL427" s="129"/>
      <c r="AM427" s="129"/>
    </row>
    <row r="428" spans="1:39" ht="18" hidden="1" customHeight="1" x14ac:dyDescent="0.25">
      <c r="A428" s="117">
        <v>427</v>
      </c>
      <c r="B428" s="117"/>
      <c r="C428" s="118" t="s">
        <v>466</v>
      </c>
      <c r="D428" s="146">
        <f t="array" aca="1" ref="D428" ca="1">SUM(--(_xlfn.UNIQUE(_xlfn._xlws.FILTER($M$2:$M$1011 &amp; "", ($C$2:$C$1011 = C428) * ($M$2:$M$1011 &lt;&gt; ""))) &lt;&gt; ""))</f>
        <v>3</v>
      </c>
      <c r="E428" s="166">
        <f t="shared" ca="1" si="24"/>
        <v>4974.2000000000007</v>
      </c>
      <c r="F428" s="143">
        <v>1</v>
      </c>
      <c r="G428" s="143" t="s">
        <v>162</v>
      </c>
      <c r="H428" s="119">
        <f>_xlfn.XLOOKUP(G428,'🚛 FROTA'!B:B,'🚛 FROTA'!A:A,"")</f>
        <v>39</v>
      </c>
      <c r="I428" s="119"/>
      <c r="J428" s="119" t="str">
        <f>IF(G428="","",_xlfn.XLOOKUP(G428,'🚛 FROTA'!B:B,'🚛 FROTA'!E:E,""))</f>
        <v>Express Delivery</v>
      </c>
      <c r="K428" s="119" t="str">
        <f>IF(G428="","",_xlfn.XLOOKUP(G428,'🚛 FROTA'!B:B,'🚛 FROTA'!K:K,""))</f>
        <v>Carroceria Cabinado</v>
      </c>
      <c r="L428" s="143" t="s">
        <v>627</v>
      </c>
      <c r="M428" s="143">
        <v>687847</v>
      </c>
      <c r="N428" s="145">
        <v>45891</v>
      </c>
      <c r="O428" s="143">
        <v>2</v>
      </c>
      <c r="P428" s="143">
        <v>3</v>
      </c>
      <c r="Q428" s="167">
        <v>833.69</v>
      </c>
      <c r="R428" s="143" t="s">
        <v>554</v>
      </c>
      <c r="S428" s="122" t="s">
        <v>560</v>
      </c>
      <c r="T428" s="120" t="s">
        <v>522</v>
      </c>
      <c r="U428" s="121" t="s">
        <v>555</v>
      </c>
      <c r="V428" s="119" t="s">
        <v>815</v>
      </c>
      <c r="W428" s="119" t="s">
        <v>1404</v>
      </c>
      <c r="X428" s="123" t="s">
        <v>1405</v>
      </c>
      <c r="Y428" s="119"/>
      <c r="Z428" s="130"/>
      <c r="AA428" s="125"/>
      <c r="AB428" s="126"/>
      <c r="AC428" s="127"/>
      <c r="AD428" s="127"/>
      <c r="AE428" s="127"/>
      <c r="AF428" s="127"/>
      <c r="AG428" s="125"/>
      <c r="AH428" s="128">
        <f t="shared" ca="1" si="26"/>
        <v>45839</v>
      </c>
      <c r="AI428" s="129"/>
      <c r="AJ428" s="129"/>
      <c r="AK428" s="129"/>
      <c r="AL428" s="129"/>
      <c r="AM428" s="129"/>
    </row>
    <row r="429" spans="1:39" ht="18" hidden="1" customHeight="1" x14ac:dyDescent="0.25">
      <c r="A429" s="117">
        <v>428</v>
      </c>
      <c r="B429" s="117"/>
      <c r="C429" s="118" t="s">
        <v>466</v>
      </c>
      <c r="D429" s="146">
        <f t="array" aca="1" ref="D429" ca="1">SUM(--(_xlfn.UNIQUE(_xlfn._xlws.FILTER($M$2:$M$1011 &amp; "", ($C$2:$C$1011 = C429) * ($M$2:$M$1011 &lt;&gt; ""))) &lt;&gt; ""))</f>
        <v>3</v>
      </c>
      <c r="E429" s="166">
        <f t="shared" ca="1" si="24"/>
        <v>4974.2000000000007</v>
      </c>
      <c r="F429" s="143">
        <v>1</v>
      </c>
      <c r="G429" s="143" t="s">
        <v>162</v>
      </c>
      <c r="H429" s="119">
        <f>_xlfn.XLOOKUP(G429,'🚛 FROTA'!B:B,'🚛 FROTA'!A:A,"")</f>
        <v>39</v>
      </c>
      <c r="I429" s="119"/>
      <c r="J429" s="119" t="str">
        <f>IF(G429="","",_xlfn.XLOOKUP(G429,'🚛 FROTA'!B:B,'🚛 FROTA'!E:E,""))</f>
        <v>Express Delivery</v>
      </c>
      <c r="K429" s="119" t="str">
        <f>IF(G429="","",_xlfn.XLOOKUP(G429,'🚛 FROTA'!B:B,'🚛 FROTA'!K:K,""))</f>
        <v>Carroceria Cabinado</v>
      </c>
      <c r="L429" s="143" t="s">
        <v>627</v>
      </c>
      <c r="M429" s="143">
        <v>687847</v>
      </c>
      <c r="N429" s="145">
        <v>45923</v>
      </c>
      <c r="O429" s="143">
        <v>3</v>
      </c>
      <c r="P429" s="143">
        <v>3</v>
      </c>
      <c r="Q429" s="167">
        <v>339.19</v>
      </c>
      <c r="R429" s="143" t="s">
        <v>554</v>
      </c>
      <c r="S429" s="122" t="s">
        <v>560</v>
      </c>
      <c r="T429" s="120" t="s">
        <v>522</v>
      </c>
      <c r="U429" s="121" t="s">
        <v>555</v>
      </c>
      <c r="V429" s="119" t="s">
        <v>556</v>
      </c>
      <c r="W429" s="119" t="s">
        <v>1406</v>
      </c>
      <c r="X429" s="123" t="s">
        <v>1407</v>
      </c>
      <c r="Y429" s="119"/>
      <c r="Z429" s="130"/>
      <c r="AA429" s="125"/>
      <c r="AB429" s="126"/>
      <c r="AC429" s="127"/>
      <c r="AD429" s="127"/>
      <c r="AE429" s="127"/>
      <c r="AF429" s="127"/>
      <c r="AG429" s="125"/>
      <c r="AH429" s="128">
        <f t="shared" ca="1" si="26"/>
        <v>45839</v>
      </c>
      <c r="AI429" s="129"/>
      <c r="AJ429" s="129"/>
      <c r="AK429" s="129"/>
      <c r="AL429" s="129"/>
      <c r="AM429" s="129"/>
    </row>
    <row r="430" spans="1:39" ht="18" hidden="1" customHeight="1" x14ac:dyDescent="0.25">
      <c r="A430" s="117">
        <v>429</v>
      </c>
      <c r="B430" s="117"/>
      <c r="C430" s="118" t="s">
        <v>466</v>
      </c>
      <c r="D430" s="146">
        <f t="array" aca="1" ref="D430" ca="1">SUM(--(_xlfn.UNIQUE(_xlfn._xlws.FILTER($M$2:$M$1011 &amp; "", ($C$2:$C$1011 = C430) * ($M$2:$M$1011 &lt;&gt; ""))) &lt;&gt; ""))</f>
        <v>3</v>
      </c>
      <c r="E430" s="166">
        <f t="shared" ca="1" si="24"/>
        <v>4974.2000000000007</v>
      </c>
      <c r="F430" s="143">
        <v>1</v>
      </c>
      <c r="G430" s="143" t="s">
        <v>162</v>
      </c>
      <c r="H430" s="119">
        <f>_xlfn.XLOOKUP(G430,'🚛 FROTA'!B:B,'🚛 FROTA'!A:A,"")</f>
        <v>39</v>
      </c>
      <c r="I430" s="119"/>
      <c r="J430" s="119" t="str">
        <f>IF(G430="","",_xlfn.XLOOKUP(G430,'🚛 FROTA'!B:B,'🚛 FROTA'!E:E,""))</f>
        <v>Express Delivery</v>
      </c>
      <c r="K430" s="119" t="str">
        <f>IF(G430="","",_xlfn.XLOOKUP(G430,'🚛 FROTA'!B:B,'🚛 FROTA'!K:K,""))</f>
        <v>Carroceria Cabinado</v>
      </c>
      <c r="L430" s="143" t="s">
        <v>627</v>
      </c>
      <c r="M430" s="143">
        <v>687847</v>
      </c>
      <c r="N430" s="145">
        <v>45923</v>
      </c>
      <c r="O430" s="143">
        <v>3</v>
      </c>
      <c r="P430" s="143">
        <v>3</v>
      </c>
      <c r="Q430" s="167">
        <v>833.69</v>
      </c>
      <c r="R430" s="143" t="s">
        <v>554</v>
      </c>
      <c r="S430" s="122" t="s">
        <v>560</v>
      </c>
      <c r="T430" s="120" t="s">
        <v>522</v>
      </c>
      <c r="U430" s="121" t="s">
        <v>555</v>
      </c>
      <c r="V430" s="119" t="s">
        <v>815</v>
      </c>
      <c r="W430" s="119" t="s">
        <v>1404</v>
      </c>
      <c r="X430" s="123" t="s">
        <v>1405</v>
      </c>
      <c r="Y430" s="119"/>
      <c r="Z430" s="130"/>
      <c r="AA430" s="125"/>
      <c r="AB430" s="126"/>
      <c r="AC430" s="127"/>
      <c r="AD430" s="127"/>
      <c r="AE430" s="127"/>
      <c r="AF430" s="127"/>
      <c r="AG430" s="125"/>
      <c r="AH430" s="128">
        <f t="shared" ca="1" si="26"/>
        <v>45839</v>
      </c>
      <c r="AI430" s="129"/>
      <c r="AJ430" s="129"/>
      <c r="AK430" s="129"/>
      <c r="AL430" s="129"/>
      <c r="AM430" s="129"/>
    </row>
    <row r="431" spans="1:39" ht="18" hidden="1" customHeight="1" x14ac:dyDescent="0.25">
      <c r="A431" s="117">
        <v>430</v>
      </c>
      <c r="B431" s="117"/>
      <c r="C431" s="118" t="s">
        <v>1408</v>
      </c>
      <c r="D431" s="146">
        <v>1</v>
      </c>
      <c r="E431" s="166">
        <f t="shared" ca="1" si="24"/>
        <v>540</v>
      </c>
      <c r="F431" s="143">
        <v>1</v>
      </c>
      <c r="G431" s="143" t="s">
        <v>141</v>
      </c>
      <c r="H431" s="119">
        <f>_xlfn.XLOOKUP(G431,'🚛 FROTA'!B:B,'🚛 FROTA'!A:A,"")</f>
        <v>24</v>
      </c>
      <c r="I431" s="119"/>
      <c r="J431" s="119" t="str">
        <f>IF(G431="","",_xlfn.XLOOKUP(G431,'🚛 FROTA'!B:B,'🚛 FROTA'!E:E,""))</f>
        <v>14.190 Constellation</v>
      </c>
      <c r="K431" s="119" t="str">
        <f>IF(G431="","",_xlfn.XLOOKUP(G431,'🚛 FROTA'!B:B,'🚛 FROTA'!K:K,""))</f>
        <v>Munck</v>
      </c>
      <c r="L431" s="143" t="s">
        <v>881</v>
      </c>
      <c r="M431" s="143">
        <v>1106</v>
      </c>
      <c r="N431" s="145">
        <v>46158</v>
      </c>
      <c r="O431" s="143">
        <v>1</v>
      </c>
      <c r="P431" s="143">
        <v>2</v>
      </c>
      <c r="Q431" s="167">
        <f>540/2</f>
        <v>270</v>
      </c>
      <c r="R431" s="143" t="s">
        <v>554</v>
      </c>
      <c r="S431" s="122" t="s">
        <v>534</v>
      </c>
      <c r="T431" s="120" t="s">
        <v>446</v>
      </c>
      <c r="U431" s="121" t="s">
        <v>555</v>
      </c>
      <c r="V431" s="119" t="s">
        <v>670</v>
      </c>
      <c r="W431" s="119" t="s">
        <v>1409</v>
      </c>
      <c r="X431" s="119" t="s">
        <v>1409</v>
      </c>
      <c r="Y431" s="119"/>
      <c r="Z431" s="130">
        <v>143058</v>
      </c>
      <c r="AA431" s="125"/>
      <c r="AB431" s="126"/>
      <c r="AC431" s="127"/>
      <c r="AD431" s="127"/>
      <c r="AE431" s="127"/>
      <c r="AF431" s="127"/>
      <c r="AG431" s="125"/>
      <c r="AH431" s="128"/>
      <c r="AI431" s="129"/>
      <c r="AJ431" s="129"/>
      <c r="AK431" s="129"/>
      <c r="AL431" s="129"/>
      <c r="AM431" s="129"/>
    </row>
    <row r="432" spans="1:39" ht="18" hidden="1" customHeight="1" x14ac:dyDescent="0.25">
      <c r="A432" s="117">
        <v>431</v>
      </c>
      <c r="B432" s="117"/>
      <c r="C432" s="118" t="s">
        <v>1408</v>
      </c>
      <c r="D432" s="146">
        <v>1</v>
      </c>
      <c r="E432" s="166">
        <f t="shared" ca="1" si="24"/>
        <v>540</v>
      </c>
      <c r="F432" s="143">
        <v>1</v>
      </c>
      <c r="G432" s="143" t="s">
        <v>141</v>
      </c>
      <c r="H432" s="119">
        <f>_xlfn.XLOOKUP(G432,'🚛 FROTA'!B:B,'🚛 FROTA'!A:A,"")</f>
        <v>24</v>
      </c>
      <c r="I432" s="119"/>
      <c r="J432" s="119" t="str">
        <f>IF(G432="","",_xlfn.XLOOKUP(G432,'🚛 FROTA'!B:B,'🚛 FROTA'!E:E,""))</f>
        <v>14.190 Constellation</v>
      </c>
      <c r="K432" s="119" t="str">
        <f>IF(G432="","",_xlfn.XLOOKUP(G432,'🚛 FROTA'!B:B,'🚛 FROTA'!K:K,""))</f>
        <v>Munck</v>
      </c>
      <c r="L432" s="143" t="s">
        <v>881</v>
      </c>
      <c r="M432" s="143">
        <v>1106</v>
      </c>
      <c r="N432" s="145">
        <v>46128</v>
      </c>
      <c r="O432" s="143">
        <v>1</v>
      </c>
      <c r="P432" s="143">
        <v>2</v>
      </c>
      <c r="Q432" s="167">
        <f>540/2</f>
        <v>270</v>
      </c>
      <c r="R432" s="143" t="s">
        <v>554</v>
      </c>
      <c r="S432" s="122" t="s">
        <v>534</v>
      </c>
      <c r="T432" s="120" t="s">
        <v>446</v>
      </c>
      <c r="U432" s="121" t="s">
        <v>555</v>
      </c>
      <c r="V432" s="119" t="s">
        <v>670</v>
      </c>
      <c r="W432" s="119" t="s">
        <v>1409</v>
      </c>
      <c r="X432" s="119" t="s">
        <v>1409</v>
      </c>
      <c r="Y432" s="119"/>
      <c r="Z432" s="130">
        <v>143058</v>
      </c>
      <c r="AA432" s="125"/>
      <c r="AB432" s="126"/>
      <c r="AC432" s="127"/>
      <c r="AD432" s="127"/>
      <c r="AE432" s="127"/>
      <c r="AF432" s="127"/>
      <c r="AG432" s="125"/>
      <c r="AH432" s="128"/>
      <c r="AI432" s="129"/>
      <c r="AJ432" s="129"/>
      <c r="AK432" s="129"/>
      <c r="AL432" s="129"/>
      <c r="AM432" s="129"/>
    </row>
    <row r="433" spans="1:39" ht="18" customHeight="1" x14ac:dyDescent="0.25">
      <c r="A433" s="117">
        <v>432</v>
      </c>
      <c r="B433" s="117"/>
      <c r="C433" s="118" t="s">
        <v>1301</v>
      </c>
      <c r="D433" s="146">
        <f t="array" aca="1" ref="D433" ca="1">SUM(--(_xlfn.UNIQUE(_xlfn._xlws.FILTER($M$2:$M$1011 &amp; "", ($C$2:$C$1011 = C433) * ($M$2:$M$1011 &lt;&gt; ""))) &lt;&gt; ""))</f>
        <v>1</v>
      </c>
      <c r="E433" s="166">
        <f t="shared" ca="1" si="24"/>
        <v>4600</v>
      </c>
      <c r="F433" s="143">
        <v>1</v>
      </c>
      <c r="G433" s="143" t="s">
        <v>166</v>
      </c>
      <c r="H433" s="119">
        <f>_xlfn.XLOOKUP(G433,'🚛 FROTA'!B:B,'🚛 FROTA'!A:A,"")</f>
        <v>41</v>
      </c>
      <c r="I433" s="119"/>
      <c r="J433" s="119" t="str">
        <f>IF(G433="","",_xlfn.XLOOKUP(G433,'🚛 FROTA'!B:B,'🚛 FROTA'!E:E,""))</f>
        <v>Express Delivery</v>
      </c>
      <c r="K433" s="119" t="str">
        <f>IF(G433="","",_xlfn.XLOOKUP(G433,'🚛 FROTA'!B:B,'🚛 FROTA'!K:K,""))</f>
        <v>Carroceria Cabinado</v>
      </c>
      <c r="L433" s="143" t="s">
        <v>703</v>
      </c>
      <c r="M433" s="143" t="s">
        <v>1302</v>
      </c>
      <c r="N433" s="145">
        <v>46090</v>
      </c>
      <c r="O433" s="143">
        <v>3</v>
      </c>
      <c r="P433" s="143">
        <v>4</v>
      </c>
      <c r="Q433" s="167">
        <v>1150</v>
      </c>
      <c r="R433" s="143" t="s">
        <v>554</v>
      </c>
      <c r="S433" s="122" t="s">
        <v>560</v>
      </c>
      <c r="T433" s="120" t="s">
        <v>522</v>
      </c>
      <c r="U433" s="121" t="s">
        <v>555</v>
      </c>
      <c r="V433" s="119" t="s">
        <v>573</v>
      </c>
      <c r="W433" s="119" t="s">
        <v>574</v>
      </c>
      <c r="X433" s="123" t="s">
        <v>1303</v>
      </c>
      <c r="Y433" s="119" t="s">
        <v>753</v>
      </c>
      <c r="Z433" s="124">
        <v>85050</v>
      </c>
      <c r="AA433" s="134" t="s">
        <v>759</v>
      </c>
      <c r="AB433" s="122">
        <v>4</v>
      </c>
      <c r="AC433" s="131" t="s">
        <v>578</v>
      </c>
      <c r="AD433" s="131" t="s">
        <v>709</v>
      </c>
      <c r="AE433" s="131" t="s">
        <v>713</v>
      </c>
      <c r="AF433" s="131" t="s">
        <v>581</v>
      </c>
      <c r="AG433" s="125" t="s">
        <v>582</v>
      </c>
      <c r="AH433" s="128">
        <f t="shared" ref="AH433:AH469" ca="1" si="27">IF(OR(R433="A VISTA", R433="C. CRÉDITO", R433="ADIANTAMENTO"), N433, IF(R433="Faturado", _xlfn.MINIFS(N:N, C:C, C433)-30, ""))</f>
        <v>46001</v>
      </c>
      <c r="AI433" s="129"/>
      <c r="AJ433" s="129"/>
      <c r="AK433" s="129"/>
      <c r="AL433" s="129"/>
      <c r="AM433" s="129"/>
    </row>
    <row r="434" spans="1:39" ht="18" hidden="1" customHeight="1" x14ac:dyDescent="0.25">
      <c r="A434" s="117">
        <v>433</v>
      </c>
      <c r="B434" s="117"/>
      <c r="C434" s="118" t="s">
        <v>1410</v>
      </c>
      <c r="D434" s="146">
        <f t="array" aca="1" ref="D434" ca="1">SUM(--(_xlfn.UNIQUE(_xlfn._xlws.FILTER($M$2:$M$1011 &amp; "", ($C$2:$C$1011 = C434) * ($M$2:$M$1011 &lt;&gt; ""))) &lt;&gt; ""))</f>
        <v>1</v>
      </c>
      <c r="E434" s="166">
        <f t="shared" ca="1" si="24"/>
        <v>1365.04</v>
      </c>
      <c r="F434" s="143">
        <v>3</v>
      </c>
      <c r="G434" s="143" t="s">
        <v>173</v>
      </c>
      <c r="H434" s="119">
        <f>_xlfn.XLOOKUP(G434,'🚛 FROTA'!B:B,'🚛 FROTA'!A:A,"")</f>
        <v>46</v>
      </c>
      <c r="I434" s="119"/>
      <c r="J434" s="119" t="str">
        <f>IF(G434="","",_xlfn.XLOOKUP(G434,'🚛 FROTA'!B:B,'🚛 FROTA'!E:E,""))</f>
        <v>Express Delivery</v>
      </c>
      <c r="K434" s="119" t="str">
        <f>IF(G434="","",_xlfn.XLOOKUP(G434,'🚛 FROTA'!B:B,'🚛 FROTA'!K:K,""))</f>
        <v>Carroceria</v>
      </c>
      <c r="L434" s="143" t="s">
        <v>552</v>
      </c>
      <c r="M434" s="143" t="s">
        <v>1411</v>
      </c>
      <c r="N434" s="145">
        <v>46094</v>
      </c>
      <c r="O434" s="143">
        <v>1</v>
      </c>
      <c r="P434" s="143">
        <v>4</v>
      </c>
      <c r="Q434" s="167">
        <v>341.26</v>
      </c>
      <c r="R434" s="143" t="s">
        <v>554</v>
      </c>
      <c r="S434" s="122" t="s">
        <v>534</v>
      </c>
      <c r="T434" s="120" t="s">
        <v>522</v>
      </c>
      <c r="U434" s="121" t="s">
        <v>555</v>
      </c>
      <c r="V434" s="119" t="s">
        <v>1412</v>
      </c>
      <c r="W434" s="119" t="s">
        <v>1413</v>
      </c>
      <c r="X434" s="123" t="s">
        <v>1414</v>
      </c>
      <c r="Y434" s="119" t="s">
        <v>1415</v>
      </c>
      <c r="Z434" s="124">
        <v>41227</v>
      </c>
      <c r="AA434" s="125"/>
      <c r="AB434" s="126"/>
      <c r="AC434" s="127"/>
      <c r="AD434" s="127"/>
      <c r="AE434" s="127"/>
      <c r="AF434" s="127"/>
      <c r="AG434" s="125"/>
      <c r="AH434" s="128">
        <f t="shared" ca="1" si="27"/>
        <v>46064</v>
      </c>
      <c r="AI434" s="129" t="s">
        <v>559</v>
      </c>
      <c r="AJ434" s="129"/>
      <c r="AK434" s="129"/>
      <c r="AL434" s="129"/>
      <c r="AM434" s="129"/>
    </row>
    <row r="435" spans="1:39" ht="18" hidden="1" customHeight="1" x14ac:dyDescent="0.25">
      <c r="A435" s="117">
        <v>434</v>
      </c>
      <c r="B435" s="117"/>
      <c r="C435" s="118" t="s">
        <v>1416</v>
      </c>
      <c r="D435" s="146">
        <f t="array" aca="1" ref="D435" ca="1">SUM(--(_xlfn.UNIQUE(_xlfn._xlws.FILTER($M$2:$M$1011 &amp; "", ($C$2:$C$1011 = C435) * ($M$2:$M$1011 &lt;&gt; ""))) &lt;&gt; ""))</f>
        <v>1</v>
      </c>
      <c r="E435" s="166">
        <f t="shared" ca="1" si="24"/>
        <v>2299.1999999999998</v>
      </c>
      <c r="F435" s="143">
        <v>3</v>
      </c>
      <c r="G435" s="143" t="s">
        <v>173</v>
      </c>
      <c r="H435" s="119">
        <f>_xlfn.XLOOKUP(G435,'🚛 FROTA'!B:B,'🚛 FROTA'!A:A,"")</f>
        <v>46</v>
      </c>
      <c r="I435" s="119"/>
      <c r="J435" s="119" t="str">
        <f>IF(G435="","",_xlfn.XLOOKUP(G435,'🚛 FROTA'!B:B,'🚛 FROTA'!E:E,""))</f>
        <v>Express Delivery</v>
      </c>
      <c r="K435" s="119" t="str">
        <f>IF(G435="","",_xlfn.XLOOKUP(G435,'🚛 FROTA'!B:B,'🚛 FROTA'!K:K,""))</f>
        <v>Carroceria</v>
      </c>
      <c r="L435" s="143" t="s">
        <v>552</v>
      </c>
      <c r="M435" s="143" t="s">
        <v>1411</v>
      </c>
      <c r="N435" s="145">
        <v>46094</v>
      </c>
      <c r="O435" s="143">
        <v>1</v>
      </c>
      <c r="P435" s="143">
        <v>4</v>
      </c>
      <c r="Q435" s="167">
        <v>574.79999999999995</v>
      </c>
      <c r="R435" s="143" t="s">
        <v>554</v>
      </c>
      <c r="S435" s="122" t="s">
        <v>534</v>
      </c>
      <c r="T435" s="120" t="s">
        <v>522</v>
      </c>
      <c r="U435" s="121" t="s">
        <v>555</v>
      </c>
      <c r="V435" s="119" t="s">
        <v>556</v>
      </c>
      <c r="W435" s="119" t="s">
        <v>1417</v>
      </c>
      <c r="X435" s="123" t="s">
        <v>1418</v>
      </c>
      <c r="Y435" s="119"/>
      <c r="Z435" s="124">
        <v>41227</v>
      </c>
      <c r="AA435" s="125"/>
      <c r="AB435" s="126"/>
      <c r="AC435" s="127"/>
      <c r="AD435" s="127"/>
      <c r="AE435" s="127"/>
      <c r="AF435" s="127"/>
      <c r="AG435" s="125"/>
      <c r="AH435" s="128">
        <f t="shared" ca="1" si="27"/>
        <v>46064</v>
      </c>
      <c r="AI435" s="129" t="s">
        <v>559</v>
      </c>
      <c r="AJ435" s="129"/>
      <c r="AK435" s="129"/>
      <c r="AL435" s="129"/>
      <c r="AM435" s="129"/>
    </row>
    <row r="436" spans="1:39" ht="18" hidden="1" customHeight="1" x14ac:dyDescent="0.25">
      <c r="A436" s="117">
        <v>435</v>
      </c>
      <c r="B436" s="117"/>
      <c r="C436" s="118" t="s">
        <v>1419</v>
      </c>
      <c r="D436" s="146">
        <f t="array" aca="1" ref="D436" ca="1">SUM(--(_xlfn.UNIQUE(_xlfn._xlws.FILTER($M$2:$M$1011 &amp; "", ($C$2:$C$1011 = C436) * ($M$2:$M$1011 &lt;&gt; ""))) &lt;&gt; ""))</f>
        <v>1</v>
      </c>
      <c r="E436" s="166">
        <f t="shared" ca="1" si="24"/>
        <v>1954.2</v>
      </c>
      <c r="F436" s="143">
        <v>3</v>
      </c>
      <c r="G436" s="143" t="s">
        <v>167</v>
      </c>
      <c r="H436" s="119">
        <f>_xlfn.XLOOKUP(G436,'🚛 FROTA'!B:B,'🚛 FROTA'!A:A,"")</f>
        <v>42</v>
      </c>
      <c r="I436" s="119"/>
      <c r="J436" s="119" t="str">
        <f>IF(G436="","",_xlfn.XLOOKUP(G436,'🚛 FROTA'!B:B,'🚛 FROTA'!E:E,""))</f>
        <v>Express Delivery</v>
      </c>
      <c r="K436" s="119" t="str">
        <f>IF(G436="","",_xlfn.XLOOKUP(G436,'🚛 FROTA'!B:B,'🚛 FROTA'!K:K,""))</f>
        <v>Carroceria</v>
      </c>
      <c r="L436" s="143" t="s">
        <v>552</v>
      </c>
      <c r="M436" s="143" t="s">
        <v>1420</v>
      </c>
      <c r="N436" s="145">
        <v>46096</v>
      </c>
      <c r="O436" s="143">
        <v>1</v>
      </c>
      <c r="P436" s="143">
        <v>2</v>
      </c>
      <c r="Q436" s="167">
        <v>977.1</v>
      </c>
      <c r="R436" s="143" t="s">
        <v>554</v>
      </c>
      <c r="S436" s="122" t="s">
        <v>534</v>
      </c>
      <c r="T436" s="120" t="s">
        <v>522</v>
      </c>
      <c r="U436" s="121" t="s">
        <v>597</v>
      </c>
      <c r="V436" s="119" t="s">
        <v>598</v>
      </c>
      <c r="W436" s="119" t="s">
        <v>679</v>
      </c>
      <c r="X436" s="123" t="s">
        <v>680</v>
      </c>
      <c r="Y436" s="119"/>
      <c r="Z436" s="124">
        <v>64450</v>
      </c>
      <c r="AA436" s="125"/>
      <c r="AB436" s="126"/>
      <c r="AC436" s="127"/>
      <c r="AD436" s="127"/>
      <c r="AE436" s="127"/>
      <c r="AF436" s="127"/>
      <c r="AG436" s="125"/>
      <c r="AH436" s="128">
        <f t="shared" ca="1" si="27"/>
        <v>46066</v>
      </c>
      <c r="AI436" s="129" t="s">
        <v>559</v>
      </c>
      <c r="AJ436" s="129"/>
      <c r="AK436" s="132">
        <f>IF(Z436="",0,Z436+10000)</f>
        <v>74450</v>
      </c>
      <c r="AL436" s="129"/>
      <c r="AM436" s="129"/>
    </row>
    <row r="437" spans="1:39" ht="18" customHeight="1" x14ac:dyDescent="0.25">
      <c r="A437" s="117">
        <v>436</v>
      </c>
      <c r="B437" s="117"/>
      <c r="C437" s="118" t="s">
        <v>1349</v>
      </c>
      <c r="D437" s="146">
        <f t="array" aca="1" ref="D437" ca="1">SUM(--(_xlfn.UNIQUE(_xlfn._xlws.FILTER($M$2:$M$1011 &amp; "", ($C$2:$C$1011 = C437) * ($M$2:$M$1011 &lt;&gt; ""))) &lt;&gt; ""))</f>
        <v>1</v>
      </c>
      <c r="E437" s="166">
        <f t="shared" ca="1" si="24"/>
        <v>3164</v>
      </c>
      <c r="F437" s="143">
        <v>1</v>
      </c>
      <c r="G437" s="143" t="s">
        <v>128</v>
      </c>
      <c r="H437" s="119">
        <f>_xlfn.XLOOKUP(G437,'🚛 FROTA'!B:B,'🚛 FROTA'!A:A,"")</f>
        <v>20</v>
      </c>
      <c r="I437" s="119"/>
      <c r="J437" s="119" t="str">
        <f>IF(G437="","",_xlfn.XLOOKUP(G437,'🚛 FROTA'!B:B,'🚛 FROTA'!E:E,""))</f>
        <v>3CX</v>
      </c>
      <c r="K437" s="119"/>
      <c r="L437" s="143" t="s">
        <v>1350</v>
      </c>
      <c r="M437" s="143">
        <v>195177</v>
      </c>
      <c r="N437" s="145">
        <v>46119</v>
      </c>
      <c r="O437" s="143">
        <v>3</v>
      </c>
      <c r="P437" s="143">
        <v>4</v>
      </c>
      <c r="Q437" s="167">
        <v>791</v>
      </c>
      <c r="R437" s="143" t="s">
        <v>554</v>
      </c>
      <c r="S437" s="122" t="s">
        <v>560</v>
      </c>
      <c r="T437" s="120" t="s">
        <v>522</v>
      </c>
      <c r="U437" s="121" t="s">
        <v>555</v>
      </c>
      <c r="V437" s="119" t="s">
        <v>573</v>
      </c>
      <c r="W437" s="119" t="s">
        <v>574</v>
      </c>
      <c r="X437" s="123" t="s">
        <v>1351</v>
      </c>
      <c r="Y437" s="119" t="s">
        <v>576</v>
      </c>
      <c r="Z437" s="124"/>
      <c r="AA437" s="122" t="s">
        <v>577</v>
      </c>
      <c r="AB437" s="122">
        <v>2</v>
      </c>
      <c r="AC437" s="131" t="s">
        <v>613</v>
      </c>
      <c r="AD437" s="131" t="s">
        <v>1352</v>
      </c>
      <c r="AE437" s="131" t="s">
        <v>1353</v>
      </c>
      <c r="AF437" s="131" t="s">
        <v>581</v>
      </c>
      <c r="AG437" s="125" t="s">
        <v>582</v>
      </c>
      <c r="AH437" s="128">
        <f t="shared" ca="1" si="27"/>
        <v>46029</v>
      </c>
      <c r="AI437" s="129" t="s">
        <v>1354</v>
      </c>
      <c r="AJ437" s="129"/>
      <c r="AK437" s="129"/>
      <c r="AL437" s="129"/>
      <c r="AM437" s="129"/>
    </row>
    <row r="438" spans="1:39" ht="18" hidden="1" customHeight="1" x14ac:dyDescent="0.25">
      <c r="A438" s="117">
        <v>437</v>
      </c>
      <c r="B438" s="117"/>
      <c r="C438" s="118" t="s">
        <v>1421</v>
      </c>
      <c r="D438" s="146">
        <f t="array" aca="1" ref="D438" ca="1">SUM(--(_xlfn.UNIQUE(_xlfn._xlws.FILTER($M$2:$M$1011 &amp; "", ($C$2:$C$1011 = C438) * ($M$2:$M$1011 &lt;&gt; ""))) &lt;&gt; ""))</f>
        <v>1</v>
      </c>
      <c r="E438" s="166">
        <f t="shared" ca="1" si="24"/>
        <v>1530.69</v>
      </c>
      <c r="F438" s="143">
        <v>1</v>
      </c>
      <c r="G438" s="143" t="s">
        <v>141</v>
      </c>
      <c r="H438" s="119">
        <f>_xlfn.XLOOKUP(G438,'🚛 FROTA'!B:B,'🚛 FROTA'!A:A,"")</f>
        <v>24</v>
      </c>
      <c r="I438" s="119"/>
      <c r="J438" s="119" t="str">
        <f>IF(G438="","",_xlfn.XLOOKUP(G438,'🚛 FROTA'!B:B,'🚛 FROTA'!E:E,""))</f>
        <v>14.190 Constellation</v>
      </c>
      <c r="K438" s="119" t="str">
        <f>IF(G438="","",_xlfn.XLOOKUP(G438,'🚛 FROTA'!B:B,'🚛 FROTA'!K:K,""))</f>
        <v>Munck</v>
      </c>
      <c r="L438" s="143" t="s">
        <v>682</v>
      </c>
      <c r="M438" s="143" t="s">
        <v>1422</v>
      </c>
      <c r="N438" s="145">
        <v>46097</v>
      </c>
      <c r="O438" s="143">
        <v>1</v>
      </c>
      <c r="P438" s="143">
        <v>3</v>
      </c>
      <c r="Q438" s="167">
        <v>139.53</v>
      </c>
      <c r="R438" s="143" t="s">
        <v>554</v>
      </c>
      <c r="S438" s="122" t="s">
        <v>560</v>
      </c>
      <c r="T438" s="120" t="s">
        <v>522</v>
      </c>
      <c r="U438" s="121" t="s">
        <v>555</v>
      </c>
      <c r="V438" s="119" t="s">
        <v>568</v>
      </c>
      <c r="W438" s="119" t="s">
        <v>1217</v>
      </c>
      <c r="X438" s="123" t="s">
        <v>1423</v>
      </c>
      <c r="Y438" s="119"/>
      <c r="Z438" s="130">
        <v>142937</v>
      </c>
      <c r="AA438" s="125"/>
      <c r="AB438" s="126"/>
      <c r="AC438" s="127"/>
      <c r="AD438" s="127"/>
      <c r="AE438" s="127"/>
      <c r="AF438" s="127"/>
      <c r="AG438" s="125"/>
      <c r="AH438" s="128">
        <f t="shared" ca="1" si="27"/>
        <v>46067</v>
      </c>
      <c r="AI438" s="129" t="s">
        <v>686</v>
      </c>
      <c r="AJ438" s="129"/>
      <c r="AK438" s="129"/>
      <c r="AL438" s="129"/>
      <c r="AM438" s="129"/>
    </row>
    <row r="439" spans="1:39" ht="18" hidden="1" customHeight="1" x14ac:dyDescent="0.25">
      <c r="A439" s="117">
        <v>438</v>
      </c>
      <c r="B439" s="117"/>
      <c r="C439" s="118" t="s">
        <v>1421</v>
      </c>
      <c r="D439" s="146">
        <f t="array" aca="1" ref="D439" ca="1">SUM(--(_xlfn.UNIQUE(_xlfn._xlws.FILTER($M$2:$M$1011 &amp; "", ($C$2:$C$1011 = C439) * ($M$2:$M$1011 &lt;&gt; ""))) &lt;&gt; ""))</f>
        <v>1</v>
      </c>
      <c r="E439" s="166">
        <f t="shared" ca="1" si="24"/>
        <v>1530.69</v>
      </c>
      <c r="F439" s="143">
        <v>1</v>
      </c>
      <c r="G439" s="143" t="s">
        <v>141</v>
      </c>
      <c r="H439" s="119">
        <f>_xlfn.XLOOKUP(G439,'🚛 FROTA'!B:B,'🚛 FROTA'!A:A,"")</f>
        <v>24</v>
      </c>
      <c r="I439" s="119"/>
      <c r="J439" s="119" t="str">
        <f>IF(G439="","",_xlfn.XLOOKUP(G439,'🚛 FROTA'!B:B,'🚛 FROTA'!E:E,""))</f>
        <v>14.190 Constellation</v>
      </c>
      <c r="K439" s="119" t="str">
        <f>IF(G439="","",_xlfn.XLOOKUP(G439,'🚛 FROTA'!B:B,'🚛 FROTA'!K:K,""))</f>
        <v>Munck</v>
      </c>
      <c r="L439" s="143" t="s">
        <v>682</v>
      </c>
      <c r="M439" s="143" t="s">
        <v>1422</v>
      </c>
      <c r="N439" s="145">
        <v>46097</v>
      </c>
      <c r="O439" s="143">
        <v>1</v>
      </c>
      <c r="P439" s="143">
        <v>3</v>
      </c>
      <c r="Q439" s="167">
        <v>370.7</v>
      </c>
      <c r="R439" s="143" t="s">
        <v>554</v>
      </c>
      <c r="S439" s="122" t="s">
        <v>560</v>
      </c>
      <c r="T439" s="120" t="s">
        <v>522</v>
      </c>
      <c r="U439" s="121" t="s">
        <v>597</v>
      </c>
      <c r="V439" s="119" t="s">
        <v>598</v>
      </c>
      <c r="W439" s="119" t="s">
        <v>1424</v>
      </c>
      <c r="X439" s="123" t="s">
        <v>1425</v>
      </c>
      <c r="Y439" s="119"/>
      <c r="Z439" s="130">
        <v>142937</v>
      </c>
      <c r="AA439" s="125"/>
      <c r="AB439" s="126"/>
      <c r="AC439" s="127"/>
      <c r="AD439" s="127"/>
      <c r="AE439" s="127"/>
      <c r="AF439" s="127"/>
      <c r="AG439" s="125"/>
      <c r="AH439" s="128">
        <f t="shared" ca="1" si="27"/>
        <v>46067</v>
      </c>
      <c r="AI439" s="129" t="s">
        <v>686</v>
      </c>
      <c r="AJ439" s="129"/>
      <c r="AK439" s="132">
        <f>IF(Z439="",0,Z439+10000)</f>
        <v>152937</v>
      </c>
      <c r="AL439" s="129"/>
      <c r="AM439" s="129"/>
    </row>
    <row r="440" spans="1:39" ht="18" customHeight="1" x14ac:dyDescent="0.25">
      <c r="A440" s="117">
        <v>439</v>
      </c>
      <c r="B440" s="117"/>
      <c r="C440" s="118" t="s">
        <v>1426</v>
      </c>
      <c r="D440" s="146">
        <f t="array" aca="1" ref="D440" ca="1">SUM(--(_xlfn.UNIQUE(_xlfn._xlws.FILTER($M$2:$M$1011 &amp; "", ($C$2:$C$1011 = C440) * ($M$2:$M$1011 &lt;&gt; ""))) &lt;&gt; ""))</f>
        <v>1</v>
      </c>
      <c r="E440" s="166">
        <f t="shared" ca="1" si="24"/>
        <v>2479.77</v>
      </c>
      <c r="F440" s="143">
        <v>1</v>
      </c>
      <c r="G440" s="143" t="s">
        <v>167</v>
      </c>
      <c r="H440" s="119">
        <f>_xlfn.XLOOKUP(G440,'🚛 FROTA'!B:B,'🚛 FROTA'!A:A,"")</f>
        <v>42</v>
      </c>
      <c r="I440" s="119"/>
      <c r="J440" s="119" t="str">
        <f>IF(G440="","",_xlfn.XLOOKUP(G440,'🚛 FROTA'!B:B,'🚛 FROTA'!E:E,""))</f>
        <v>Express Delivery</v>
      </c>
      <c r="K440" s="119" t="str">
        <f>IF(G440="","",_xlfn.XLOOKUP(G440,'🚛 FROTA'!B:B,'🚛 FROTA'!K:K,""))</f>
        <v>Carroceria</v>
      </c>
      <c r="L440" s="143" t="s">
        <v>571</v>
      </c>
      <c r="M440" s="143" t="s">
        <v>1427</v>
      </c>
      <c r="N440" s="145">
        <v>46097</v>
      </c>
      <c r="O440" s="143">
        <v>1</v>
      </c>
      <c r="P440" s="143">
        <v>3</v>
      </c>
      <c r="Q440" s="167">
        <v>826.59</v>
      </c>
      <c r="R440" s="143" t="s">
        <v>554</v>
      </c>
      <c r="S440" s="122" t="s">
        <v>560</v>
      </c>
      <c r="T440" s="120" t="s">
        <v>522</v>
      </c>
      <c r="U440" s="121" t="s">
        <v>555</v>
      </c>
      <c r="V440" s="119" t="s">
        <v>573</v>
      </c>
      <c r="W440" s="119" t="s">
        <v>574</v>
      </c>
      <c r="X440" s="123" t="s">
        <v>1428</v>
      </c>
      <c r="Y440" s="119" t="s">
        <v>576</v>
      </c>
      <c r="Z440" s="124">
        <v>64450</v>
      </c>
      <c r="AA440" s="133" t="s">
        <v>659</v>
      </c>
      <c r="AB440" s="122">
        <v>2</v>
      </c>
      <c r="AC440" s="131" t="s">
        <v>578</v>
      </c>
      <c r="AD440" s="131" t="s">
        <v>755</v>
      </c>
      <c r="AE440" s="131" t="s">
        <v>1429</v>
      </c>
      <c r="AF440" s="131" t="s">
        <v>581</v>
      </c>
      <c r="AG440" s="125" t="s">
        <v>582</v>
      </c>
      <c r="AH440" s="128">
        <f t="shared" ca="1" si="27"/>
        <v>46067</v>
      </c>
      <c r="AI440" s="129" t="s">
        <v>583</v>
      </c>
      <c r="AJ440" s="129"/>
      <c r="AK440" s="129"/>
      <c r="AL440" s="129"/>
      <c r="AM440" s="129"/>
    </row>
    <row r="441" spans="1:39" ht="18" hidden="1" customHeight="1" x14ac:dyDescent="0.25">
      <c r="A441" s="117">
        <v>440</v>
      </c>
      <c r="B441" s="117"/>
      <c r="C441" s="118" t="s">
        <v>1430</v>
      </c>
      <c r="D441" s="146">
        <f t="array" aca="1" ref="D441" ca="1">IF(C441="","",SUM(--(_xlfn.UNIQUE(_xlfn._xlws.FILTER($M$2:$M$1011&amp;"",($C$2:$C$1011=C441)*($M$2:$M$1011&lt;&gt;"")))&lt;&gt;"")))</f>
        <v>1</v>
      </c>
      <c r="E441" s="166">
        <f t="shared" ca="1" si="24"/>
        <v>350</v>
      </c>
      <c r="F441" s="143">
        <v>3</v>
      </c>
      <c r="G441" s="143" t="s">
        <v>141</v>
      </c>
      <c r="H441" s="119">
        <f>_xlfn.XLOOKUP(G441,'🚛 FROTA'!B:B,'🚛 FROTA'!A:A,"")</f>
        <v>24</v>
      </c>
      <c r="I441" s="119"/>
      <c r="J441" s="119" t="str">
        <f>IF(G441="","",_xlfn.XLOOKUP(G441,'🚛 FROTA'!B:B,'🚛 FROTA'!E:E,""))</f>
        <v>14.190 Constellation</v>
      </c>
      <c r="K441" s="119" t="str">
        <f>IF(G441="","",_xlfn.XLOOKUP(G441,'🚛 FROTA'!B:B,'🚛 FROTA'!K:K,""))</f>
        <v>Munck</v>
      </c>
      <c r="L441" s="143" t="s">
        <v>1431</v>
      </c>
      <c r="M441" s="143" t="s">
        <v>1432</v>
      </c>
      <c r="N441" s="145">
        <v>46098</v>
      </c>
      <c r="O441" s="143">
        <v>1</v>
      </c>
      <c r="P441" s="143">
        <v>1</v>
      </c>
      <c r="Q441" s="167">
        <v>350</v>
      </c>
      <c r="R441" s="143" t="s">
        <v>554</v>
      </c>
      <c r="S441" s="122" t="s">
        <v>534</v>
      </c>
      <c r="T441" s="120" t="s">
        <v>522</v>
      </c>
      <c r="U441" s="121" t="s">
        <v>555</v>
      </c>
      <c r="V441" s="119" t="s">
        <v>568</v>
      </c>
      <c r="W441" s="119" t="s">
        <v>1217</v>
      </c>
      <c r="X441" s="123" t="s">
        <v>1433</v>
      </c>
      <c r="Y441" s="119"/>
      <c r="Z441" s="130">
        <v>142937</v>
      </c>
      <c r="AA441" s="125"/>
      <c r="AB441" s="126"/>
      <c r="AC441" s="127"/>
      <c r="AD441" s="127"/>
      <c r="AE441" s="127"/>
      <c r="AF441" s="127"/>
      <c r="AG441" s="125"/>
      <c r="AH441" s="128">
        <f t="shared" ca="1" si="27"/>
        <v>46068</v>
      </c>
      <c r="AI441" s="129" t="s">
        <v>1434</v>
      </c>
      <c r="AJ441" s="129"/>
      <c r="AK441" s="129"/>
      <c r="AL441" s="129"/>
      <c r="AM441" s="129"/>
    </row>
    <row r="442" spans="1:39" ht="18" hidden="1" customHeight="1" x14ac:dyDescent="0.25">
      <c r="A442" s="117">
        <v>441</v>
      </c>
      <c r="B442" s="117"/>
      <c r="C442" s="118" t="s">
        <v>1435</v>
      </c>
      <c r="D442" s="146">
        <f t="array" aca="1" ref="D442" ca="1">IF(C442="","",SUM(--(_xlfn.UNIQUE(_xlfn._xlws.FILTER($M$2:$M$1011&amp;"",($C$2:$C$1011=C442)*($M$2:$M$1011&lt;&gt;"")))&lt;&gt;"")))</f>
        <v>1</v>
      </c>
      <c r="E442" s="166">
        <f t="shared" ca="1" si="24"/>
        <v>970</v>
      </c>
      <c r="F442" s="143">
        <v>3</v>
      </c>
      <c r="G442" s="143" t="s">
        <v>166</v>
      </c>
      <c r="H442" s="119">
        <f>_xlfn.XLOOKUP(G442,'🚛 FROTA'!B:B,'🚛 FROTA'!A:A,"")</f>
        <v>41</v>
      </c>
      <c r="I442" s="119"/>
      <c r="J442" s="119" t="str">
        <f>IF(G442="","",_xlfn.XLOOKUP(G442,'🚛 FROTA'!B:B,'🚛 FROTA'!E:E,""))</f>
        <v>Express Delivery</v>
      </c>
      <c r="K442" s="119" t="str">
        <f>IF(G442="","",_xlfn.XLOOKUP(G442,'🚛 FROTA'!B:B,'🚛 FROTA'!K:K,""))</f>
        <v>Carroceria Cabinado</v>
      </c>
      <c r="L442" s="143" t="s">
        <v>1431</v>
      </c>
      <c r="M442" s="143" t="s">
        <v>1436</v>
      </c>
      <c r="N442" s="145">
        <v>46098</v>
      </c>
      <c r="O442" s="143">
        <v>1</v>
      </c>
      <c r="P442" s="143">
        <v>1</v>
      </c>
      <c r="Q442" s="167">
        <v>970</v>
      </c>
      <c r="R442" s="143" t="s">
        <v>554</v>
      </c>
      <c r="S442" s="122" t="s">
        <v>534</v>
      </c>
      <c r="T442" s="120" t="s">
        <v>522</v>
      </c>
      <c r="U442" s="121" t="s">
        <v>555</v>
      </c>
      <c r="V442" s="119" t="s">
        <v>670</v>
      </c>
      <c r="W442" s="119" t="s">
        <v>1437</v>
      </c>
      <c r="X442" s="123" t="s">
        <v>1438</v>
      </c>
      <c r="Y442" s="119"/>
      <c r="Z442" s="124">
        <v>89924</v>
      </c>
      <c r="AA442" s="125"/>
      <c r="AB442" s="126"/>
      <c r="AC442" s="127"/>
      <c r="AD442" s="127"/>
      <c r="AE442" s="127"/>
      <c r="AF442" s="127"/>
      <c r="AG442" s="125"/>
      <c r="AH442" s="128">
        <f t="shared" ca="1" si="27"/>
        <v>46068</v>
      </c>
      <c r="AI442" s="129" t="s">
        <v>1434</v>
      </c>
      <c r="AJ442" s="129"/>
      <c r="AK442" s="129"/>
      <c r="AL442" s="129"/>
      <c r="AM442" s="129"/>
    </row>
    <row r="443" spans="1:39" ht="18" hidden="1" customHeight="1" x14ac:dyDescent="0.25">
      <c r="A443" s="117">
        <v>442</v>
      </c>
      <c r="B443" s="117"/>
      <c r="C443" s="118" t="s">
        <v>1386</v>
      </c>
      <c r="D443" s="146">
        <f t="array" aca="1" ref="D443" ca="1">SUM(--(_xlfn.UNIQUE(_xlfn._xlws.FILTER($M$2:$M$1011 &amp; "", ($C$2:$C$1011 = C443) * ($M$2:$M$1011 &lt;&gt; ""))) &lt;&gt; ""))</f>
        <v>4</v>
      </c>
      <c r="E443" s="166">
        <f t="shared" ca="1" si="24"/>
        <v>5325.0100000000011</v>
      </c>
      <c r="F443" s="143">
        <v>1</v>
      </c>
      <c r="G443" s="143" t="s">
        <v>162</v>
      </c>
      <c r="H443" s="119">
        <f>_xlfn.XLOOKUP(G443,'🚛 FROTA'!B:B,'🚛 FROTA'!A:A,"")</f>
        <v>39</v>
      </c>
      <c r="I443" s="119"/>
      <c r="J443" s="119" t="str">
        <f>IF(G443="","",_xlfn.XLOOKUP(G443,'🚛 FROTA'!B:B,'🚛 FROTA'!E:E,""))</f>
        <v>Express Delivery</v>
      </c>
      <c r="K443" s="119" t="str">
        <f>IF(G443="","",_xlfn.XLOOKUP(G443,'🚛 FROTA'!B:B,'🚛 FROTA'!K:K,""))</f>
        <v>Carroceria Cabinado</v>
      </c>
      <c r="L443" s="143" t="s">
        <v>682</v>
      </c>
      <c r="M443" s="143">
        <v>910633</v>
      </c>
      <c r="N443" s="145">
        <v>46099</v>
      </c>
      <c r="O443" s="143">
        <v>1</v>
      </c>
      <c r="P443" s="143">
        <v>3</v>
      </c>
      <c r="Q443" s="167">
        <v>765.66</v>
      </c>
      <c r="R443" s="143" t="s">
        <v>554</v>
      </c>
      <c r="S443" s="122" t="s">
        <v>560</v>
      </c>
      <c r="T443" s="120" t="s">
        <v>522</v>
      </c>
      <c r="U443" s="121" t="s">
        <v>555</v>
      </c>
      <c r="V443" s="119" t="s">
        <v>689</v>
      </c>
      <c r="W443" s="119" t="s">
        <v>1221</v>
      </c>
      <c r="X443" s="123" t="s">
        <v>1246</v>
      </c>
      <c r="Y443" s="119" t="s">
        <v>800</v>
      </c>
      <c r="Z443" s="124">
        <v>87685</v>
      </c>
      <c r="AA443" s="125"/>
      <c r="AB443" s="126"/>
      <c r="AC443" s="127"/>
      <c r="AD443" s="127"/>
      <c r="AE443" s="127"/>
      <c r="AF443" s="127"/>
      <c r="AG443" s="125"/>
      <c r="AH443" s="128">
        <f t="shared" ca="1" si="27"/>
        <v>46060</v>
      </c>
      <c r="AI443" s="129" t="s">
        <v>686</v>
      </c>
      <c r="AJ443" s="129"/>
      <c r="AK443" s="129"/>
      <c r="AL443" s="129"/>
      <c r="AM443" s="129"/>
    </row>
    <row r="444" spans="1:39" ht="18" hidden="1" customHeight="1" x14ac:dyDescent="0.25">
      <c r="A444" s="117">
        <v>443</v>
      </c>
      <c r="B444" s="117"/>
      <c r="C444" s="118" t="s">
        <v>1439</v>
      </c>
      <c r="D444" s="146">
        <f t="array" aca="1" ref="D444" ca="1">SUM(--(_xlfn.UNIQUE(_xlfn._xlws.FILTER($M$2:$M$1011 &amp; "", ($C$2:$C$1011 = C444) * ($M$2:$M$1011 &lt;&gt; ""))) &lt;&gt; ""))</f>
        <v>1</v>
      </c>
      <c r="E444" s="166">
        <f t="shared" ca="1" si="24"/>
        <v>300</v>
      </c>
      <c r="F444" s="143">
        <v>1</v>
      </c>
      <c r="G444" s="143" t="s">
        <v>119</v>
      </c>
      <c r="H444" s="119">
        <f>_xlfn.XLOOKUP(G444,'🚛 FROTA'!B:B,'🚛 FROTA'!A:A,"")</f>
        <v>17</v>
      </c>
      <c r="I444" s="119"/>
      <c r="J444" s="119" t="str">
        <f>IF(G444="","",_xlfn.XLOOKUP(G444,'🚛 FROTA'!B:B,'🚛 FROTA'!E:E,""))</f>
        <v>CAT 416F2</v>
      </c>
      <c r="K444" s="119"/>
      <c r="L444" s="143" t="s">
        <v>1172</v>
      </c>
      <c r="M444" s="143" t="s">
        <v>1440</v>
      </c>
      <c r="N444" s="145">
        <v>46104</v>
      </c>
      <c r="O444" s="143">
        <v>1</v>
      </c>
      <c r="P444" s="143">
        <v>1</v>
      </c>
      <c r="Q444" s="167">
        <v>300</v>
      </c>
      <c r="R444" s="143" t="s">
        <v>554</v>
      </c>
      <c r="S444" s="122" t="s">
        <v>560</v>
      </c>
      <c r="T444" s="120" t="s">
        <v>522</v>
      </c>
      <c r="U444" s="121" t="s">
        <v>555</v>
      </c>
      <c r="V444" s="119" t="s">
        <v>640</v>
      </c>
      <c r="W444" s="119" t="s">
        <v>1174</v>
      </c>
      <c r="X444" s="123" t="s">
        <v>1441</v>
      </c>
      <c r="Y444" s="119"/>
      <c r="Z444" s="124">
        <v>3850</v>
      </c>
      <c r="AA444" s="125"/>
      <c r="AB444" s="126"/>
      <c r="AC444" s="127"/>
      <c r="AD444" s="127"/>
      <c r="AE444" s="127"/>
      <c r="AF444" s="127"/>
      <c r="AG444" s="125"/>
      <c r="AH444" s="128">
        <f t="shared" ca="1" si="27"/>
        <v>46074</v>
      </c>
      <c r="AI444" s="129"/>
      <c r="AJ444" s="129"/>
      <c r="AK444" s="129"/>
      <c r="AL444" s="129"/>
      <c r="AM444" s="129"/>
    </row>
    <row r="445" spans="1:39" ht="18" hidden="1" customHeight="1" x14ac:dyDescent="0.25">
      <c r="A445" s="117">
        <v>444</v>
      </c>
      <c r="B445" s="117"/>
      <c r="C445" s="118" t="s">
        <v>1330</v>
      </c>
      <c r="D445" s="146">
        <f t="array" aca="1" ref="D445" ca="1">SUM(--(_xlfn.UNIQUE(_xlfn._xlws.FILTER($M$2:$M$1011 &amp; "", ($C$2:$C$1011 = C445) * ($M$2:$M$1011 &lt;&gt; ""))) &lt;&gt; ""))</f>
        <v>1</v>
      </c>
      <c r="E445" s="166">
        <f t="shared" ca="1" si="24"/>
        <v>2398</v>
      </c>
      <c r="F445" s="143">
        <v>1</v>
      </c>
      <c r="G445" s="143" t="s">
        <v>162</v>
      </c>
      <c r="H445" s="119">
        <f>_xlfn.XLOOKUP(G445,'🚛 FROTA'!B:B,'🚛 FROTA'!A:A,"")</f>
        <v>39</v>
      </c>
      <c r="I445" s="119"/>
      <c r="J445" s="119" t="str">
        <f>IF(G445="","",_xlfn.XLOOKUP(G445,'🚛 FROTA'!B:B,'🚛 FROTA'!E:E,""))</f>
        <v>Express Delivery</v>
      </c>
      <c r="K445" s="119" t="str">
        <f>IF(G445="","",_xlfn.XLOOKUP(G445,'🚛 FROTA'!B:B,'🚛 FROTA'!K:K,""))</f>
        <v>Carroceria Cabinado</v>
      </c>
      <c r="L445" s="143" t="s">
        <v>682</v>
      </c>
      <c r="M445" s="143" t="s">
        <v>1331</v>
      </c>
      <c r="N445" s="145">
        <v>46104</v>
      </c>
      <c r="O445" s="143">
        <v>3</v>
      </c>
      <c r="P445" s="143">
        <v>3</v>
      </c>
      <c r="Q445" s="167">
        <v>799.34</v>
      </c>
      <c r="R445" s="143" t="s">
        <v>554</v>
      </c>
      <c r="S445" s="122" t="s">
        <v>560</v>
      </c>
      <c r="T445" s="120" t="s">
        <v>522</v>
      </c>
      <c r="U445" s="121" t="s">
        <v>555</v>
      </c>
      <c r="V445" s="119" t="s">
        <v>556</v>
      </c>
      <c r="W445" s="119" t="s">
        <v>1332</v>
      </c>
      <c r="X445" s="123" t="s">
        <v>1333</v>
      </c>
      <c r="Y445" s="119" t="s">
        <v>1334</v>
      </c>
      <c r="Z445" s="124">
        <v>87685</v>
      </c>
      <c r="AA445" s="125"/>
      <c r="AB445" s="126"/>
      <c r="AC445" s="127"/>
      <c r="AD445" s="127"/>
      <c r="AE445" s="127"/>
      <c r="AF445" s="127"/>
      <c r="AG445" s="125"/>
      <c r="AH445" s="128">
        <f t="shared" ca="1" si="27"/>
        <v>46024</v>
      </c>
      <c r="AI445" s="129" t="s">
        <v>686</v>
      </c>
      <c r="AJ445" s="129"/>
      <c r="AK445" s="129"/>
      <c r="AL445" s="129"/>
      <c r="AM445" s="129"/>
    </row>
    <row r="446" spans="1:39" ht="18" customHeight="1" x14ac:dyDescent="0.25">
      <c r="A446" s="117">
        <v>445</v>
      </c>
      <c r="B446" s="117"/>
      <c r="C446" s="118" t="s">
        <v>1442</v>
      </c>
      <c r="D446" s="146">
        <f t="array" aca="1" ref="D446" ca="1">SUM(--(_xlfn.UNIQUE(_xlfn._xlws.FILTER($M$2:$M$1011 &amp; "", ($C$2:$C$1011 = C446) * ($M$2:$M$1011 &lt;&gt; ""))) &lt;&gt; ""))</f>
        <v>1</v>
      </c>
      <c r="E446" s="166">
        <f t="shared" ca="1" si="24"/>
        <v>5960</v>
      </c>
      <c r="F446" s="143">
        <v>3</v>
      </c>
      <c r="G446" s="143" t="s">
        <v>119</v>
      </c>
      <c r="H446" s="119">
        <f>_xlfn.XLOOKUP(G446,'🚛 FROTA'!B:B,'🚛 FROTA'!A:A,"")</f>
        <v>17</v>
      </c>
      <c r="I446" s="119"/>
      <c r="J446" s="119" t="str">
        <f>IF(G446="","",_xlfn.XLOOKUP(G446,'🚛 FROTA'!B:B,'🚛 FROTA'!E:E,""))</f>
        <v>CAT 416F2</v>
      </c>
      <c r="K446" s="119"/>
      <c r="L446" s="143" t="s">
        <v>1443</v>
      </c>
      <c r="M446" s="143" t="s">
        <v>1444</v>
      </c>
      <c r="N446" s="145">
        <v>46106</v>
      </c>
      <c r="O446" s="143">
        <v>1</v>
      </c>
      <c r="P446" s="143">
        <v>4</v>
      </c>
      <c r="Q446" s="167">
        <v>1490</v>
      </c>
      <c r="R446" s="143" t="s">
        <v>554</v>
      </c>
      <c r="S446" s="122" t="s">
        <v>560</v>
      </c>
      <c r="T446" s="120" t="s">
        <v>522</v>
      </c>
      <c r="U446" s="121" t="s">
        <v>555</v>
      </c>
      <c r="V446" s="119" t="s">
        <v>573</v>
      </c>
      <c r="W446" s="119" t="s">
        <v>574</v>
      </c>
      <c r="X446" s="123" t="s">
        <v>1445</v>
      </c>
      <c r="Y446" s="119" t="s">
        <v>576</v>
      </c>
      <c r="Z446" s="124">
        <v>3850</v>
      </c>
      <c r="AA446" s="133" t="s">
        <v>659</v>
      </c>
      <c r="AB446" s="122">
        <v>2</v>
      </c>
      <c r="AC446" s="131" t="s">
        <v>1446</v>
      </c>
      <c r="AD446" s="131" t="s">
        <v>1447</v>
      </c>
      <c r="AE446" s="131" t="s">
        <v>1448</v>
      </c>
      <c r="AF446" s="131" t="s">
        <v>581</v>
      </c>
      <c r="AG446" s="125" t="s">
        <v>582</v>
      </c>
      <c r="AH446" s="128">
        <f t="shared" ca="1" si="27"/>
        <v>46076</v>
      </c>
      <c r="AI446" s="129"/>
      <c r="AJ446" s="129"/>
      <c r="AK446" s="129"/>
      <c r="AL446" s="129"/>
      <c r="AM446" s="129"/>
    </row>
    <row r="447" spans="1:39" ht="18" hidden="1" customHeight="1" x14ac:dyDescent="0.25">
      <c r="A447" s="117">
        <v>446</v>
      </c>
      <c r="B447" s="117"/>
      <c r="C447" s="118" t="s">
        <v>473</v>
      </c>
      <c r="D447" s="146">
        <f t="array" aca="1" ref="D447" ca="1">SUM(--(_xlfn.UNIQUE(_xlfn._xlws.FILTER($M$2:$M$1011 &amp; "", ($C$2:$C$1011 = C447) * ($M$2:$M$1011 &lt;&gt; ""))) &lt;&gt; ""))</f>
        <v>2</v>
      </c>
      <c r="E447" s="166">
        <f t="shared" ca="1" si="24"/>
        <v>5322.6900000000005</v>
      </c>
      <c r="F447" s="143">
        <v>1</v>
      </c>
      <c r="G447" s="143" t="s">
        <v>85</v>
      </c>
      <c r="H447" s="119">
        <f>_xlfn.XLOOKUP(G447,'🚛 FROTA'!B:B,'🚛 FROTA'!A:A,"")</f>
        <v>6</v>
      </c>
      <c r="I447" s="119"/>
      <c r="J447" s="119" t="str">
        <f>IF(G447="","",_xlfn.XLOOKUP(G447,'🚛 FROTA'!B:B,'🚛 FROTA'!E:E,""))</f>
        <v>13.180 Constellation</v>
      </c>
      <c r="K447" s="119" t="str">
        <f>IF(G447="","",_xlfn.XLOOKUP(G447,'🚛 FROTA'!B:B,'🚛 FROTA'!K:K,""))</f>
        <v>Munck</v>
      </c>
      <c r="L447" s="143" t="s">
        <v>627</v>
      </c>
      <c r="M447" s="143">
        <v>735232</v>
      </c>
      <c r="N447" s="145">
        <v>46107</v>
      </c>
      <c r="O447" s="143">
        <v>1</v>
      </c>
      <c r="P447" s="143">
        <v>1</v>
      </c>
      <c r="Q447" s="167">
        <v>585.80999999999995</v>
      </c>
      <c r="R447" s="143" t="s">
        <v>554</v>
      </c>
      <c r="S447" s="122" t="s">
        <v>560</v>
      </c>
      <c r="T447" s="120" t="s">
        <v>522</v>
      </c>
      <c r="U447" s="121" t="s">
        <v>555</v>
      </c>
      <c r="V447" s="119" t="s">
        <v>689</v>
      </c>
      <c r="W447" s="119" t="s">
        <v>1449</v>
      </c>
      <c r="X447" s="123" t="s">
        <v>1450</v>
      </c>
      <c r="Y447" s="119"/>
      <c r="Z447" s="130"/>
      <c r="AA447" s="125"/>
      <c r="AB447" s="126"/>
      <c r="AC447" s="127"/>
      <c r="AD447" s="127"/>
      <c r="AE447" s="127"/>
      <c r="AF447" s="127"/>
      <c r="AG447" s="125"/>
      <c r="AH447" s="128">
        <f t="shared" ca="1" si="27"/>
        <v>46077</v>
      </c>
      <c r="AI447" s="129" t="s">
        <v>631</v>
      </c>
      <c r="AJ447" s="129"/>
      <c r="AK447" s="129"/>
      <c r="AL447" s="129"/>
      <c r="AM447" s="129"/>
    </row>
    <row r="448" spans="1:39" ht="18" hidden="1" customHeight="1" x14ac:dyDescent="0.25">
      <c r="A448" s="117">
        <v>447</v>
      </c>
      <c r="B448" s="117"/>
      <c r="C448" s="118" t="s">
        <v>1325</v>
      </c>
      <c r="D448" s="146">
        <f t="array" aca="1" ref="D448" ca="1">SUM(--(_xlfn.UNIQUE(_xlfn._xlws.FILTER($M$2:$M$1011 &amp; "", ($C$2:$C$1011 = C448) * ($M$2:$M$1011 &lt;&gt; ""))) &lt;&gt; ""))</f>
        <v>1</v>
      </c>
      <c r="E448" s="166">
        <f t="shared" ca="1" si="24"/>
        <v>2200</v>
      </c>
      <c r="F448" s="143">
        <v>1</v>
      </c>
      <c r="G448" s="143" t="s">
        <v>162</v>
      </c>
      <c r="H448" s="119">
        <f>_xlfn.XLOOKUP(G448,'🚛 FROTA'!B:B,'🚛 FROTA'!A:A,"")</f>
        <v>39</v>
      </c>
      <c r="I448" s="119"/>
      <c r="J448" s="119" t="str">
        <f>IF(G448="","",_xlfn.XLOOKUP(G448,'🚛 FROTA'!B:B,'🚛 FROTA'!E:E,""))</f>
        <v>Express Delivery</v>
      </c>
      <c r="K448" s="119" t="str">
        <f>IF(G448="","",_xlfn.XLOOKUP(G448,'🚛 FROTA'!B:B,'🚛 FROTA'!K:K,""))</f>
        <v>Carroceria Cabinado</v>
      </c>
      <c r="L448" s="143" t="s">
        <v>595</v>
      </c>
      <c r="M448" s="143">
        <v>28752</v>
      </c>
      <c r="N448" s="145">
        <v>46110</v>
      </c>
      <c r="O448" s="143">
        <v>3</v>
      </c>
      <c r="P448" s="143">
        <v>3</v>
      </c>
      <c r="Q448" s="167">
        <v>733.48</v>
      </c>
      <c r="R448" s="143" t="s">
        <v>554</v>
      </c>
      <c r="S448" s="122" t="s">
        <v>560</v>
      </c>
      <c r="T448" s="120" t="s">
        <v>522</v>
      </c>
      <c r="U448" s="121" t="s">
        <v>555</v>
      </c>
      <c r="V448" s="119" t="s">
        <v>640</v>
      </c>
      <c r="W448" s="119" t="s">
        <v>1327</v>
      </c>
      <c r="X448" s="123" t="s">
        <v>1328</v>
      </c>
      <c r="Y448" s="119" t="s">
        <v>1329</v>
      </c>
      <c r="Z448" s="124">
        <v>86933</v>
      </c>
      <c r="AA448" s="125"/>
      <c r="AB448" s="126"/>
      <c r="AC448" s="127"/>
      <c r="AD448" s="127"/>
      <c r="AE448" s="127"/>
      <c r="AF448" s="127"/>
      <c r="AG448" s="125"/>
      <c r="AH448" s="128">
        <f t="shared" ca="1" si="27"/>
        <v>46020</v>
      </c>
      <c r="AI448" s="129" t="s">
        <v>602</v>
      </c>
      <c r="AJ448" s="129"/>
      <c r="AK448" s="129"/>
      <c r="AL448" s="129"/>
      <c r="AM448" s="129"/>
    </row>
    <row r="449" spans="1:39" ht="18" hidden="1" customHeight="1" x14ac:dyDescent="0.25">
      <c r="A449" s="117">
        <v>448</v>
      </c>
      <c r="B449" s="117"/>
      <c r="C449" s="118" t="s">
        <v>1382</v>
      </c>
      <c r="D449" s="146">
        <f t="array" aca="1" ref="D449" ca="1">SUM(--(_xlfn.UNIQUE(_xlfn._xlws.FILTER($M$2:$M$1011 &amp; "", ($C$2:$C$1011 = C449) * ($M$2:$M$1011 &lt;&gt; ""))) &lt;&gt; ""))</f>
        <v>2</v>
      </c>
      <c r="E449" s="166">
        <f t="shared" ca="1" si="24"/>
        <v>5896.7799999999907</v>
      </c>
      <c r="F449" s="143">
        <v>1</v>
      </c>
      <c r="G449" s="143" t="s">
        <v>141</v>
      </c>
      <c r="H449" s="119">
        <f>_xlfn.XLOOKUP(G449,'🚛 FROTA'!B:B,'🚛 FROTA'!A:A,"")</f>
        <v>24</v>
      </c>
      <c r="I449" s="119"/>
      <c r="J449" s="119" t="str">
        <f>IF(G449="","",_xlfn.XLOOKUP(G449,'🚛 FROTA'!B:B,'🚛 FROTA'!E:E,""))</f>
        <v>14.190 Constellation</v>
      </c>
      <c r="K449" s="119" t="str">
        <f>IF(G449="","",_xlfn.XLOOKUP(G449,'🚛 FROTA'!B:B,'🚛 FROTA'!K:K,""))</f>
        <v>Munck</v>
      </c>
      <c r="L449" s="143" t="s">
        <v>682</v>
      </c>
      <c r="M449" s="143" t="s">
        <v>1383</v>
      </c>
      <c r="N449" s="145">
        <v>46119</v>
      </c>
      <c r="O449" s="143">
        <v>2</v>
      </c>
      <c r="P449" s="143">
        <v>3</v>
      </c>
      <c r="Q449" s="167">
        <v>522.26</v>
      </c>
      <c r="R449" s="143" t="s">
        <v>554</v>
      </c>
      <c r="S449" s="122" t="s">
        <v>560</v>
      </c>
      <c r="T449" s="120" t="s">
        <v>522</v>
      </c>
      <c r="U449" s="121" t="s">
        <v>555</v>
      </c>
      <c r="V449" s="119" t="s">
        <v>689</v>
      </c>
      <c r="W449" s="119" t="s">
        <v>1384</v>
      </c>
      <c r="X449" s="123" t="s">
        <v>1385</v>
      </c>
      <c r="Y449" s="119"/>
      <c r="Z449" s="130">
        <v>142937</v>
      </c>
      <c r="AA449" s="125"/>
      <c r="AB449" s="126"/>
      <c r="AC449" s="127"/>
      <c r="AD449" s="127"/>
      <c r="AE449" s="127"/>
      <c r="AF449" s="127"/>
      <c r="AG449" s="125"/>
      <c r="AH449" s="128">
        <f t="shared" ca="1" si="27"/>
        <v>46060</v>
      </c>
      <c r="AI449" s="129" t="s">
        <v>686</v>
      </c>
      <c r="AJ449" s="129"/>
      <c r="AK449" s="129"/>
      <c r="AL449" s="129"/>
      <c r="AM449" s="129"/>
    </row>
    <row r="450" spans="1:39" ht="18" customHeight="1" x14ac:dyDescent="0.25">
      <c r="A450" s="117">
        <v>449</v>
      </c>
      <c r="B450" s="117"/>
      <c r="C450" s="118" t="s">
        <v>1349</v>
      </c>
      <c r="D450" s="146">
        <f t="array" aca="1" ref="D450" ca="1">IF(C450="","",SUM(--(_xlfn.UNIQUE(_xlfn._xlws.FILTER($M$2:$M$1011&amp;"",($C$2:$C$1011=C450)*($M$2:$M$1011&lt;&gt;"")))&lt;&gt;"")))</f>
        <v>1</v>
      </c>
      <c r="E450" s="166">
        <f t="shared" ref="E450:E490" ca="1" si="28">SUMIF(C:C, C450, Q:Q)</f>
        <v>3164</v>
      </c>
      <c r="F450" s="143">
        <v>1</v>
      </c>
      <c r="G450" s="143" t="s">
        <v>128</v>
      </c>
      <c r="H450" s="119">
        <f>_xlfn.XLOOKUP(G450,'🚛 FROTA'!B:B,'🚛 FROTA'!A:A,"")</f>
        <v>20</v>
      </c>
      <c r="I450" s="119"/>
      <c r="J450" s="119" t="str">
        <f>IF(G450="","",_xlfn.XLOOKUP(G450,'🚛 FROTA'!B:B,'🚛 FROTA'!E:E,""))</f>
        <v>3CX</v>
      </c>
      <c r="K450" s="119"/>
      <c r="L450" s="143" t="s">
        <v>1350</v>
      </c>
      <c r="M450" s="143">
        <v>195177</v>
      </c>
      <c r="N450" s="145">
        <v>46143</v>
      </c>
      <c r="O450" s="143">
        <v>4</v>
      </c>
      <c r="P450" s="143">
        <v>4</v>
      </c>
      <c r="Q450" s="167">
        <v>791</v>
      </c>
      <c r="R450" s="143" t="s">
        <v>554</v>
      </c>
      <c r="S450" s="122" t="s">
        <v>560</v>
      </c>
      <c r="T450" s="120" t="s">
        <v>446</v>
      </c>
      <c r="U450" s="121" t="s">
        <v>555</v>
      </c>
      <c r="V450" s="119" t="s">
        <v>573</v>
      </c>
      <c r="W450" s="119" t="s">
        <v>574</v>
      </c>
      <c r="X450" s="123" t="s">
        <v>1351</v>
      </c>
      <c r="Y450" s="119" t="s">
        <v>576</v>
      </c>
      <c r="Z450" s="124"/>
      <c r="AA450" s="122" t="s">
        <v>577</v>
      </c>
      <c r="AB450" s="122">
        <v>2</v>
      </c>
      <c r="AC450" s="131" t="s">
        <v>613</v>
      </c>
      <c r="AD450" s="131" t="s">
        <v>1352</v>
      </c>
      <c r="AE450" s="131" t="s">
        <v>1353</v>
      </c>
      <c r="AF450" s="131" t="s">
        <v>581</v>
      </c>
      <c r="AG450" s="125" t="s">
        <v>582</v>
      </c>
      <c r="AH450" s="128">
        <f t="shared" ca="1" si="27"/>
        <v>46029</v>
      </c>
      <c r="AI450" s="129" t="s">
        <v>1354</v>
      </c>
      <c r="AJ450" s="129"/>
      <c r="AK450" s="129"/>
      <c r="AL450" s="129"/>
      <c r="AM450" s="129"/>
    </row>
    <row r="451" spans="1:39" ht="18" hidden="1" customHeight="1" x14ac:dyDescent="0.25">
      <c r="A451" s="117">
        <v>450</v>
      </c>
      <c r="B451" s="117"/>
      <c r="C451" s="118" t="s">
        <v>1344</v>
      </c>
      <c r="D451" s="146">
        <f t="array" aca="1" ref="D451" ca="1">SUM(--(_xlfn.UNIQUE(_xlfn._xlws.FILTER($M$2:$M$1011 &amp; "", ($C$2:$C$1011 = C451) * ($M$2:$M$1011 &lt;&gt; ""))) &lt;&gt; ""))</f>
        <v>1</v>
      </c>
      <c r="E451" s="166">
        <f t="shared" ca="1" si="28"/>
        <v>3013.3500000000004</v>
      </c>
      <c r="F451" s="143">
        <v>1</v>
      </c>
      <c r="G451" s="143" t="s">
        <v>165</v>
      </c>
      <c r="H451" s="119">
        <f>_xlfn.XLOOKUP(G451,'🚛 FROTA'!B:B,'🚛 FROTA'!A:A,"")</f>
        <v>40</v>
      </c>
      <c r="I451" s="119"/>
      <c r="J451" s="119" t="str">
        <f>IF(G451="","",_xlfn.XLOOKUP(G451,'🚛 FROTA'!B:B,'🚛 FROTA'!E:E,""))</f>
        <v>Express Delivery</v>
      </c>
      <c r="K451" s="119" t="str">
        <f>IF(G451="","",_xlfn.XLOOKUP(G451,'🚛 FROTA'!B:B,'🚛 FROTA'!K:K,""))</f>
        <v>Carroceria Cabinado</v>
      </c>
      <c r="L451" s="143" t="s">
        <v>682</v>
      </c>
      <c r="M451" s="143" t="s">
        <v>1345</v>
      </c>
      <c r="N451" s="145">
        <v>46119</v>
      </c>
      <c r="O451" s="143">
        <v>3</v>
      </c>
      <c r="P451" s="143">
        <v>3</v>
      </c>
      <c r="Q451" s="167">
        <v>1004.45</v>
      </c>
      <c r="R451" s="143" t="s">
        <v>554</v>
      </c>
      <c r="S451" s="122" t="s">
        <v>560</v>
      </c>
      <c r="T451" s="120" t="s">
        <v>522</v>
      </c>
      <c r="U451" s="121" t="s">
        <v>555</v>
      </c>
      <c r="V451" s="119" t="s">
        <v>556</v>
      </c>
      <c r="W451" s="119" t="s">
        <v>1346</v>
      </c>
      <c r="X451" s="123" t="s">
        <v>1347</v>
      </c>
      <c r="Y451" s="119" t="s">
        <v>1348</v>
      </c>
      <c r="Z451" s="130"/>
      <c r="AA451" s="125"/>
      <c r="AB451" s="126"/>
      <c r="AC451" s="127"/>
      <c r="AD451" s="127"/>
      <c r="AE451" s="127"/>
      <c r="AF451" s="127"/>
      <c r="AG451" s="125"/>
      <c r="AH451" s="128">
        <f t="shared" ca="1" si="27"/>
        <v>46028</v>
      </c>
      <c r="AI451" s="129" t="s">
        <v>686</v>
      </c>
      <c r="AJ451" s="129"/>
      <c r="AK451" s="129"/>
      <c r="AL451" s="129"/>
      <c r="AM451" s="129"/>
    </row>
    <row r="452" spans="1:39" ht="18" hidden="1" customHeight="1" x14ac:dyDescent="0.25">
      <c r="A452" s="117">
        <v>451</v>
      </c>
      <c r="B452" s="117"/>
      <c r="C452" s="118" t="s">
        <v>473</v>
      </c>
      <c r="D452" s="146">
        <f t="array" aca="1" ref="D452" ca="1">SUM(--(_xlfn.UNIQUE(_xlfn._xlws.FILTER($M$2:$M$1011 &amp; "", ($C$2:$C$1011 = C452) * ($M$2:$M$1011 &lt;&gt; ""))) &lt;&gt; ""))</f>
        <v>2</v>
      </c>
      <c r="E452" s="166">
        <f t="shared" ca="1" si="28"/>
        <v>5322.6900000000005</v>
      </c>
      <c r="F452" s="143">
        <v>1</v>
      </c>
      <c r="G452" s="143" t="s">
        <v>85</v>
      </c>
      <c r="H452" s="119">
        <f>_xlfn.XLOOKUP(G452,'🚛 FROTA'!B:B,'🚛 FROTA'!A:A,"")</f>
        <v>6</v>
      </c>
      <c r="I452" s="119"/>
      <c r="J452" s="119" t="str">
        <f>IF(G452="","",_xlfn.XLOOKUP(G452,'🚛 FROTA'!B:B,'🚛 FROTA'!E:E,""))</f>
        <v>13.180 Constellation</v>
      </c>
      <c r="K452" s="119" t="str">
        <f>IF(G452="","",_xlfn.XLOOKUP(G452,'🚛 FROTA'!B:B,'🚛 FROTA'!K:K,""))</f>
        <v>Munck</v>
      </c>
      <c r="L452" s="143" t="s">
        <v>627</v>
      </c>
      <c r="M452" s="143" t="s">
        <v>1451</v>
      </c>
      <c r="N452" s="145">
        <v>46119</v>
      </c>
      <c r="O452" s="143">
        <v>1</v>
      </c>
      <c r="P452" s="143">
        <v>3</v>
      </c>
      <c r="Q452" s="167">
        <v>1578.96</v>
      </c>
      <c r="R452" s="143" t="s">
        <v>554</v>
      </c>
      <c r="S452" s="122" t="s">
        <v>560</v>
      </c>
      <c r="T452" s="120" t="s">
        <v>522</v>
      </c>
      <c r="U452" s="121" t="s">
        <v>555</v>
      </c>
      <c r="V452" s="119" t="s">
        <v>689</v>
      </c>
      <c r="W452" s="119" t="s">
        <v>1194</v>
      </c>
      <c r="X452" s="123" t="s">
        <v>1452</v>
      </c>
      <c r="Y452" s="119"/>
      <c r="Z452" s="130"/>
      <c r="AA452" s="125"/>
      <c r="AB452" s="126"/>
      <c r="AC452" s="127"/>
      <c r="AD452" s="127"/>
      <c r="AE452" s="127"/>
      <c r="AF452" s="127"/>
      <c r="AG452" s="125"/>
      <c r="AH452" s="128">
        <f t="shared" ca="1" si="27"/>
        <v>46077</v>
      </c>
      <c r="AI452" s="129" t="s">
        <v>631</v>
      </c>
      <c r="AJ452" s="129"/>
      <c r="AK452" s="129"/>
      <c r="AL452" s="129"/>
      <c r="AM452" s="129"/>
    </row>
    <row r="453" spans="1:39" ht="18" hidden="1" customHeight="1" x14ac:dyDescent="0.25">
      <c r="A453" s="117">
        <v>452</v>
      </c>
      <c r="B453" s="117"/>
      <c r="C453" s="118" t="s">
        <v>1453</v>
      </c>
      <c r="D453" s="146">
        <f t="array" aca="1" ref="D453" ca="1">SUM(--(_xlfn.UNIQUE(_xlfn._xlws.FILTER($M$2:$M$1011 &amp; "", ($C$2:$C$1011 = C453) * ($M$2:$M$1011 &lt;&gt; ""))) &lt;&gt; ""))</f>
        <v>3</v>
      </c>
      <c r="E453" s="166">
        <f t="shared" ca="1" si="28"/>
        <v>4811.04</v>
      </c>
      <c r="F453" s="143">
        <v>1</v>
      </c>
      <c r="G453" s="143" t="s">
        <v>85</v>
      </c>
      <c r="H453" s="119">
        <f>_xlfn.XLOOKUP(G453,'🚛 FROTA'!B:B,'🚛 FROTA'!A:A,"")</f>
        <v>6</v>
      </c>
      <c r="I453" s="119"/>
      <c r="J453" s="119" t="str">
        <f>IF(G453="","",_xlfn.XLOOKUP(G453,'🚛 FROTA'!B:B,'🚛 FROTA'!E:E,""))</f>
        <v>13.180 Constellation</v>
      </c>
      <c r="K453" s="119" t="str">
        <f>IF(G453="","",_xlfn.XLOOKUP(G453,'🚛 FROTA'!B:B,'🚛 FROTA'!K:K,""))</f>
        <v>Munck</v>
      </c>
      <c r="L453" s="143" t="s">
        <v>627</v>
      </c>
      <c r="M453" s="143">
        <v>737402</v>
      </c>
      <c r="N453" s="145">
        <v>46120</v>
      </c>
      <c r="O453" s="143">
        <v>1</v>
      </c>
      <c r="P453" s="143">
        <v>3</v>
      </c>
      <c r="Q453" s="167">
        <v>1376.3</v>
      </c>
      <c r="R453" s="143" t="s">
        <v>554</v>
      </c>
      <c r="S453" s="122" t="s">
        <v>560</v>
      </c>
      <c r="T453" s="120" t="s">
        <v>522</v>
      </c>
      <c r="U453" s="121" t="s">
        <v>555</v>
      </c>
      <c r="V453" s="119" t="s">
        <v>619</v>
      </c>
      <c r="W453" s="119" t="s">
        <v>1454</v>
      </c>
      <c r="X453" s="123" t="s">
        <v>1455</v>
      </c>
      <c r="Y453" s="119"/>
      <c r="Z453" s="135">
        <v>322800</v>
      </c>
      <c r="AA453" s="125"/>
      <c r="AB453" s="126"/>
      <c r="AC453" s="127"/>
      <c r="AD453" s="127"/>
      <c r="AE453" s="127"/>
      <c r="AF453" s="127"/>
      <c r="AG453" s="125"/>
      <c r="AH453" s="128">
        <f t="shared" ca="1" si="27"/>
        <v>46090</v>
      </c>
      <c r="AI453" s="129" t="s">
        <v>631</v>
      </c>
      <c r="AJ453" s="129"/>
      <c r="AK453" s="129"/>
      <c r="AL453" s="129"/>
      <c r="AM453" s="129"/>
    </row>
    <row r="454" spans="1:39" ht="18" hidden="1" customHeight="1" x14ac:dyDescent="0.25">
      <c r="A454" s="117">
        <v>453</v>
      </c>
      <c r="B454" s="117"/>
      <c r="C454" s="118" t="s">
        <v>1453</v>
      </c>
      <c r="D454" s="146">
        <f t="array" aca="1" ref="D454" ca="1">SUM(--(_xlfn.UNIQUE(_xlfn._xlws.FILTER($M$2:$M$1011 &amp; "", ($C$2:$C$1011 = C454) * ($M$2:$M$1011 &lt;&gt; ""))) &lt;&gt; ""))</f>
        <v>3</v>
      </c>
      <c r="E454" s="166">
        <f t="shared" ca="1" si="28"/>
        <v>4811.04</v>
      </c>
      <c r="F454" s="143">
        <v>1</v>
      </c>
      <c r="G454" s="143" t="s">
        <v>85</v>
      </c>
      <c r="H454" s="119">
        <f>_xlfn.XLOOKUP(G454,'🚛 FROTA'!B:B,'🚛 FROTA'!A:A,"")</f>
        <v>6</v>
      </c>
      <c r="I454" s="119"/>
      <c r="J454" s="119" t="str">
        <f>IF(G454="","",_xlfn.XLOOKUP(G454,'🚛 FROTA'!B:B,'🚛 FROTA'!E:E,""))</f>
        <v>13.180 Constellation</v>
      </c>
      <c r="K454" s="119" t="str">
        <f>IF(G454="","",_xlfn.XLOOKUP(G454,'🚛 FROTA'!B:B,'🚛 FROTA'!K:K,""))</f>
        <v>Munck</v>
      </c>
      <c r="L454" s="143" t="s">
        <v>627</v>
      </c>
      <c r="M454" s="143" t="s">
        <v>1456</v>
      </c>
      <c r="N454" s="145">
        <v>46121</v>
      </c>
      <c r="O454" s="143">
        <v>1</v>
      </c>
      <c r="P454" s="143">
        <v>1</v>
      </c>
      <c r="Q454" s="167">
        <v>207.16</v>
      </c>
      <c r="R454" s="143" t="s">
        <v>554</v>
      </c>
      <c r="S454" s="122" t="s">
        <v>560</v>
      </c>
      <c r="T454" s="120" t="s">
        <v>522</v>
      </c>
      <c r="U454" s="121" t="s">
        <v>555</v>
      </c>
      <c r="V454" s="119" t="s">
        <v>619</v>
      </c>
      <c r="W454" s="119" t="s">
        <v>1457</v>
      </c>
      <c r="X454" s="123" t="s">
        <v>1458</v>
      </c>
      <c r="Y454" s="119"/>
      <c r="Z454" s="135">
        <v>322800</v>
      </c>
      <c r="AA454" s="125"/>
      <c r="AB454" s="126"/>
      <c r="AC454" s="127"/>
      <c r="AD454" s="127"/>
      <c r="AE454" s="127"/>
      <c r="AF454" s="127"/>
      <c r="AG454" s="125"/>
      <c r="AH454" s="128">
        <f t="shared" ca="1" si="27"/>
        <v>46090</v>
      </c>
      <c r="AI454" s="129" t="s">
        <v>631</v>
      </c>
      <c r="AJ454" s="129"/>
      <c r="AK454" s="129"/>
      <c r="AL454" s="129"/>
      <c r="AM454" s="129"/>
    </row>
    <row r="455" spans="1:39" ht="18" customHeight="1" x14ac:dyDescent="0.25">
      <c r="A455" s="117">
        <v>454</v>
      </c>
      <c r="B455" s="117"/>
      <c r="C455" s="118" t="s">
        <v>1283</v>
      </c>
      <c r="D455" s="146">
        <f t="array" aca="1" ref="D455" ca="1">SUM(--(_xlfn.UNIQUE(_xlfn._xlws.FILTER($M$2:$M$1011 &amp; "", ($C$2:$C$1011 = C455) * ($M$2:$M$1011 &lt;&gt; ""))) &lt;&gt; ""))</f>
        <v>1</v>
      </c>
      <c r="E455" s="166">
        <f t="shared" ca="1" si="28"/>
        <v>1504</v>
      </c>
      <c r="F455" s="143">
        <v>1</v>
      </c>
      <c r="G455" s="143" t="s">
        <v>170</v>
      </c>
      <c r="H455" s="119">
        <f>_xlfn.XLOOKUP(G455,'🚛 FROTA'!B:B,'🚛 FROTA'!A:A,"")</f>
        <v>44</v>
      </c>
      <c r="I455" s="119"/>
      <c r="J455" s="119" t="str">
        <f>IF(G455="","",_xlfn.XLOOKUP(G455,'🚛 FROTA'!B:B,'🚛 FROTA'!E:E,""))</f>
        <v>Express Delivery</v>
      </c>
      <c r="K455" s="119" t="str">
        <f>IF(G455="","",_xlfn.XLOOKUP(G455,'🚛 FROTA'!B:B,'🚛 FROTA'!K:K,""))</f>
        <v>Carroceria</v>
      </c>
      <c r="L455" s="143" t="s">
        <v>604</v>
      </c>
      <c r="M455" s="143" t="s">
        <v>1284</v>
      </c>
      <c r="N455" s="145">
        <v>46121</v>
      </c>
      <c r="O455" s="143">
        <v>4</v>
      </c>
      <c r="P455" s="143">
        <v>4</v>
      </c>
      <c r="Q455" s="167">
        <v>376</v>
      </c>
      <c r="R455" s="143" t="s">
        <v>554</v>
      </c>
      <c r="S455" s="122" t="s">
        <v>560</v>
      </c>
      <c r="T455" s="120" t="s">
        <v>522</v>
      </c>
      <c r="U455" s="121" t="s">
        <v>555</v>
      </c>
      <c r="V455" s="119" t="s">
        <v>573</v>
      </c>
      <c r="W455" s="119" t="s">
        <v>574</v>
      </c>
      <c r="X455" s="123" t="s">
        <v>1285</v>
      </c>
      <c r="Y455" s="119" t="s">
        <v>576</v>
      </c>
      <c r="Z455" s="124">
        <v>43296</v>
      </c>
      <c r="AA455" s="134" t="s">
        <v>759</v>
      </c>
      <c r="AB455" s="122">
        <v>2</v>
      </c>
      <c r="AC455" s="131" t="s">
        <v>578</v>
      </c>
      <c r="AD455" s="131" t="s">
        <v>607</v>
      </c>
      <c r="AE455" s="131" t="s">
        <v>608</v>
      </c>
      <c r="AF455" s="131" t="s">
        <v>581</v>
      </c>
      <c r="AG455" s="125" t="s">
        <v>582</v>
      </c>
      <c r="AH455" s="128">
        <f t="shared" ca="1" si="27"/>
        <v>46001</v>
      </c>
      <c r="AI455" s="129" t="s">
        <v>609</v>
      </c>
      <c r="AJ455" s="129"/>
      <c r="AK455" s="129"/>
      <c r="AL455" s="129"/>
      <c r="AM455" s="129"/>
    </row>
    <row r="456" spans="1:39" ht="18" customHeight="1" x14ac:dyDescent="0.25">
      <c r="A456" s="117">
        <v>455</v>
      </c>
      <c r="B456" s="117"/>
      <c r="C456" s="118" t="s">
        <v>1286</v>
      </c>
      <c r="D456" s="146">
        <f t="array" aca="1" ref="D456" ca="1">SUM(--(_xlfn.UNIQUE(_xlfn._xlws.FILTER($M$2:$M$1011 &amp; "", ($C$2:$C$1011 = C456) * ($M$2:$M$1011 &lt;&gt; ""))) &lt;&gt; ""))</f>
        <v>1</v>
      </c>
      <c r="E456" s="166">
        <f t="shared" ca="1" si="28"/>
        <v>1504</v>
      </c>
      <c r="F456" s="143">
        <v>1</v>
      </c>
      <c r="G456" s="143" t="s">
        <v>172</v>
      </c>
      <c r="H456" s="119">
        <f>_xlfn.XLOOKUP(G456,'🚛 FROTA'!B:B,'🚛 FROTA'!A:A,"")</f>
        <v>45</v>
      </c>
      <c r="I456" s="119"/>
      <c r="J456" s="119" t="str">
        <f>IF(G456="","",_xlfn.XLOOKUP(G456,'🚛 FROTA'!B:B,'🚛 FROTA'!E:E,""))</f>
        <v>Express Delivery</v>
      </c>
      <c r="K456" s="119" t="str">
        <f>IF(G456="","",_xlfn.XLOOKUP(G456,'🚛 FROTA'!B:B,'🚛 FROTA'!K:K,""))</f>
        <v>Carroceria</v>
      </c>
      <c r="L456" s="143" t="s">
        <v>604</v>
      </c>
      <c r="M456" s="143" t="s">
        <v>1284</v>
      </c>
      <c r="N456" s="145">
        <v>46121</v>
      </c>
      <c r="O456" s="143">
        <v>4</v>
      </c>
      <c r="P456" s="143">
        <v>4</v>
      </c>
      <c r="Q456" s="167">
        <v>376</v>
      </c>
      <c r="R456" s="143" t="s">
        <v>554</v>
      </c>
      <c r="S456" s="122" t="s">
        <v>560</v>
      </c>
      <c r="T456" s="120" t="s">
        <v>522</v>
      </c>
      <c r="U456" s="121" t="s">
        <v>555</v>
      </c>
      <c r="V456" s="119" t="s">
        <v>573</v>
      </c>
      <c r="W456" s="119" t="s">
        <v>574</v>
      </c>
      <c r="X456" s="123" t="s">
        <v>1285</v>
      </c>
      <c r="Y456" s="119" t="s">
        <v>576</v>
      </c>
      <c r="Z456" s="124">
        <v>47489</v>
      </c>
      <c r="AA456" s="134" t="s">
        <v>759</v>
      </c>
      <c r="AB456" s="122">
        <v>2</v>
      </c>
      <c r="AC456" s="131" t="s">
        <v>578</v>
      </c>
      <c r="AD456" s="131" t="s">
        <v>607</v>
      </c>
      <c r="AE456" s="131" t="s">
        <v>608</v>
      </c>
      <c r="AF456" s="131" t="s">
        <v>581</v>
      </c>
      <c r="AG456" s="125" t="s">
        <v>582</v>
      </c>
      <c r="AH456" s="128">
        <f t="shared" ca="1" si="27"/>
        <v>46001</v>
      </c>
      <c r="AI456" s="129" t="s">
        <v>609</v>
      </c>
      <c r="AJ456" s="129"/>
      <c r="AK456" s="129"/>
      <c r="AL456" s="129"/>
      <c r="AM456" s="129"/>
    </row>
    <row r="457" spans="1:39" ht="18" customHeight="1" x14ac:dyDescent="0.25">
      <c r="A457" s="117">
        <v>456</v>
      </c>
      <c r="B457" s="117"/>
      <c r="C457" s="118" t="s">
        <v>1287</v>
      </c>
      <c r="D457" s="146">
        <f t="array" aca="1" ref="D457" ca="1">SUM(--(_xlfn.UNIQUE(_xlfn._xlws.FILTER($M$2:$M$1011 &amp; "", ($C$2:$C$1011 = C457) * ($M$2:$M$1011 &lt;&gt; ""))) &lt;&gt; ""))</f>
        <v>1</v>
      </c>
      <c r="E457" s="166">
        <f t="shared" ca="1" si="28"/>
        <v>1504</v>
      </c>
      <c r="F457" s="143">
        <v>1</v>
      </c>
      <c r="G457" s="143" t="s">
        <v>165</v>
      </c>
      <c r="H457" s="119">
        <f>_xlfn.XLOOKUP(G457,'🚛 FROTA'!B:B,'🚛 FROTA'!A:A,"")</f>
        <v>40</v>
      </c>
      <c r="I457" s="119"/>
      <c r="J457" s="119" t="str">
        <f>IF(G457="","",_xlfn.XLOOKUP(G457,'🚛 FROTA'!B:B,'🚛 FROTA'!E:E,""))</f>
        <v>Express Delivery</v>
      </c>
      <c r="K457" s="119" t="str">
        <f>IF(G457="","",_xlfn.XLOOKUP(G457,'🚛 FROTA'!B:B,'🚛 FROTA'!K:K,""))</f>
        <v>Carroceria Cabinado</v>
      </c>
      <c r="L457" s="143" t="s">
        <v>604</v>
      </c>
      <c r="M457" s="143" t="s">
        <v>1284</v>
      </c>
      <c r="N457" s="145">
        <v>46121</v>
      </c>
      <c r="O457" s="143">
        <v>4</v>
      </c>
      <c r="P457" s="143">
        <v>4</v>
      </c>
      <c r="Q457" s="167">
        <v>376</v>
      </c>
      <c r="R457" s="143" t="s">
        <v>554</v>
      </c>
      <c r="S457" s="122" t="s">
        <v>560</v>
      </c>
      <c r="T457" s="120" t="s">
        <v>522</v>
      </c>
      <c r="U457" s="121" t="s">
        <v>555</v>
      </c>
      <c r="V457" s="119" t="s">
        <v>573</v>
      </c>
      <c r="W457" s="119" t="s">
        <v>574</v>
      </c>
      <c r="X457" s="123" t="s">
        <v>1288</v>
      </c>
      <c r="Y457" s="119" t="s">
        <v>576</v>
      </c>
      <c r="Z457" s="124">
        <v>56826</v>
      </c>
      <c r="AA457" s="134" t="s">
        <v>759</v>
      </c>
      <c r="AB457" s="122">
        <v>2</v>
      </c>
      <c r="AC457" s="131" t="s">
        <v>578</v>
      </c>
      <c r="AD457" s="131" t="s">
        <v>607</v>
      </c>
      <c r="AE457" s="131" t="s">
        <v>608</v>
      </c>
      <c r="AF457" s="131" t="s">
        <v>581</v>
      </c>
      <c r="AG457" s="125" t="s">
        <v>582</v>
      </c>
      <c r="AH457" s="128">
        <f t="shared" ca="1" si="27"/>
        <v>46001</v>
      </c>
      <c r="AI457" s="129" t="s">
        <v>609</v>
      </c>
      <c r="AJ457" s="129"/>
      <c r="AK457" s="129"/>
      <c r="AL457" s="129"/>
      <c r="AM457" s="129"/>
    </row>
    <row r="458" spans="1:39" ht="18" hidden="1" customHeight="1" x14ac:dyDescent="0.25">
      <c r="A458" s="117">
        <v>457</v>
      </c>
      <c r="B458" s="117"/>
      <c r="C458" s="118" t="s">
        <v>1244</v>
      </c>
      <c r="D458" s="146">
        <f t="array" aca="1" ref="D458" ca="1">SUM(--(_xlfn.UNIQUE(_xlfn._xlws.FILTER($M$2:$M$1011 &amp; "", ($C$2:$C$1011 = C458) * ($M$2:$M$1011 &lt;&gt; ""))) &lt;&gt; ""))</f>
        <v>2</v>
      </c>
      <c r="E458" s="166">
        <f t="shared" ca="1" si="28"/>
        <v>4345.95</v>
      </c>
      <c r="F458" s="143">
        <v>3</v>
      </c>
      <c r="G458" s="143" t="s">
        <v>165</v>
      </c>
      <c r="H458" s="119">
        <f>_xlfn.XLOOKUP(G458,'🚛 FROTA'!B:B,'🚛 FROTA'!A:A,"")</f>
        <v>40</v>
      </c>
      <c r="I458" s="119"/>
      <c r="J458" s="119" t="str">
        <f>IF(G458="","",_xlfn.XLOOKUP(G458,'🚛 FROTA'!B:B,'🚛 FROTA'!E:E,""))</f>
        <v>Express Delivery</v>
      </c>
      <c r="K458" s="119" t="str">
        <f>IF(G458="","",_xlfn.XLOOKUP(G458,'🚛 FROTA'!B:B,'🚛 FROTA'!K:K,""))</f>
        <v>Carroceria Cabinado</v>
      </c>
      <c r="L458" s="143" t="s">
        <v>1129</v>
      </c>
      <c r="M458" s="143" t="s">
        <v>1316</v>
      </c>
      <c r="N458" s="145">
        <v>46121</v>
      </c>
      <c r="O458" s="143">
        <v>3</v>
      </c>
      <c r="P458" s="143">
        <v>3</v>
      </c>
      <c r="Q458" s="167">
        <v>466.67</v>
      </c>
      <c r="R458" s="143" t="s">
        <v>554</v>
      </c>
      <c r="S458" s="122" t="s">
        <v>534</v>
      </c>
      <c r="T458" s="120" t="s">
        <v>522</v>
      </c>
      <c r="U458" s="121" t="s">
        <v>555</v>
      </c>
      <c r="V458" s="119" t="s">
        <v>689</v>
      </c>
      <c r="W458" s="119" t="s">
        <v>1317</v>
      </c>
      <c r="X458" s="123" t="s">
        <v>1317</v>
      </c>
      <c r="Y458" s="119"/>
      <c r="Z458" s="124">
        <v>56000</v>
      </c>
      <c r="AA458" s="125"/>
      <c r="AB458" s="126"/>
      <c r="AC458" s="127"/>
      <c r="AD458" s="127"/>
      <c r="AE458" s="127"/>
      <c r="AF458" s="127"/>
      <c r="AG458" s="125"/>
      <c r="AH458" s="128">
        <f t="shared" ca="1" si="27"/>
        <v>45993</v>
      </c>
      <c r="AI458" s="129" t="s">
        <v>1132</v>
      </c>
      <c r="AJ458" s="129"/>
      <c r="AK458" s="129"/>
      <c r="AL458" s="129"/>
      <c r="AM458" s="129"/>
    </row>
    <row r="459" spans="1:39" ht="18" customHeight="1" x14ac:dyDescent="0.25">
      <c r="A459" s="117">
        <v>458</v>
      </c>
      <c r="B459" s="117"/>
      <c r="C459" s="118" t="s">
        <v>1426</v>
      </c>
      <c r="D459" s="146">
        <f t="array" aca="1" ref="D459" ca="1">SUM(--(_xlfn.UNIQUE(_xlfn._xlws.FILTER($M$2:$M$1011 &amp; "", ($C$2:$C$1011 = C459) * ($M$2:$M$1011 &lt;&gt; ""))) &lt;&gt; ""))</f>
        <v>1</v>
      </c>
      <c r="E459" s="166">
        <f t="shared" ca="1" si="28"/>
        <v>2479.77</v>
      </c>
      <c r="F459" s="143">
        <v>1</v>
      </c>
      <c r="G459" s="143" t="s">
        <v>167</v>
      </c>
      <c r="H459" s="119">
        <f>_xlfn.XLOOKUP(G459,'🚛 FROTA'!B:B,'🚛 FROTA'!A:A,"")</f>
        <v>42</v>
      </c>
      <c r="I459" s="119"/>
      <c r="J459" s="119" t="str">
        <f>IF(G459="","",_xlfn.XLOOKUP(G459,'🚛 FROTA'!B:B,'🚛 FROTA'!E:E,""))</f>
        <v>Express Delivery</v>
      </c>
      <c r="K459" s="119" t="str">
        <f>IF(G459="","",_xlfn.XLOOKUP(G459,'🚛 FROTA'!B:B,'🚛 FROTA'!K:K,""))</f>
        <v>Carroceria</v>
      </c>
      <c r="L459" s="143" t="s">
        <v>571</v>
      </c>
      <c r="M459" s="143" t="s">
        <v>1427</v>
      </c>
      <c r="N459" s="145">
        <v>46121</v>
      </c>
      <c r="O459" s="143">
        <v>2</v>
      </c>
      <c r="P459" s="143">
        <v>3</v>
      </c>
      <c r="Q459" s="167">
        <v>826.59</v>
      </c>
      <c r="R459" s="143" t="s">
        <v>554</v>
      </c>
      <c r="S459" s="122" t="s">
        <v>560</v>
      </c>
      <c r="T459" s="120" t="s">
        <v>522</v>
      </c>
      <c r="U459" s="121" t="s">
        <v>555</v>
      </c>
      <c r="V459" s="119" t="s">
        <v>573</v>
      </c>
      <c r="W459" s="119" t="s">
        <v>574</v>
      </c>
      <c r="X459" s="123" t="s">
        <v>1428</v>
      </c>
      <c r="Y459" s="119" t="s">
        <v>576</v>
      </c>
      <c r="Z459" s="124">
        <v>64450</v>
      </c>
      <c r="AA459" s="133" t="s">
        <v>659</v>
      </c>
      <c r="AB459" s="122">
        <v>2</v>
      </c>
      <c r="AC459" s="131" t="s">
        <v>578</v>
      </c>
      <c r="AD459" s="131" t="s">
        <v>755</v>
      </c>
      <c r="AE459" s="131" t="s">
        <v>1429</v>
      </c>
      <c r="AF459" s="131" t="s">
        <v>581</v>
      </c>
      <c r="AG459" s="125" t="s">
        <v>582</v>
      </c>
      <c r="AH459" s="128">
        <f t="shared" ca="1" si="27"/>
        <v>46067</v>
      </c>
      <c r="AI459" s="129" t="s">
        <v>583</v>
      </c>
      <c r="AJ459" s="129"/>
      <c r="AK459" s="129"/>
      <c r="AL459" s="129"/>
      <c r="AM459" s="129"/>
    </row>
    <row r="460" spans="1:39" ht="18" hidden="1" customHeight="1" x14ac:dyDescent="0.25">
      <c r="A460" s="117">
        <v>459</v>
      </c>
      <c r="B460" s="117"/>
      <c r="C460" s="118" t="s">
        <v>1421</v>
      </c>
      <c r="D460" s="146">
        <f t="array" aca="1" ref="D460" ca="1">SUM(--(_xlfn.UNIQUE(_xlfn._xlws.FILTER($M$2:$M$1011 &amp; "", ($C$2:$C$1011 = C460) * ($M$2:$M$1011 &lt;&gt; ""))) &lt;&gt; ""))</f>
        <v>1</v>
      </c>
      <c r="E460" s="166">
        <f t="shared" ca="1" si="28"/>
        <v>1530.69</v>
      </c>
      <c r="F460" s="143">
        <v>1</v>
      </c>
      <c r="G460" s="143" t="s">
        <v>141</v>
      </c>
      <c r="H460" s="119">
        <f>_xlfn.XLOOKUP(G460,'🚛 FROTA'!B:B,'🚛 FROTA'!A:A,"")</f>
        <v>24</v>
      </c>
      <c r="I460" s="119"/>
      <c r="J460" s="119" t="str">
        <f>IF(G460="","",_xlfn.XLOOKUP(G460,'🚛 FROTA'!B:B,'🚛 FROTA'!E:E,""))</f>
        <v>14.190 Constellation</v>
      </c>
      <c r="K460" s="119" t="str">
        <f>IF(G460="","",_xlfn.XLOOKUP(G460,'🚛 FROTA'!B:B,'🚛 FROTA'!K:K,""))</f>
        <v>Munck</v>
      </c>
      <c r="L460" s="143" t="s">
        <v>682</v>
      </c>
      <c r="M460" s="143" t="s">
        <v>1422</v>
      </c>
      <c r="N460" s="145">
        <v>46122</v>
      </c>
      <c r="O460" s="143">
        <v>2</v>
      </c>
      <c r="P460" s="143">
        <v>3</v>
      </c>
      <c r="Q460" s="167">
        <v>139.53</v>
      </c>
      <c r="R460" s="143" t="s">
        <v>554</v>
      </c>
      <c r="S460" s="122" t="s">
        <v>560</v>
      </c>
      <c r="T460" s="120" t="s">
        <v>522</v>
      </c>
      <c r="U460" s="121" t="s">
        <v>555</v>
      </c>
      <c r="V460" s="119" t="s">
        <v>568</v>
      </c>
      <c r="W460" s="119" t="s">
        <v>1217</v>
      </c>
      <c r="X460" s="123" t="s">
        <v>1423</v>
      </c>
      <c r="Y460" s="119"/>
      <c r="Z460" s="130">
        <v>142937</v>
      </c>
      <c r="AA460" s="125"/>
      <c r="AB460" s="126"/>
      <c r="AC460" s="127"/>
      <c r="AD460" s="127"/>
      <c r="AE460" s="127"/>
      <c r="AF460" s="127"/>
      <c r="AG460" s="125"/>
      <c r="AH460" s="128">
        <f t="shared" ca="1" si="27"/>
        <v>46067</v>
      </c>
      <c r="AI460" s="129" t="s">
        <v>686</v>
      </c>
      <c r="AJ460" s="129"/>
      <c r="AK460" s="129"/>
      <c r="AL460" s="129"/>
      <c r="AM460" s="129"/>
    </row>
    <row r="461" spans="1:39" ht="18" hidden="1" customHeight="1" x14ac:dyDescent="0.25">
      <c r="A461" s="117">
        <v>460</v>
      </c>
      <c r="B461" s="117"/>
      <c r="C461" s="118" t="s">
        <v>1421</v>
      </c>
      <c r="D461" s="146">
        <f t="array" aca="1" ref="D461" ca="1">SUM(--(_xlfn.UNIQUE(_xlfn._xlws.FILTER($M$2:$M$1011 &amp; "", ($C$2:$C$1011 = C461) * ($M$2:$M$1011 &lt;&gt; ""))) &lt;&gt; ""))</f>
        <v>1</v>
      </c>
      <c r="E461" s="166">
        <f t="shared" ca="1" si="28"/>
        <v>1530.69</v>
      </c>
      <c r="F461" s="143">
        <v>1</v>
      </c>
      <c r="G461" s="143" t="s">
        <v>141</v>
      </c>
      <c r="H461" s="119">
        <f>_xlfn.XLOOKUP(G461,'🚛 FROTA'!B:B,'🚛 FROTA'!A:A,"")</f>
        <v>24</v>
      </c>
      <c r="I461" s="119"/>
      <c r="J461" s="119" t="str">
        <f>IF(G461="","",_xlfn.XLOOKUP(G461,'🚛 FROTA'!B:B,'🚛 FROTA'!E:E,""))</f>
        <v>14.190 Constellation</v>
      </c>
      <c r="K461" s="119" t="str">
        <f>IF(G461="","",_xlfn.XLOOKUP(G461,'🚛 FROTA'!B:B,'🚛 FROTA'!K:K,""))</f>
        <v>Munck</v>
      </c>
      <c r="L461" s="143" t="s">
        <v>682</v>
      </c>
      <c r="M461" s="143" t="s">
        <v>1422</v>
      </c>
      <c r="N461" s="145">
        <v>46122</v>
      </c>
      <c r="O461" s="143">
        <v>2</v>
      </c>
      <c r="P461" s="143">
        <v>3</v>
      </c>
      <c r="Q461" s="167">
        <v>370.7</v>
      </c>
      <c r="R461" s="143" t="s">
        <v>554</v>
      </c>
      <c r="S461" s="122" t="s">
        <v>560</v>
      </c>
      <c r="T461" s="120" t="s">
        <v>522</v>
      </c>
      <c r="U461" s="121" t="s">
        <v>597</v>
      </c>
      <c r="V461" s="119" t="s">
        <v>598</v>
      </c>
      <c r="W461" s="119" t="s">
        <v>1424</v>
      </c>
      <c r="X461" s="123" t="s">
        <v>1425</v>
      </c>
      <c r="Y461" s="119"/>
      <c r="Z461" s="130">
        <v>142937</v>
      </c>
      <c r="AA461" s="125"/>
      <c r="AB461" s="126"/>
      <c r="AC461" s="127"/>
      <c r="AD461" s="127"/>
      <c r="AE461" s="127"/>
      <c r="AF461" s="127"/>
      <c r="AG461" s="125"/>
      <c r="AH461" s="128">
        <f t="shared" ca="1" si="27"/>
        <v>46067</v>
      </c>
      <c r="AI461" s="129" t="s">
        <v>686</v>
      </c>
      <c r="AJ461" s="129"/>
      <c r="AK461" s="132">
        <f>IF(Z461="",0,Z461+10000)</f>
        <v>152937</v>
      </c>
      <c r="AL461" s="129"/>
      <c r="AM461" s="129"/>
    </row>
    <row r="462" spans="1:39" ht="18" hidden="1" customHeight="1" x14ac:dyDescent="0.25">
      <c r="A462" s="117">
        <v>461</v>
      </c>
      <c r="B462" s="117"/>
      <c r="C462" s="118" t="s">
        <v>1390</v>
      </c>
      <c r="D462" s="146">
        <f t="array" aca="1" ref="D462" ca="1">SUM(--(_xlfn.UNIQUE(_xlfn._xlws.FILTER($M$2:$M$1011 &amp; "", ($C$2:$C$1011 = C462) * ($M$2:$M$1011 &lt;&gt; ""))) &lt;&gt; ""))</f>
        <v>1</v>
      </c>
      <c r="E462" s="166">
        <f t="shared" ca="1" si="28"/>
        <v>799.5</v>
      </c>
      <c r="F462" s="143">
        <v>3</v>
      </c>
      <c r="G462" s="143" t="s">
        <v>162</v>
      </c>
      <c r="H462" s="119">
        <f>_xlfn.XLOOKUP(G462,'🚛 FROTA'!B:B,'🚛 FROTA'!A:A,"")</f>
        <v>39</v>
      </c>
      <c r="I462" s="119"/>
      <c r="J462" s="119" t="str">
        <f>IF(G462="","",_xlfn.XLOOKUP(G462,'🚛 FROTA'!B:B,'🚛 FROTA'!E:E,""))</f>
        <v>Express Delivery</v>
      </c>
      <c r="K462" s="119" t="str">
        <f>IF(G462="","",_xlfn.XLOOKUP(G462,'🚛 FROTA'!B:B,'🚛 FROTA'!K:K,""))</f>
        <v>Carroceria Cabinado</v>
      </c>
      <c r="L462" s="143" t="s">
        <v>976</v>
      </c>
      <c r="M462" s="143" t="s">
        <v>1391</v>
      </c>
      <c r="N462" s="145">
        <v>46122</v>
      </c>
      <c r="O462" s="143">
        <v>2</v>
      </c>
      <c r="P462" s="143">
        <v>2</v>
      </c>
      <c r="Q462" s="167">
        <v>399.75</v>
      </c>
      <c r="R462" s="143" t="s">
        <v>554</v>
      </c>
      <c r="S462" s="122" t="s">
        <v>534</v>
      </c>
      <c r="T462" s="120" t="s">
        <v>522</v>
      </c>
      <c r="U462" s="121" t="s">
        <v>555</v>
      </c>
      <c r="V462" s="119" t="s">
        <v>978</v>
      </c>
      <c r="W462" s="119" t="s">
        <v>1392</v>
      </c>
      <c r="X462" s="123" t="s">
        <v>1393</v>
      </c>
      <c r="Y462" s="119"/>
      <c r="Z462" s="130"/>
      <c r="AA462" s="125"/>
      <c r="AB462" s="126"/>
      <c r="AC462" s="127"/>
      <c r="AD462" s="127"/>
      <c r="AE462" s="127"/>
      <c r="AF462" s="127"/>
      <c r="AG462" s="125"/>
      <c r="AH462" s="128">
        <f t="shared" ca="1" si="27"/>
        <v>46061</v>
      </c>
      <c r="AI462" s="129" t="s">
        <v>981</v>
      </c>
      <c r="AJ462" s="129"/>
      <c r="AK462" s="129"/>
      <c r="AL462" s="129"/>
      <c r="AM462" s="129"/>
    </row>
    <row r="463" spans="1:39" ht="18" hidden="1" customHeight="1" x14ac:dyDescent="0.25">
      <c r="A463" s="117">
        <v>462</v>
      </c>
      <c r="B463" s="117"/>
      <c r="C463" s="118" t="s">
        <v>1394</v>
      </c>
      <c r="D463" s="146">
        <f t="array" aca="1" ref="D463" ca="1">SUM(--(_xlfn.UNIQUE(_xlfn._xlws.FILTER($M$2:$M$1011 &amp; "", ($C$2:$C$1011 = C463) * ($M$2:$M$1011 &lt;&gt; ""))) &lt;&gt; ""))</f>
        <v>1</v>
      </c>
      <c r="E463" s="166">
        <f t="shared" ca="1" si="28"/>
        <v>920.5</v>
      </c>
      <c r="F463" s="143">
        <v>3</v>
      </c>
      <c r="G463" s="143" t="s">
        <v>85</v>
      </c>
      <c r="H463" s="119">
        <f>_xlfn.XLOOKUP(G463,'🚛 FROTA'!B:B,'🚛 FROTA'!A:A,"")</f>
        <v>6</v>
      </c>
      <c r="I463" s="119"/>
      <c r="J463" s="119" t="str">
        <f>IF(G463="","",_xlfn.XLOOKUP(G463,'🚛 FROTA'!B:B,'🚛 FROTA'!E:E,""))</f>
        <v>13.180 Constellation</v>
      </c>
      <c r="K463" s="119" t="str">
        <f>IF(G463="","",_xlfn.XLOOKUP(G463,'🚛 FROTA'!B:B,'🚛 FROTA'!K:K,""))</f>
        <v>Munck</v>
      </c>
      <c r="L463" s="143" t="s">
        <v>976</v>
      </c>
      <c r="M463" s="143" t="s">
        <v>1391</v>
      </c>
      <c r="N463" s="145">
        <v>46122</v>
      </c>
      <c r="O463" s="143">
        <v>2</v>
      </c>
      <c r="P463" s="143">
        <v>2</v>
      </c>
      <c r="Q463" s="167">
        <v>460.25</v>
      </c>
      <c r="R463" s="143" t="s">
        <v>554</v>
      </c>
      <c r="S463" s="122" t="s">
        <v>534</v>
      </c>
      <c r="T463" s="120" t="s">
        <v>522</v>
      </c>
      <c r="U463" s="121" t="s">
        <v>555</v>
      </c>
      <c r="V463" s="119" t="s">
        <v>978</v>
      </c>
      <c r="W463" s="119" t="s">
        <v>1392</v>
      </c>
      <c r="X463" s="123" t="s">
        <v>1395</v>
      </c>
      <c r="Y463" s="119"/>
      <c r="Z463" s="135">
        <v>322800</v>
      </c>
      <c r="AA463" s="125"/>
      <c r="AB463" s="126"/>
      <c r="AC463" s="127"/>
      <c r="AD463" s="127"/>
      <c r="AE463" s="127"/>
      <c r="AF463" s="127"/>
      <c r="AG463" s="125"/>
      <c r="AH463" s="128">
        <f t="shared" ca="1" si="27"/>
        <v>46061</v>
      </c>
      <c r="AI463" s="129" t="s">
        <v>981</v>
      </c>
      <c r="AJ463" s="129"/>
      <c r="AK463" s="129"/>
      <c r="AL463" s="129"/>
      <c r="AM463" s="129"/>
    </row>
    <row r="464" spans="1:39" ht="18" hidden="1" customHeight="1" x14ac:dyDescent="0.25">
      <c r="A464" s="117">
        <v>463</v>
      </c>
      <c r="B464" s="117"/>
      <c r="C464" s="118" t="s">
        <v>1453</v>
      </c>
      <c r="D464" s="146">
        <f t="array" aca="1" ref="D464" ca="1">SUM(--(_xlfn.UNIQUE(_xlfn._xlws.FILTER($M$2:$M$1011 &amp; "", ($C$2:$C$1011 = C464) * ($M$2:$M$1011 &lt;&gt; ""))) &lt;&gt; ""))</f>
        <v>3</v>
      </c>
      <c r="E464" s="166">
        <f t="shared" ca="1" si="28"/>
        <v>4811.04</v>
      </c>
      <c r="F464" s="143">
        <v>1</v>
      </c>
      <c r="G464" s="143" t="s">
        <v>85</v>
      </c>
      <c r="H464" s="119">
        <f>_xlfn.XLOOKUP(G464,'🚛 FROTA'!B:B,'🚛 FROTA'!A:A,"")</f>
        <v>6</v>
      </c>
      <c r="I464" s="119"/>
      <c r="J464" s="119" t="str">
        <f>IF(G464="","",_xlfn.XLOOKUP(G464,'🚛 FROTA'!B:B,'🚛 FROTA'!E:E,""))</f>
        <v>13.180 Constellation</v>
      </c>
      <c r="K464" s="119" t="str">
        <f>IF(G464="","",_xlfn.XLOOKUP(G464,'🚛 FROTA'!B:B,'🚛 FROTA'!K:K,""))</f>
        <v>Munck</v>
      </c>
      <c r="L464" s="143" t="s">
        <v>682</v>
      </c>
      <c r="M464" s="143" t="s">
        <v>1459</v>
      </c>
      <c r="N464" s="145">
        <v>46122</v>
      </c>
      <c r="O464" s="143">
        <v>1</v>
      </c>
      <c r="P464" s="143">
        <v>1</v>
      </c>
      <c r="Q464" s="167">
        <v>475</v>
      </c>
      <c r="R464" s="143" t="s">
        <v>554</v>
      </c>
      <c r="S464" s="122" t="s">
        <v>560</v>
      </c>
      <c r="T464" s="120" t="s">
        <v>522</v>
      </c>
      <c r="U464" s="121" t="s">
        <v>555</v>
      </c>
      <c r="V464" s="119" t="s">
        <v>619</v>
      </c>
      <c r="W464" s="119" t="s">
        <v>1369</v>
      </c>
      <c r="X464" s="123" t="s">
        <v>1460</v>
      </c>
      <c r="Y464" s="119" t="s">
        <v>1153</v>
      </c>
      <c r="Z464" s="135">
        <v>322800</v>
      </c>
      <c r="AA464" s="125"/>
      <c r="AB464" s="126"/>
      <c r="AC464" s="127"/>
      <c r="AD464" s="127"/>
      <c r="AE464" s="127"/>
      <c r="AF464" s="127"/>
      <c r="AG464" s="125"/>
      <c r="AH464" s="128">
        <f t="shared" ca="1" si="27"/>
        <v>46090</v>
      </c>
      <c r="AI464" s="129" t="s">
        <v>631</v>
      </c>
      <c r="AJ464" s="129"/>
      <c r="AK464" s="129"/>
      <c r="AL464" s="129"/>
      <c r="AM464" s="129"/>
    </row>
    <row r="465" spans="1:39" ht="18" hidden="1" customHeight="1" x14ac:dyDescent="0.25">
      <c r="A465" s="117">
        <v>464</v>
      </c>
      <c r="B465" s="117"/>
      <c r="C465" s="118" t="s">
        <v>1396</v>
      </c>
      <c r="D465" s="146">
        <f t="array" aca="1" ref="D465" ca="1">SUM(--(_xlfn.UNIQUE(_xlfn._xlws.FILTER($M$2:$M$1011 &amp; "", ($C$2:$C$1011 = C465) * ($M$2:$M$1011 &lt;&gt; ""))) &lt;&gt; ""))</f>
        <v>1</v>
      </c>
      <c r="E465" s="166">
        <f t="shared" ca="1" si="28"/>
        <v>3300</v>
      </c>
      <c r="F465" s="143">
        <v>3</v>
      </c>
      <c r="G465" s="143" t="s">
        <v>162</v>
      </c>
      <c r="H465" s="119">
        <f>_xlfn.XLOOKUP(G465,'🚛 FROTA'!B:B,'🚛 FROTA'!A:A,"")</f>
        <v>39</v>
      </c>
      <c r="I465" s="119"/>
      <c r="J465" s="119" t="str">
        <f>IF(G465="","",_xlfn.XLOOKUP(G465,'🚛 FROTA'!B:B,'🚛 FROTA'!E:E,""))</f>
        <v>Express Delivery</v>
      </c>
      <c r="K465" s="119" t="str">
        <f>IF(G465="","",_xlfn.XLOOKUP(G465,'🚛 FROTA'!B:B,'🚛 FROTA'!K:K,""))</f>
        <v>Carroceria Cabinado</v>
      </c>
      <c r="L465" s="143" t="s">
        <v>876</v>
      </c>
      <c r="M465" s="143" t="s">
        <v>1397</v>
      </c>
      <c r="N465" s="145">
        <v>46122</v>
      </c>
      <c r="O465" s="143">
        <v>2</v>
      </c>
      <c r="P465" s="143">
        <v>3</v>
      </c>
      <c r="Q465" s="167">
        <v>1100</v>
      </c>
      <c r="R465" s="143" t="s">
        <v>554</v>
      </c>
      <c r="S465" s="122" t="s">
        <v>534</v>
      </c>
      <c r="T465" s="120" t="s">
        <v>446</v>
      </c>
      <c r="U465" s="121" t="s">
        <v>555</v>
      </c>
      <c r="V465" s="119" t="s">
        <v>670</v>
      </c>
      <c r="W465" s="119" t="s">
        <v>1398</v>
      </c>
      <c r="X465" s="123" t="s">
        <v>1399</v>
      </c>
      <c r="Y465" s="119"/>
      <c r="Z465" s="124">
        <v>87218</v>
      </c>
      <c r="AA465" s="125"/>
      <c r="AB465" s="126"/>
      <c r="AC465" s="127"/>
      <c r="AD465" s="127"/>
      <c r="AE465" s="127"/>
      <c r="AF465" s="127"/>
      <c r="AG465" s="125"/>
      <c r="AH465" s="128">
        <f t="shared" ca="1" si="27"/>
        <v>46061</v>
      </c>
      <c r="AI465" s="129" t="s">
        <v>880</v>
      </c>
      <c r="AJ465" s="129"/>
      <c r="AK465" s="129"/>
      <c r="AL465" s="129"/>
      <c r="AM465" s="129"/>
    </row>
    <row r="466" spans="1:39" ht="18" customHeight="1" x14ac:dyDescent="0.25">
      <c r="A466" s="117">
        <v>465</v>
      </c>
      <c r="B466" s="117"/>
      <c r="C466" s="118" t="s">
        <v>1301</v>
      </c>
      <c r="D466" s="146">
        <f t="array" aca="1" ref="D466" ca="1">SUM(--(_xlfn.UNIQUE(_xlfn._xlws.FILTER($M$2:$M$1011 &amp; "", ($C$2:$C$1011 = C466) * ($M$2:$M$1011 &lt;&gt; ""))) &lt;&gt; ""))</f>
        <v>1</v>
      </c>
      <c r="E466" s="166">
        <f t="shared" ca="1" si="28"/>
        <v>4600</v>
      </c>
      <c r="F466" s="143">
        <v>1</v>
      </c>
      <c r="G466" s="143" t="s">
        <v>166</v>
      </c>
      <c r="H466" s="119">
        <f>_xlfn.XLOOKUP(G466,'🚛 FROTA'!B:B,'🚛 FROTA'!A:A,"")</f>
        <v>41</v>
      </c>
      <c r="I466" s="119"/>
      <c r="J466" s="119" t="str">
        <f>IF(G466="","",_xlfn.XLOOKUP(G466,'🚛 FROTA'!B:B,'🚛 FROTA'!E:E,""))</f>
        <v>Express Delivery</v>
      </c>
      <c r="K466" s="119" t="str">
        <f>IF(G466="","",_xlfn.XLOOKUP(G466,'🚛 FROTA'!B:B,'🚛 FROTA'!K:K,""))</f>
        <v>Carroceria Cabinado</v>
      </c>
      <c r="L466" s="143" t="s">
        <v>703</v>
      </c>
      <c r="M466" s="143" t="s">
        <v>1302</v>
      </c>
      <c r="N466" s="145">
        <v>46122</v>
      </c>
      <c r="O466" s="143">
        <v>4</v>
      </c>
      <c r="P466" s="143">
        <v>4</v>
      </c>
      <c r="Q466" s="167">
        <v>1150</v>
      </c>
      <c r="R466" s="143" t="s">
        <v>554</v>
      </c>
      <c r="S466" s="122" t="s">
        <v>560</v>
      </c>
      <c r="T466" s="120" t="s">
        <v>522</v>
      </c>
      <c r="U466" s="121" t="s">
        <v>555</v>
      </c>
      <c r="V466" s="119" t="s">
        <v>573</v>
      </c>
      <c r="W466" s="119" t="s">
        <v>574</v>
      </c>
      <c r="X466" s="123" t="s">
        <v>1303</v>
      </c>
      <c r="Y466" s="119" t="s">
        <v>753</v>
      </c>
      <c r="Z466" s="124">
        <v>85050</v>
      </c>
      <c r="AA466" s="134" t="s">
        <v>759</v>
      </c>
      <c r="AB466" s="122">
        <v>4</v>
      </c>
      <c r="AC466" s="131" t="s">
        <v>578</v>
      </c>
      <c r="AD466" s="131" t="s">
        <v>709</v>
      </c>
      <c r="AE466" s="131" t="s">
        <v>713</v>
      </c>
      <c r="AF466" s="131" t="s">
        <v>581</v>
      </c>
      <c r="AG466" s="125" t="s">
        <v>582</v>
      </c>
      <c r="AH466" s="128">
        <f t="shared" ca="1" si="27"/>
        <v>46001</v>
      </c>
      <c r="AI466" s="129"/>
      <c r="AJ466" s="129"/>
      <c r="AK466" s="129"/>
      <c r="AL466" s="129"/>
      <c r="AM466" s="129"/>
    </row>
    <row r="467" spans="1:39" ht="18" hidden="1" customHeight="1" x14ac:dyDescent="0.25">
      <c r="A467" s="117">
        <v>466</v>
      </c>
      <c r="B467" s="117"/>
      <c r="C467" s="118" t="s">
        <v>1382</v>
      </c>
      <c r="D467" s="146">
        <f t="array" aca="1" ref="D467" ca="1">SUM(--(_xlfn.UNIQUE(_xlfn._xlws.FILTER($M$2:$M$1011 &amp; "", ($C$2:$C$1011 = C467) * ($M$2:$M$1011 &lt;&gt; ""))) &lt;&gt; ""))</f>
        <v>2</v>
      </c>
      <c r="E467" s="166">
        <f t="shared" ca="1" si="28"/>
        <v>5896.7799999999907</v>
      </c>
      <c r="F467" s="143">
        <v>3</v>
      </c>
      <c r="G467" s="143" t="s">
        <v>141</v>
      </c>
      <c r="H467" s="119">
        <f>_xlfn.XLOOKUP(G467,'🚛 FROTA'!B:B,'🚛 FROTA'!A:A,"")</f>
        <v>24</v>
      </c>
      <c r="I467" s="119"/>
      <c r="J467" s="119" t="str">
        <f>IF(G467="","",_xlfn.XLOOKUP(G467,'🚛 FROTA'!B:B,'🚛 FROTA'!E:E,""))</f>
        <v>14.190 Constellation</v>
      </c>
      <c r="K467" s="119" t="str">
        <f>IF(G467="","",_xlfn.XLOOKUP(G467,'🚛 FROTA'!B:B,'🚛 FROTA'!K:K,""))</f>
        <v>Munck</v>
      </c>
      <c r="L467" s="143" t="s">
        <v>876</v>
      </c>
      <c r="M467" s="143" t="s">
        <v>1397</v>
      </c>
      <c r="N467" s="145">
        <v>46122</v>
      </c>
      <c r="O467" s="143">
        <v>2</v>
      </c>
      <c r="P467" s="143">
        <v>3</v>
      </c>
      <c r="Q467" s="167">
        <v>1443.3333333333301</v>
      </c>
      <c r="R467" s="143" t="s">
        <v>554</v>
      </c>
      <c r="S467" s="122" t="s">
        <v>534</v>
      </c>
      <c r="T467" s="120" t="s">
        <v>446</v>
      </c>
      <c r="U467" s="121" t="s">
        <v>555</v>
      </c>
      <c r="V467" s="119" t="s">
        <v>689</v>
      </c>
      <c r="W467" s="119" t="s">
        <v>1400</v>
      </c>
      <c r="X467" s="123" t="s">
        <v>1401</v>
      </c>
      <c r="Y467" s="119"/>
      <c r="Z467" s="130">
        <v>142937</v>
      </c>
      <c r="AA467" s="125"/>
      <c r="AB467" s="126"/>
      <c r="AC467" s="127"/>
      <c r="AD467" s="127"/>
      <c r="AE467" s="127"/>
      <c r="AF467" s="127"/>
      <c r="AG467" s="125"/>
      <c r="AH467" s="128">
        <f t="shared" ca="1" si="27"/>
        <v>46060</v>
      </c>
      <c r="AI467" s="129" t="s">
        <v>880</v>
      </c>
      <c r="AJ467" s="129"/>
      <c r="AK467" s="129"/>
      <c r="AL467" s="129"/>
      <c r="AM467" s="129"/>
    </row>
    <row r="468" spans="1:39" ht="18" hidden="1" customHeight="1" x14ac:dyDescent="0.25">
      <c r="A468" s="117">
        <v>467</v>
      </c>
      <c r="B468" s="117"/>
      <c r="C468" s="118" t="s">
        <v>1410</v>
      </c>
      <c r="D468" s="146">
        <f t="array" aca="1" ref="D468" ca="1">SUM(--(_xlfn.UNIQUE(_xlfn._xlws.FILTER($M$2:$M$1011 &amp; "", ($C$2:$C$1011 = C468) * ($M$2:$M$1011 &lt;&gt; ""))) &lt;&gt; ""))</f>
        <v>1</v>
      </c>
      <c r="E468" s="166">
        <f t="shared" ca="1" si="28"/>
        <v>1365.04</v>
      </c>
      <c r="F468" s="143">
        <v>3</v>
      </c>
      <c r="G468" s="143" t="s">
        <v>173</v>
      </c>
      <c r="H468" s="119">
        <f>_xlfn.XLOOKUP(G468,'🚛 FROTA'!B:B,'🚛 FROTA'!A:A,"")</f>
        <v>46</v>
      </c>
      <c r="I468" s="119"/>
      <c r="J468" s="119" t="str">
        <f>IF(G468="","",_xlfn.XLOOKUP(G468,'🚛 FROTA'!B:B,'🚛 FROTA'!E:E,""))</f>
        <v>Express Delivery</v>
      </c>
      <c r="K468" s="119" t="str">
        <f>IF(G468="","",_xlfn.XLOOKUP(G468,'🚛 FROTA'!B:B,'🚛 FROTA'!K:K,""))</f>
        <v>Carroceria</v>
      </c>
      <c r="L468" s="143" t="s">
        <v>552</v>
      </c>
      <c r="M468" s="143" t="s">
        <v>1411</v>
      </c>
      <c r="N468" s="145">
        <v>46124</v>
      </c>
      <c r="O468" s="143">
        <v>2</v>
      </c>
      <c r="P468" s="143">
        <v>4</v>
      </c>
      <c r="Q468" s="167">
        <v>341.26</v>
      </c>
      <c r="R468" s="143" t="s">
        <v>554</v>
      </c>
      <c r="S468" s="122" t="s">
        <v>534</v>
      </c>
      <c r="T468" s="120" t="s">
        <v>522</v>
      </c>
      <c r="U468" s="121" t="s">
        <v>555</v>
      </c>
      <c r="V468" s="119" t="s">
        <v>1412</v>
      </c>
      <c r="W468" s="119" t="s">
        <v>1413</v>
      </c>
      <c r="X468" s="123" t="s">
        <v>1414</v>
      </c>
      <c r="Y468" s="119" t="s">
        <v>1415</v>
      </c>
      <c r="Z468" s="124">
        <v>41227</v>
      </c>
      <c r="AA468" s="125"/>
      <c r="AB468" s="126"/>
      <c r="AC468" s="127"/>
      <c r="AD468" s="127"/>
      <c r="AE468" s="127"/>
      <c r="AF468" s="127"/>
      <c r="AG468" s="125"/>
      <c r="AH468" s="128">
        <f t="shared" ca="1" si="27"/>
        <v>46064</v>
      </c>
      <c r="AI468" s="129" t="s">
        <v>559</v>
      </c>
      <c r="AJ468" s="129"/>
      <c r="AK468" s="129"/>
      <c r="AL468" s="129"/>
      <c r="AM468" s="129"/>
    </row>
    <row r="469" spans="1:39" ht="18" hidden="1" customHeight="1" x14ac:dyDescent="0.25">
      <c r="A469" s="117">
        <v>468</v>
      </c>
      <c r="B469" s="117"/>
      <c r="C469" s="136" t="s">
        <v>1461</v>
      </c>
      <c r="D469" s="146">
        <f t="array" aca="1" ref="D469" ca="1">IF(C469="","",SUM(--(_xlfn.UNIQUE(_xlfn._xlws.FILTER($M$2:$M$1011&amp;"",($C$2:$C$1011=C469)*($M$2:$M$1011&lt;&gt;"")))&lt;&gt;"")))</f>
        <v>1</v>
      </c>
      <c r="E469" s="166">
        <f t="shared" ca="1" si="28"/>
        <v>830</v>
      </c>
      <c r="F469" s="143">
        <v>3</v>
      </c>
      <c r="G469" s="143" t="s">
        <v>85</v>
      </c>
      <c r="H469" s="138">
        <f>_xlfn.XLOOKUP(G469,'🚛 FROTA'!B:B,'🚛 FROTA'!A:A,"")</f>
        <v>6</v>
      </c>
      <c r="I469" s="138"/>
      <c r="J469" s="138" t="str">
        <f>IF(G469="","",_xlfn.XLOOKUP(G469,'🚛 FROTA'!B:B,'🚛 FROTA'!E:E,""))</f>
        <v>13.180 Constellation</v>
      </c>
      <c r="K469" s="138" t="str">
        <f>IF(G463="","",_xlfn.XLOOKUP(G469,'🚛 FROTA'!B:B,'🚛 FROTA'!K:K,""))</f>
        <v>Munck</v>
      </c>
      <c r="L469" s="143" t="s">
        <v>1172</v>
      </c>
      <c r="M469" s="143">
        <v>91</v>
      </c>
      <c r="N469" s="145">
        <v>46126</v>
      </c>
      <c r="O469" s="143">
        <v>1</v>
      </c>
      <c r="P469" s="143">
        <v>1</v>
      </c>
      <c r="Q469" s="167">
        <v>300</v>
      </c>
      <c r="R469" s="143" t="s">
        <v>554</v>
      </c>
      <c r="S469" s="122" t="s">
        <v>560</v>
      </c>
      <c r="T469" s="120" t="s">
        <v>522</v>
      </c>
      <c r="U469" s="121" t="s">
        <v>555</v>
      </c>
      <c r="V469" s="119" t="s">
        <v>56</v>
      </c>
      <c r="W469" s="119" t="s">
        <v>1174</v>
      </c>
      <c r="X469" s="123" t="s">
        <v>1462</v>
      </c>
      <c r="Y469" s="119"/>
      <c r="Z469" s="135">
        <v>322800</v>
      </c>
      <c r="AA469" s="125"/>
      <c r="AB469" s="126"/>
      <c r="AC469" s="127"/>
      <c r="AD469" s="127"/>
      <c r="AE469" s="127"/>
      <c r="AF469" s="127"/>
      <c r="AG469" s="125"/>
      <c r="AH469" s="128">
        <f t="shared" ca="1" si="27"/>
        <v>46096</v>
      </c>
      <c r="AI469" s="129"/>
      <c r="AJ469" s="129"/>
      <c r="AK469" s="129"/>
      <c r="AL469" s="129"/>
      <c r="AM469" s="129"/>
    </row>
    <row r="470" spans="1:39" ht="18" hidden="1" customHeight="1" x14ac:dyDescent="0.25">
      <c r="A470" s="117">
        <v>469</v>
      </c>
      <c r="B470" s="117"/>
      <c r="C470" s="136" t="s">
        <v>1461</v>
      </c>
      <c r="D470" s="146">
        <f t="array" aca="1" ref="D470" ca="1">SUM(--(_xlfn.UNIQUE(_xlfn._xlws.FILTER($M$2:$M$1011 &amp; "", ($C$2:$C$1011 = C470) * ($M$2:$M$1011 &lt;&gt; ""))) &lt;&gt; ""))</f>
        <v>1</v>
      </c>
      <c r="E470" s="166">
        <f t="shared" ca="1" si="28"/>
        <v>830</v>
      </c>
      <c r="F470" s="144">
        <v>3</v>
      </c>
      <c r="G470" s="143" t="s">
        <v>85</v>
      </c>
      <c r="H470" s="119">
        <f>_xlfn.XLOOKUP(G470,'🚛 FROTA'!B:B,'🚛 FROTA'!A:A,"")</f>
        <v>6</v>
      </c>
      <c r="I470" s="119"/>
      <c r="J470" s="119" t="str">
        <f>IF(G470="","",_xlfn.XLOOKUP(G470,'🚛 FROTA'!B:B,'🚛 FROTA'!E:E,""))</f>
        <v>13.180 Constellation</v>
      </c>
      <c r="K470" s="119" t="str">
        <f>IF(G470="","",_xlfn.XLOOKUP(G470,'🚛 FROTA'!B:B,'🚛 FROTA'!K:K,""))</f>
        <v>Munck</v>
      </c>
      <c r="L470" s="143" t="s">
        <v>1172</v>
      </c>
      <c r="M470" s="143">
        <v>91</v>
      </c>
      <c r="N470" s="145">
        <v>46126</v>
      </c>
      <c r="O470" s="144">
        <v>1</v>
      </c>
      <c r="P470" s="144">
        <v>1</v>
      </c>
      <c r="Q470" s="165">
        <v>530</v>
      </c>
      <c r="R470" s="144" t="s">
        <v>554</v>
      </c>
      <c r="S470" s="122" t="s">
        <v>560</v>
      </c>
      <c r="T470" s="120" t="s">
        <v>522</v>
      </c>
      <c r="U470" s="121" t="s">
        <v>555</v>
      </c>
      <c r="V470" s="117" t="s">
        <v>619</v>
      </c>
      <c r="W470" s="117" t="s">
        <v>1463</v>
      </c>
      <c r="X470" s="117" t="s">
        <v>1464</v>
      </c>
      <c r="Y470" s="117"/>
      <c r="Z470" s="135">
        <v>322800</v>
      </c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</row>
    <row r="471" spans="1:39" ht="18" customHeight="1" x14ac:dyDescent="0.25">
      <c r="A471" s="117">
        <v>470</v>
      </c>
      <c r="B471" s="117"/>
      <c r="C471" s="118" t="s">
        <v>1465</v>
      </c>
      <c r="D471" s="146">
        <f t="array" aca="1" ref="D471" ca="1">IF(C471="","",SUM(--(_xlfn.UNIQUE(_xlfn._xlws.FILTER($M$2:$M$1011&amp;"",($C$2:$C$1011=C471)*($M$2:$M$1011&lt;&gt;"")))&lt;&gt;"")))</f>
        <v>1</v>
      </c>
      <c r="E471" s="166">
        <f t="shared" ca="1" si="28"/>
        <v>4552</v>
      </c>
      <c r="F471" s="143">
        <v>1</v>
      </c>
      <c r="G471" s="143" t="s">
        <v>173</v>
      </c>
      <c r="H471" s="119">
        <f>_xlfn.XLOOKUP(G471,'🚛 FROTA'!B:B,'🚛 FROTA'!A:A,"")</f>
        <v>46</v>
      </c>
      <c r="I471" s="119"/>
      <c r="J471" s="119" t="str">
        <f>IF(G471="","",_xlfn.XLOOKUP(G471,'🚛 FROTA'!B:B,'🚛 FROTA'!E:E,""))</f>
        <v>Express Delivery</v>
      </c>
      <c r="K471" s="119" t="str">
        <f>IF(G471="","",_xlfn.XLOOKUP(G471,'🚛 FROTA'!B:B,'🚛 FROTA'!K:K,""))</f>
        <v>Carroceria</v>
      </c>
      <c r="L471" s="143" t="s">
        <v>1138</v>
      </c>
      <c r="M471" s="143">
        <v>10383</v>
      </c>
      <c r="N471" s="145">
        <v>46142</v>
      </c>
      <c r="O471" s="143">
        <v>1</v>
      </c>
      <c r="P471" s="143">
        <v>4</v>
      </c>
      <c r="Q471" s="167">
        <v>1138</v>
      </c>
      <c r="R471" s="143" t="s">
        <v>554</v>
      </c>
      <c r="S471" s="122" t="s">
        <v>560</v>
      </c>
      <c r="T471" s="120" t="s">
        <v>446</v>
      </c>
      <c r="U471" s="121" t="s">
        <v>555</v>
      </c>
      <c r="V471" s="119" t="s">
        <v>573</v>
      </c>
      <c r="W471" s="119" t="s">
        <v>574</v>
      </c>
      <c r="X471" s="123" t="s">
        <v>1466</v>
      </c>
      <c r="Y471" s="119" t="s">
        <v>753</v>
      </c>
      <c r="Z471" s="124">
        <v>42951</v>
      </c>
      <c r="AA471" s="134" t="s">
        <v>759</v>
      </c>
      <c r="AB471" s="122">
        <v>4</v>
      </c>
      <c r="AC471" s="131" t="s">
        <v>578</v>
      </c>
      <c r="AD471" s="131" t="s">
        <v>1141</v>
      </c>
      <c r="AE471" s="131" t="s">
        <v>1467</v>
      </c>
      <c r="AF471" s="131" t="s">
        <v>581</v>
      </c>
      <c r="AG471" s="125" t="s">
        <v>582</v>
      </c>
      <c r="AH471" s="128">
        <f t="shared" ref="AH471:AH488" ca="1" si="29">IF(OR(R471="A VISTA", R471="C. CRÉDITO", R471="ADIANTAMENTO"), N471, IF(R471="Faturado", _xlfn.MINIFS(N:N, C:C, C471)-30, ""))</f>
        <v>46112</v>
      </c>
      <c r="AI471" s="129"/>
      <c r="AJ471" s="129"/>
      <c r="AK471" s="129"/>
      <c r="AL471" s="129"/>
      <c r="AM471" s="129"/>
    </row>
    <row r="472" spans="1:39" ht="18" hidden="1" customHeight="1" x14ac:dyDescent="0.25">
      <c r="A472" s="117">
        <v>471</v>
      </c>
      <c r="B472" s="117"/>
      <c r="C472" s="118" t="s">
        <v>1386</v>
      </c>
      <c r="D472" s="146">
        <f t="array" aca="1" ref="D472" ca="1">IF(C472="","",SUM(--(_xlfn.UNIQUE(_xlfn._xlws.FILTER($M$2:$M$1011&amp;"",($C$2:$C$1011=C472)*($M$2:$M$1011&lt;&gt;"")))&lt;&gt;"")))</f>
        <v>4</v>
      </c>
      <c r="E472" s="166">
        <f t="shared" ca="1" si="28"/>
        <v>5325.0100000000011</v>
      </c>
      <c r="F472" s="143">
        <v>1</v>
      </c>
      <c r="G472" s="143" t="s">
        <v>162</v>
      </c>
      <c r="H472" s="119">
        <f>_xlfn.XLOOKUP(G472,'🚛 FROTA'!B:B,'🚛 FROTA'!A:A,"")</f>
        <v>39</v>
      </c>
      <c r="I472" s="119"/>
      <c r="J472" s="119" t="str">
        <f>IF(G472="","",_xlfn.XLOOKUP(G472,'🚛 FROTA'!B:B,'🚛 FROTA'!E:E,""))</f>
        <v>Express Delivery</v>
      </c>
      <c r="K472" s="119" t="str">
        <f>IF(G472="","",_xlfn.XLOOKUP(G472,'🚛 FROTA'!B:B,'🚛 FROTA'!K:K,""))</f>
        <v>Carroceria Cabinado</v>
      </c>
      <c r="L472" s="143" t="s">
        <v>682</v>
      </c>
      <c r="M472" s="143" t="s">
        <v>1468</v>
      </c>
      <c r="N472" s="145">
        <v>46127</v>
      </c>
      <c r="O472" s="143">
        <v>2</v>
      </c>
      <c r="P472" s="143">
        <v>3</v>
      </c>
      <c r="Q472" s="167">
        <v>765.67</v>
      </c>
      <c r="R472" s="143" t="s">
        <v>554</v>
      </c>
      <c r="S472" s="122" t="s">
        <v>560</v>
      </c>
      <c r="T472" s="120" t="s">
        <v>522</v>
      </c>
      <c r="U472" s="121" t="s">
        <v>555</v>
      </c>
      <c r="V472" s="119" t="s">
        <v>689</v>
      </c>
      <c r="W472" s="119" t="s">
        <v>1221</v>
      </c>
      <c r="X472" s="123" t="s">
        <v>1246</v>
      </c>
      <c r="Y472" s="119" t="s">
        <v>800</v>
      </c>
      <c r="Z472" s="124">
        <v>87685</v>
      </c>
      <c r="AA472" s="125"/>
      <c r="AB472" s="126"/>
      <c r="AC472" s="127"/>
      <c r="AD472" s="127"/>
      <c r="AE472" s="127"/>
      <c r="AF472" s="127"/>
      <c r="AG472" s="125"/>
      <c r="AH472" s="128">
        <f t="shared" ca="1" si="29"/>
        <v>46060</v>
      </c>
      <c r="AI472" s="129" t="s">
        <v>686</v>
      </c>
      <c r="AJ472" s="129"/>
      <c r="AK472" s="129"/>
      <c r="AL472" s="129"/>
      <c r="AM472" s="129"/>
    </row>
    <row r="473" spans="1:39" ht="18" hidden="1" customHeight="1" x14ac:dyDescent="0.25">
      <c r="A473" s="117">
        <v>472</v>
      </c>
      <c r="B473" s="117"/>
      <c r="C473" s="118" t="s">
        <v>1469</v>
      </c>
      <c r="D473" s="146">
        <f t="array" aca="1" ref="D473" ca="1">IF(C473="","",SUM(--(_xlfn.UNIQUE(_xlfn._xlws.FILTER($M$2:$M$1011&amp;"",($C$2:$C$1011=C473)*($M$2:$M$1011&lt;&gt;"")))&lt;&gt;"")))</f>
        <v>1</v>
      </c>
      <c r="E473" s="166">
        <f t="shared" ca="1" si="28"/>
        <v>783</v>
      </c>
      <c r="F473" s="143">
        <v>1</v>
      </c>
      <c r="G473" s="143" t="s">
        <v>172</v>
      </c>
      <c r="H473" s="119">
        <f>_xlfn.XLOOKUP(G473,'🚛 FROTA'!B:B,'🚛 FROTA'!A:A,"")</f>
        <v>45</v>
      </c>
      <c r="I473" s="119"/>
      <c r="J473" s="119" t="str">
        <f>IF(G473="","",_xlfn.XLOOKUP(G473,'🚛 FROTA'!B:B,'🚛 FROTA'!E:E,""))</f>
        <v>Express Delivery</v>
      </c>
      <c r="K473" s="119" t="str">
        <f>IF(G473="","",_xlfn.XLOOKUP(G473,'🚛 FROTA'!B:B,'🚛 FROTA'!K:K,""))</f>
        <v>Carroceria</v>
      </c>
      <c r="L473" s="143" t="s">
        <v>1050</v>
      </c>
      <c r="M473" s="143" t="s">
        <v>1470</v>
      </c>
      <c r="N473" s="145">
        <v>46127</v>
      </c>
      <c r="O473" s="143">
        <v>1</v>
      </c>
      <c r="P473" s="143">
        <v>1</v>
      </c>
      <c r="Q473" s="167">
        <v>783</v>
      </c>
      <c r="R473" s="143" t="s">
        <v>554</v>
      </c>
      <c r="S473" s="122" t="s">
        <v>534</v>
      </c>
      <c r="T473" s="120" t="s">
        <v>522</v>
      </c>
      <c r="U473" s="121" t="s">
        <v>597</v>
      </c>
      <c r="V473" s="119" t="s">
        <v>598</v>
      </c>
      <c r="W473" s="119" t="s">
        <v>916</v>
      </c>
      <c r="X473" s="123" t="s">
        <v>916</v>
      </c>
      <c r="Y473" s="119"/>
      <c r="Z473" s="124">
        <v>50628</v>
      </c>
      <c r="AA473" s="125"/>
      <c r="AB473" s="126"/>
      <c r="AC473" s="127"/>
      <c r="AD473" s="127"/>
      <c r="AE473" s="127"/>
      <c r="AF473" s="127"/>
      <c r="AG473" s="125"/>
      <c r="AH473" s="128">
        <f t="shared" ca="1" si="29"/>
        <v>46097</v>
      </c>
      <c r="AI473" s="129"/>
      <c r="AJ473" s="129"/>
      <c r="AK473" s="132">
        <f>IF(Z473="",0,Z473+10000)</f>
        <v>60628</v>
      </c>
      <c r="AL473" s="129"/>
      <c r="AM473" s="129"/>
    </row>
    <row r="474" spans="1:39" ht="18" customHeight="1" x14ac:dyDescent="0.25">
      <c r="A474" s="117">
        <v>473</v>
      </c>
      <c r="B474" s="117"/>
      <c r="C474" s="118" t="s">
        <v>1465</v>
      </c>
      <c r="D474" s="146">
        <f t="array" aca="1" ref="D474" ca="1">IF(C474="","",SUM(--(_xlfn.UNIQUE(_xlfn._xlws.FILTER($M$2:$M$1011&amp;"",($C$2:$C$1011=C474)*($M$2:$M$1011&lt;&gt;"")))&lt;&gt;"")))</f>
        <v>1</v>
      </c>
      <c r="E474" s="166">
        <f t="shared" ca="1" si="28"/>
        <v>4552</v>
      </c>
      <c r="F474" s="143">
        <v>1</v>
      </c>
      <c r="G474" s="143" t="s">
        <v>173</v>
      </c>
      <c r="H474" s="119">
        <f>_xlfn.XLOOKUP(G474,'🚛 FROTA'!B:B,'🚛 FROTA'!A:A,"")</f>
        <v>46</v>
      </c>
      <c r="I474" s="119"/>
      <c r="J474" s="119" t="str">
        <f>IF(G474="","",_xlfn.XLOOKUP(G474,'🚛 FROTA'!B:B,'🚛 FROTA'!E:E,""))</f>
        <v>Express Delivery</v>
      </c>
      <c r="K474" s="119" t="str">
        <f>IF(G474="","",_xlfn.XLOOKUP(G474,'🚛 FROTA'!B:B,'🚛 FROTA'!K:K,""))</f>
        <v>Carroceria</v>
      </c>
      <c r="L474" s="143" t="s">
        <v>1138</v>
      </c>
      <c r="M474" s="143">
        <v>10383</v>
      </c>
      <c r="N474" s="145">
        <v>46172</v>
      </c>
      <c r="O474" s="143">
        <v>2</v>
      </c>
      <c r="P474" s="143">
        <v>4</v>
      </c>
      <c r="Q474" s="167">
        <v>1138</v>
      </c>
      <c r="R474" s="143" t="s">
        <v>554</v>
      </c>
      <c r="S474" s="122" t="s">
        <v>560</v>
      </c>
      <c r="T474" s="120" t="s">
        <v>446</v>
      </c>
      <c r="U474" s="121" t="s">
        <v>555</v>
      </c>
      <c r="V474" s="119" t="s">
        <v>573</v>
      </c>
      <c r="W474" s="119" t="s">
        <v>574</v>
      </c>
      <c r="X474" s="123" t="s">
        <v>1466</v>
      </c>
      <c r="Y474" s="119" t="s">
        <v>753</v>
      </c>
      <c r="Z474" s="124">
        <v>42951</v>
      </c>
      <c r="AA474" s="134" t="s">
        <v>759</v>
      </c>
      <c r="AB474" s="122">
        <v>4</v>
      </c>
      <c r="AC474" s="131" t="s">
        <v>578</v>
      </c>
      <c r="AD474" s="131" t="s">
        <v>1141</v>
      </c>
      <c r="AE474" s="131" t="s">
        <v>1467</v>
      </c>
      <c r="AF474" s="131" t="s">
        <v>581</v>
      </c>
      <c r="AG474" s="125" t="s">
        <v>582</v>
      </c>
      <c r="AH474" s="128">
        <f t="shared" ca="1" si="29"/>
        <v>46112</v>
      </c>
      <c r="AI474" s="129"/>
      <c r="AJ474" s="129"/>
      <c r="AK474" s="129"/>
      <c r="AL474" s="129"/>
      <c r="AM474" s="129"/>
    </row>
    <row r="475" spans="1:39" ht="18" customHeight="1" x14ac:dyDescent="0.25">
      <c r="A475" s="117">
        <v>474</v>
      </c>
      <c r="B475" s="117"/>
      <c r="C475" s="118" t="s">
        <v>1471</v>
      </c>
      <c r="D475" s="146">
        <f t="array" aca="1" ref="D475" ca="1">IF(C475="","",SUM(--(_xlfn.UNIQUE(_xlfn._xlws.FILTER($M$2:$M$1011&amp;"",($C$2:$C$1011=C475)*($M$2:$M$1011&lt;&gt;"")))&lt;&gt;"")))</f>
        <v>1</v>
      </c>
      <c r="E475" s="166">
        <f t="shared" ca="1" si="28"/>
        <v>1504</v>
      </c>
      <c r="F475" s="143">
        <v>1</v>
      </c>
      <c r="G475" s="143" t="s">
        <v>170</v>
      </c>
      <c r="H475" s="119">
        <f>_xlfn.XLOOKUP(G475,'🚛 FROTA'!B:B,'🚛 FROTA'!A:A,"")</f>
        <v>44</v>
      </c>
      <c r="I475" s="119"/>
      <c r="J475" s="119" t="str">
        <f>IF(G475="","",_xlfn.XLOOKUP(G475,'🚛 FROTA'!B:B,'🚛 FROTA'!E:E,""))</f>
        <v>Express Delivery</v>
      </c>
      <c r="K475" s="119" t="str">
        <f>IF(G475="","",_xlfn.XLOOKUP(G475,'🚛 FROTA'!B:B,'🚛 FROTA'!K:K,""))</f>
        <v>Carroceria</v>
      </c>
      <c r="L475" s="143" t="s">
        <v>604</v>
      </c>
      <c r="M475" s="143">
        <v>52818</v>
      </c>
      <c r="N475" s="145">
        <v>46128</v>
      </c>
      <c r="O475" s="143">
        <v>1</v>
      </c>
      <c r="P475" s="143">
        <v>4</v>
      </c>
      <c r="Q475" s="167">
        <v>376</v>
      </c>
      <c r="R475" s="143" t="s">
        <v>554</v>
      </c>
      <c r="S475" s="122" t="s">
        <v>560</v>
      </c>
      <c r="T475" s="120" t="s">
        <v>522</v>
      </c>
      <c r="U475" s="121" t="s">
        <v>555</v>
      </c>
      <c r="V475" s="119" t="s">
        <v>573</v>
      </c>
      <c r="W475" s="119" t="s">
        <v>574</v>
      </c>
      <c r="X475" s="123" t="s">
        <v>1472</v>
      </c>
      <c r="Y475" s="119" t="s">
        <v>576</v>
      </c>
      <c r="Z475" s="124">
        <v>46031</v>
      </c>
      <c r="AA475" s="133" t="s">
        <v>659</v>
      </c>
      <c r="AB475" s="122">
        <v>2</v>
      </c>
      <c r="AC475" s="131" t="s">
        <v>578</v>
      </c>
      <c r="AD475" s="131" t="s">
        <v>607</v>
      </c>
      <c r="AE475" s="131" t="s">
        <v>608</v>
      </c>
      <c r="AF475" s="131" t="s">
        <v>581</v>
      </c>
      <c r="AG475" s="125" t="s">
        <v>582</v>
      </c>
      <c r="AH475" s="128">
        <f t="shared" ca="1" si="29"/>
        <v>46098</v>
      </c>
      <c r="AI475" s="129" t="s">
        <v>609</v>
      </c>
      <c r="AJ475" s="129"/>
      <c r="AK475" s="129"/>
      <c r="AL475" s="129"/>
      <c r="AM475" s="129"/>
    </row>
    <row r="476" spans="1:39" ht="18" customHeight="1" x14ac:dyDescent="0.25">
      <c r="A476" s="117">
        <v>475</v>
      </c>
      <c r="B476" s="117"/>
      <c r="C476" s="118" t="s">
        <v>1473</v>
      </c>
      <c r="D476" s="146">
        <f t="array" aca="1" ref="D476" ca="1">IF(C476="","",SUM(--(_xlfn.UNIQUE(_xlfn._xlws.FILTER($M$2:$M$1011&amp;"",($C$2:$C$1011=C476)*($M$2:$M$1011&lt;&gt;"")))&lt;&gt;"")))</f>
        <v>1</v>
      </c>
      <c r="E476" s="166">
        <f t="shared" ca="1" si="28"/>
        <v>1504</v>
      </c>
      <c r="F476" s="143">
        <v>1</v>
      </c>
      <c r="G476" s="143" t="s">
        <v>172</v>
      </c>
      <c r="H476" s="119">
        <f>_xlfn.XLOOKUP(G476,'🚛 FROTA'!B:B,'🚛 FROTA'!A:A,"")</f>
        <v>45</v>
      </c>
      <c r="I476" s="119"/>
      <c r="J476" s="119" t="str">
        <f>IF(G476="","",_xlfn.XLOOKUP(G476,'🚛 FROTA'!B:B,'🚛 FROTA'!E:E,""))</f>
        <v>Express Delivery</v>
      </c>
      <c r="K476" s="119" t="str">
        <f>IF(G476="","",_xlfn.XLOOKUP(G476,'🚛 FROTA'!B:B,'🚛 FROTA'!K:K,""))</f>
        <v>Carroceria</v>
      </c>
      <c r="L476" s="143" t="s">
        <v>604</v>
      </c>
      <c r="M476" s="143" t="s">
        <v>1474</v>
      </c>
      <c r="N476" s="145">
        <v>46128</v>
      </c>
      <c r="O476" s="143">
        <v>1</v>
      </c>
      <c r="P476" s="143">
        <v>4</v>
      </c>
      <c r="Q476" s="167">
        <v>376</v>
      </c>
      <c r="R476" s="143" t="s">
        <v>554</v>
      </c>
      <c r="S476" s="122" t="s">
        <v>560</v>
      </c>
      <c r="T476" s="120" t="s">
        <v>522</v>
      </c>
      <c r="U476" s="121" t="s">
        <v>555</v>
      </c>
      <c r="V476" s="119" t="s">
        <v>573</v>
      </c>
      <c r="W476" s="119" t="s">
        <v>574</v>
      </c>
      <c r="X476" s="123" t="s">
        <v>1472</v>
      </c>
      <c r="Y476" s="119" t="s">
        <v>576</v>
      </c>
      <c r="Z476" s="124">
        <v>50792</v>
      </c>
      <c r="AA476" s="133" t="s">
        <v>659</v>
      </c>
      <c r="AB476" s="122">
        <v>2</v>
      </c>
      <c r="AC476" s="131" t="s">
        <v>578</v>
      </c>
      <c r="AD476" s="131" t="s">
        <v>607</v>
      </c>
      <c r="AE476" s="131" t="s">
        <v>608</v>
      </c>
      <c r="AF476" s="131" t="s">
        <v>581</v>
      </c>
      <c r="AG476" s="125" t="s">
        <v>582</v>
      </c>
      <c r="AH476" s="128">
        <f t="shared" ca="1" si="29"/>
        <v>46098</v>
      </c>
      <c r="AI476" s="129" t="s">
        <v>609</v>
      </c>
      <c r="AJ476" s="129"/>
      <c r="AK476" s="129"/>
      <c r="AL476" s="129"/>
      <c r="AM476" s="129"/>
    </row>
    <row r="477" spans="1:39" ht="18" customHeight="1" x14ac:dyDescent="0.25">
      <c r="A477" s="117">
        <v>476</v>
      </c>
      <c r="B477" s="117"/>
      <c r="C477" s="118" t="s">
        <v>1475</v>
      </c>
      <c r="D477" s="146">
        <f t="array" aca="1" ref="D477" ca="1">IF(C477="","",SUM(--(_xlfn.UNIQUE(_xlfn._xlws.FILTER($M$2:$M$1011&amp;"",($C$2:$C$1011=C477)*($M$2:$M$1011&lt;&gt;"")))&lt;&gt;"")))</f>
        <v>1</v>
      </c>
      <c r="E477" s="166">
        <f t="shared" ca="1" si="28"/>
        <v>1504</v>
      </c>
      <c r="F477" s="143">
        <v>1</v>
      </c>
      <c r="G477" s="143" t="s">
        <v>165</v>
      </c>
      <c r="H477" s="119">
        <f>_xlfn.XLOOKUP(G477,'🚛 FROTA'!B:B,'🚛 FROTA'!A:A,"")</f>
        <v>40</v>
      </c>
      <c r="I477" s="119"/>
      <c r="J477" s="119" t="str">
        <f>IF(G477="","",_xlfn.XLOOKUP(G477,'🚛 FROTA'!B:B,'🚛 FROTA'!E:E,""))</f>
        <v>Express Delivery</v>
      </c>
      <c r="K477" s="119" t="str">
        <f>IF(G477="","",_xlfn.XLOOKUP(G477,'🚛 FROTA'!B:B,'🚛 FROTA'!K:K,""))</f>
        <v>Carroceria Cabinado</v>
      </c>
      <c r="L477" s="143" t="s">
        <v>604</v>
      </c>
      <c r="M477" s="143" t="s">
        <v>1474</v>
      </c>
      <c r="N477" s="145">
        <v>46128</v>
      </c>
      <c r="O477" s="143">
        <v>1</v>
      </c>
      <c r="P477" s="143">
        <v>4</v>
      </c>
      <c r="Q477" s="167">
        <v>376</v>
      </c>
      <c r="R477" s="143" t="s">
        <v>554</v>
      </c>
      <c r="S477" s="122" t="s">
        <v>560</v>
      </c>
      <c r="T477" s="120" t="s">
        <v>522</v>
      </c>
      <c r="U477" s="121" t="s">
        <v>555</v>
      </c>
      <c r="V477" s="119" t="s">
        <v>573</v>
      </c>
      <c r="W477" s="119" t="s">
        <v>574</v>
      </c>
      <c r="X477" s="123" t="s">
        <v>1472</v>
      </c>
      <c r="Y477" s="119" t="s">
        <v>576</v>
      </c>
      <c r="Z477" s="124">
        <v>60227</v>
      </c>
      <c r="AA477" s="133" t="s">
        <v>659</v>
      </c>
      <c r="AB477" s="122">
        <v>2</v>
      </c>
      <c r="AC477" s="131" t="s">
        <v>578</v>
      </c>
      <c r="AD477" s="131" t="s">
        <v>607</v>
      </c>
      <c r="AE477" s="131" t="s">
        <v>608</v>
      </c>
      <c r="AF477" s="131" t="s">
        <v>581</v>
      </c>
      <c r="AG477" s="125" t="s">
        <v>582</v>
      </c>
      <c r="AH477" s="128">
        <f t="shared" ca="1" si="29"/>
        <v>46098</v>
      </c>
      <c r="AI477" s="129" t="s">
        <v>609</v>
      </c>
      <c r="AJ477" s="129"/>
      <c r="AK477" s="129"/>
      <c r="AL477" s="129"/>
      <c r="AM477" s="129"/>
    </row>
    <row r="478" spans="1:39" ht="18" customHeight="1" x14ac:dyDescent="0.25">
      <c r="A478" s="117">
        <v>477</v>
      </c>
      <c r="B478" s="117"/>
      <c r="C478" s="118" t="s">
        <v>1465</v>
      </c>
      <c r="D478" s="146">
        <f t="array" aca="1" ref="D478" ca="1">IF(C478="","",SUM(--(_xlfn.UNIQUE(_xlfn._xlws.FILTER($M$2:$M$1011&amp;"",($C$2:$C$1011=C478)*($M$2:$M$1011&lt;&gt;"")))&lt;&gt;"")))</f>
        <v>1</v>
      </c>
      <c r="E478" s="166">
        <f t="shared" ca="1" si="28"/>
        <v>4552</v>
      </c>
      <c r="F478" s="143">
        <v>1</v>
      </c>
      <c r="G478" s="143" t="s">
        <v>173</v>
      </c>
      <c r="H478" s="119">
        <f>_xlfn.XLOOKUP(G478,'🚛 FROTA'!B:B,'🚛 FROTA'!A:A,"")</f>
        <v>46</v>
      </c>
      <c r="I478" s="119"/>
      <c r="J478" s="119" t="str">
        <f>IF(G478="","",_xlfn.XLOOKUP(G478,'🚛 FROTA'!B:B,'🚛 FROTA'!E:E,""))</f>
        <v>Express Delivery</v>
      </c>
      <c r="K478" s="119" t="str">
        <f>IF(G478="","",_xlfn.XLOOKUP(G478,'🚛 FROTA'!B:B,'🚛 FROTA'!K:K,""))</f>
        <v>Carroceria</v>
      </c>
      <c r="L478" s="143" t="s">
        <v>1138</v>
      </c>
      <c r="M478" s="143">
        <v>10383</v>
      </c>
      <c r="N478" s="145">
        <v>46202</v>
      </c>
      <c r="O478" s="143">
        <v>3</v>
      </c>
      <c r="P478" s="143">
        <v>4</v>
      </c>
      <c r="Q478" s="167">
        <v>1138</v>
      </c>
      <c r="R478" s="143" t="s">
        <v>554</v>
      </c>
      <c r="S478" s="122" t="s">
        <v>560</v>
      </c>
      <c r="T478" s="120" t="s">
        <v>446</v>
      </c>
      <c r="U478" s="121" t="s">
        <v>555</v>
      </c>
      <c r="V478" s="119" t="s">
        <v>573</v>
      </c>
      <c r="W478" s="119" t="s">
        <v>574</v>
      </c>
      <c r="X478" s="123" t="s">
        <v>1466</v>
      </c>
      <c r="Y478" s="119" t="s">
        <v>753</v>
      </c>
      <c r="Z478" s="124">
        <v>42951</v>
      </c>
      <c r="AA478" s="134" t="s">
        <v>759</v>
      </c>
      <c r="AB478" s="122">
        <v>4</v>
      </c>
      <c r="AC478" s="131" t="s">
        <v>578</v>
      </c>
      <c r="AD478" s="131" t="s">
        <v>1141</v>
      </c>
      <c r="AE478" s="131" t="s">
        <v>1467</v>
      </c>
      <c r="AF478" s="131" t="s">
        <v>581</v>
      </c>
      <c r="AG478" s="125" t="s">
        <v>582</v>
      </c>
      <c r="AH478" s="128">
        <f t="shared" ca="1" si="29"/>
        <v>46112</v>
      </c>
      <c r="AI478" s="129"/>
      <c r="AJ478" s="129"/>
      <c r="AK478" s="129"/>
      <c r="AL478" s="129"/>
      <c r="AM478" s="129"/>
    </row>
    <row r="479" spans="1:39" ht="18" hidden="1" customHeight="1" x14ac:dyDescent="0.25">
      <c r="A479" s="117">
        <v>478</v>
      </c>
      <c r="B479" s="117"/>
      <c r="C479" s="118" t="s">
        <v>1416</v>
      </c>
      <c r="D479" s="146">
        <f t="array" aca="1" ref="D479" ca="1">IF(C479="","",SUM(--(_xlfn.UNIQUE(_xlfn._xlws.FILTER($M$2:$M$1011&amp;"",($C$2:$C$1011=C479)*($M$2:$M$1011&lt;&gt;"")))&lt;&gt;"")))</f>
        <v>1</v>
      </c>
      <c r="E479" s="166">
        <f t="shared" ca="1" si="28"/>
        <v>2299.1999999999998</v>
      </c>
      <c r="F479" s="143">
        <v>3</v>
      </c>
      <c r="G479" s="143" t="s">
        <v>173</v>
      </c>
      <c r="H479" s="119">
        <f>_xlfn.XLOOKUP(G479,'🚛 FROTA'!B:B,'🚛 FROTA'!A:A,"")</f>
        <v>46</v>
      </c>
      <c r="I479" s="119"/>
      <c r="J479" s="119" t="str">
        <f>IF(G479="","",_xlfn.XLOOKUP(G479,'🚛 FROTA'!B:B,'🚛 FROTA'!E:E,""))</f>
        <v>Express Delivery</v>
      </c>
      <c r="K479" s="119" t="str">
        <f>IF(G479="","",_xlfn.XLOOKUP(G479,'🚛 FROTA'!B:B,'🚛 FROTA'!K:K,""))</f>
        <v>Carroceria</v>
      </c>
      <c r="L479" s="143" t="s">
        <v>552</v>
      </c>
      <c r="M479" s="143" t="s">
        <v>1411</v>
      </c>
      <c r="N479" s="145">
        <v>46132</v>
      </c>
      <c r="O479" s="143">
        <v>2</v>
      </c>
      <c r="P479" s="143">
        <v>4</v>
      </c>
      <c r="Q479" s="167">
        <v>574.79999999999995</v>
      </c>
      <c r="R479" s="143" t="s">
        <v>554</v>
      </c>
      <c r="S479" s="122" t="s">
        <v>534</v>
      </c>
      <c r="T479" s="120" t="s">
        <v>446</v>
      </c>
      <c r="U479" s="121" t="s">
        <v>555</v>
      </c>
      <c r="V479" s="119" t="s">
        <v>556</v>
      </c>
      <c r="W479" s="119" t="s">
        <v>1417</v>
      </c>
      <c r="X479" s="123" t="s">
        <v>1418</v>
      </c>
      <c r="Y479" s="119"/>
      <c r="Z479" s="124">
        <v>41227</v>
      </c>
      <c r="AA479" s="125"/>
      <c r="AB479" s="126"/>
      <c r="AC479" s="127"/>
      <c r="AD479" s="127"/>
      <c r="AE479" s="127"/>
      <c r="AF479" s="127"/>
      <c r="AG479" s="125"/>
      <c r="AH479" s="128">
        <f t="shared" ca="1" si="29"/>
        <v>46064</v>
      </c>
      <c r="AI479" s="129" t="s">
        <v>559</v>
      </c>
      <c r="AJ479" s="129"/>
      <c r="AK479" s="129"/>
      <c r="AL479" s="129"/>
      <c r="AM479" s="129"/>
    </row>
    <row r="480" spans="1:39" ht="18" hidden="1" customHeight="1" x14ac:dyDescent="0.25">
      <c r="A480" s="117">
        <v>479</v>
      </c>
      <c r="B480" s="117"/>
      <c r="C480" s="118" t="s">
        <v>1476</v>
      </c>
      <c r="D480" s="146">
        <f t="array" aca="1" ref="D480" ca="1">IF(C480="","",SUM(--(_xlfn.UNIQUE(_xlfn._xlws.FILTER($M$2:$M$1011&amp;"",($C$2:$C$1011=C480)*($M$2:$M$1011&lt;&gt;"")))&lt;&gt;"")))</f>
        <v>1</v>
      </c>
      <c r="E480" s="166">
        <f t="shared" ca="1" si="28"/>
        <v>935</v>
      </c>
      <c r="F480" s="143">
        <v>3</v>
      </c>
      <c r="G480" s="143" t="s">
        <v>166</v>
      </c>
      <c r="H480" s="119">
        <f>_xlfn.XLOOKUP(G480,'🚛 FROTA'!B:B,'🚛 FROTA'!A:A,"")</f>
        <v>41</v>
      </c>
      <c r="I480" s="119"/>
      <c r="J480" s="119" t="str">
        <f>IF(G480="","",_xlfn.XLOOKUP(G480,'🚛 FROTA'!B:B,'🚛 FROTA'!E:E,""))</f>
        <v>Express Delivery</v>
      </c>
      <c r="K480" s="119" t="str">
        <f>IF(G480="","",_xlfn.XLOOKUP(G480,'🚛 FROTA'!B:B,'🚛 FROTA'!K:K,""))</f>
        <v>Carroceria Cabinado</v>
      </c>
      <c r="L480" s="143" t="s">
        <v>552</v>
      </c>
      <c r="M480" s="143" t="s">
        <v>1477</v>
      </c>
      <c r="N480" s="145">
        <v>46132</v>
      </c>
      <c r="O480" s="143">
        <v>1</v>
      </c>
      <c r="P480" s="143">
        <v>1</v>
      </c>
      <c r="Q480" s="167">
        <v>935</v>
      </c>
      <c r="R480" s="143" t="s">
        <v>554</v>
      </c>
      <c r="S480" s="122" t="s">
        <v>534</v>
      </c>
      <c r="T480" s="120" t="s">
        <v>522</v>
      </c>
      <c r="U480" s="121" t="s">
        <v>555</v>
      </c>
      <c r="V480" s="119" t="s">
        <v>556</v>
      </c>
      <c r="W480" s="119" t="s">
        <v>1478</v>
      </c>
      <c r="X480" s="123" t="s">
        <v>1479</v>
      </c>
      <c r="Y480" s="119"/>
      <c r="Z480" s="124">
        <v>90616</v>
      </c>
      <c r="AA480" s="125"/>
      <c r="AB480" s="126"/>
      <c r="AC480" s="127"/>
      <c r="AD480" s="127"/>
      <c r="AE480" s="127"/>
      <c r="AF480" s="127"/>
      <c r="AG480" s="125"/>
      <c r="AH480" s="128">
        <f t="shared" ca="1" si="29"/>
        <v>46102</v>
      </c>
      <c r="AI480" s="129" t="s">
        <v>559</v>
      </c>
      <c r="AJ480" s="129"/>
      <c r="AK480" s="129"/>
      <c r="AL480" s="129"/>
      <c r="AM480" s="129"/>
    </row>
    <row r="481" spans="1:39" ht="18" hidden="1" customHeight="1" x14ac:dyDescent="0.25">
      <c r="A481" s="117">
        <v>480</v>
      </c>
      <c r="B481" s="117"/>
      <c r="C481" s="118" t="s">
        <v>1419</v>
      </c>
      <c r="D481" s="146">
        <f t="array" aca="1" ref="D481" ca="1">IF(C481="","",SUM(--(_xlfn.UNIQUE(_xlfn._xlws.FILTER($M$2:$M$1011&amp;"",($C$2:$C$1011=C481)*($M$2:$M$1011&lt;&gt;"")))&lt;&gt;"")))</f>
        <v>1</v>
      </c>
      <c r="E481" s="166">
        <f t="shared" ca="1" si="28"/>
        <v>1954.2</v>
      </c>
      <c r="F481" s="143">
        <v>3</v>
      </c>
      <c r="G481" s="143" t="s">
        <v>167</v>
      </c>
      <c r="H481" s="119">
        <f>_xlfn.XLOOKUP(G481,'🚛 FROTA'!B:B,'🚛 FROTA'!A:A,"")</f>
        <v>42</v>
      </c>
      <c r="I481" s="119"/>
      <c r="J481" s="119" t="str">
        <f>IF(G481="","",_xlfn.XLOOKUP(G481,'🚛 FROTA'!B:B,'🚛 FROTA'!E:E,""))</f>
        <v>Express Delivery</v>
      </c>
      <c r="K481" s="119" t="str">
        <f>IF(G481="","",_xlfn.XLOOKUP(G481,'🚛 FROTA'!B:B,'🚛 FROTA'!K:K,""))</f>
        <v>Carroceria</v>
      </c>
      <c r="L481" s="143" t="s">
        <v>552</v>
      </c>
      <c r="M481" s="143" t="s">
        <v>1420</v>
      </c>
      <c r="N481" s="145">
        <v>46132</v>
      </c>
      <c r="O481" s="143">
        <v>2</v>
      </c>
      <c r="P481" s="143">
        <v>2</v>
      </c>
      <c r="Q481" s="167">
        <v>977.1</v>
      </c>
      <c r="R481" s="143" t="s">
        <v>554</v>
      </c>
      <c r="S481" s="122" t="s">
        <v>534</v>
      </c>
      <c r="T481" s="120" t="s">
        <v>446</v>
      </c>
      <c r="U481" s="121" t="s">
        <v>597</v>
      </c>
      <c r="V481" s="119" t="s">
        <v>598</v>
      </c>
      <c r="W481" s="119" t="s">
        <v>679</v>
      </c>
      <c r="X481" s="123" t="s">
        <v>680</v>
      </c>
      <c r="Y481" s="119"/>
      <c r="Z481" s="124">
        <v>64450</v>
      </c>
      <c r="AA481" s="125"/>
      <c r="AB481" s="126"/>
      <c r="AC481" s="127"/>
      <c r="AD481" s="127"/>
      <c r="AE481" s="127"/>
      <c r="AF481" s="127"/>
      <c r="AG481" s="125"/>
      <c r="AH481" s="128">
        <f t="shared" ca="1" si="29"/>
        <v>46066</v>
      </c>
      <c r="AI481" s="129" t="s">
        <v>559</v>
      </c>
      <c r="AJ481" s="129"/>
      <c r="AK481" s="132">
        <f>IF(Z481="",0,Z481+10000)</f>
        <v>74450</v>
      </c>
      <c r="AL481" s="129"/>
      <c r="AM481" s="129"/>
    </row>
    <row r="482" spans="1:39" ht="18" hidden="1" customHeight="1" x14ac:dyDescent="0.25">
      <c r="A482" s="117">
        <v>481</v>
      </c>
      <c r="B482" s="117"/>
      <c r="C482" s="118" t="s">
        <v>1480</v>
      </c>
      <c r="D482" s="146">
        <f t="array" aca="1" ref="D482" ca="1">IF(C482="","",SUM(--(_xlfn.UNIQUE(_xlfn._xlws.FILTER($M$2:$M$1011&amp;"",($C$2:$C$1011=C482)*($M$2:$M$1011&lt;&gt;"")))&lt;&gt;"")))</f>
        <v>1</v>
      </c>
      <c r="E482" s="166">
        <f t="shared" ca="1" si="28"/>
        <v>5199</v>
      </c>
      <c r="F482" s="143">
        <v>3</v>
      </c>
      <c r="G482" s="143" t="s">
        <v>169</v>
      </c>
      <c r="H482" s="119">
        <f>_xlfn.XLOOKUP(G482,'🚛 FROTA'!B:B,'🚛 FROTA'!A:A,"")</f>
        <v>43</v>
      </c>
      <c r="I482" s="119"/>
      <c r="J482" s="119" t="str">
        <f>IF(G482="","",_xlfn.XLOOKUP(G482,'🚛 FROTA'!B:B,'🚛 FROTA'!E:E,""))</f>
        <v>Express Delivery</v>
      </c>
      <c r="K482" s="119" t="str">
        <f>IF(G482="","",_xlfn.XLOOKUP(G482,'🚛 FROTA'!B:B,'🚛 FROTA'!K:K,""))</f>
        <v>Carroceria</v>
      </c>
      <c r="L482" s="143" t="s">
        <v>552</v>
      </c>
      <c r="M482" s="143" t="s">
        <v>1481</v>
      </c>
      <c r="N482" s="145">
        <v>46132</v>
      </c>
      <c r="O482" s="143">
        <v>1</v>
      </c>
      <c r="P482" s="143">
        <v>3</v>
      </c>
      <c r="Q482" s="167">
        <v>1733</v>
      </c>
      <c r="R482" s="143" t="s">
        <v>554</v>
      </c>
      <c r="S482" s="122" t="s">
        <v>534</v>
      </c>
      <c r="T482" s="120" t="s">
        <v>522</v>
      </c>
      <c r="U482" s="121" t="s">
        <v>555</v>
      </c>
      <c r="V482" s="119" t="s">
        <v>689</v>
      </c>
      <c r="W482" s="119" t="s">
        <v>1400</v>
      </c>
      <c r="X482" s="123" t="s">
        <v>1482</v>
      </c>
      <c r="Y482" s="119"/>
      <c r="Z482" s="124">
        <v>68407</v>
      </c>
      <c r="AA482" s="125"/>
      <c r="AB482" s="126"/>
      <c r="AC482" s="127"/>
      <c r="AD482" s="127"/>
      <c r="AE482" s="127"/>
      <c r="AF482" s="127"/>
      <c r="AG482" s="125"/>
      <c r="AH482" s="128">
        <f t="shared" ca="1" si="29"/>
        <v>46102</v>
      </c>
      <c r="AI482" s="129" t="s">
        <v>559</v>
      </c>
      <c r="AJ482" s="129"/>
      <c r="AK482" s="129"/>
      <c r="AL482" s="129"/>
      <c r="AM482" s="129"/>
    </row>
    <row r="483" spans="1:39" ht="18" hidden="1" customHeight="1" x14ac:dyDescent="0.25">
      <c r="A483" s="117">
        <v>482</v>
      </c>
      <c r="B483" s="117"/>
      <c r="C483" s="118" t="s">
        <v>1386</v>
      </c>
      <c r="D483" s="146">
        <f t="array" aca="1" ref="D483" ca="1">IF(C483="","",SUM(--(_xlfn.UNIQUE(_xlfn._xlws.FILTER($M$2:$M$1011&amp;"",($C$2:$C$1011=C483)*($M$2:$M$1011&lt;&gt;"")))&lt;&gt;"")))</f>
        <v>4</v>
      </c>
      <c r="E483" s="166">
        <f t="shared" ca="1" si="28"/>
        <v>5325.0100000000011</v>
      </c>
      <c r="F483" s="143">
        <v>1</v>
      </c>
      <c r="G483" s="143" t="s">
        <v>162</v>
      </c>
      <c r="H483" s="119">
        <f>_xlfn.XLOOKUP(G483,'🚛 FROTA'!B:B,'🚛 FROTA'!A:A,"")</f>
        <v>39</v>
      </c>
      <c r="I483" s="119"/>
      <c r="J483" s="119" t="str">
        <f>IF(G483="","",_xlfn.XLOOKUP(G483,'🚛 FROTA'!B:B,'🚛 FROTA'!E:E,""))</f>
        <v>Express Delivery</v>
      </c>
      <c r="K483" s="119" t="str">
        <f>IF(G483="","",_xlfn.XLOOKUP(G483,'🚛 FROTA'!B:B,'🚛 FROTA'!K:K,""))</f>
        <v>Carroceria Cabinado</v>
      </c>
      <c r="L483" s="143" t="s">
        <v>1483</v>
      </c>
      <c r="M483" s="143">
        <v>154</v>
      </c>
      <c r="N483" s="145">
        <v>46135</v>
      </c>
      <c r="O483" s="143">
        <v>1</v>
      </c>
      <c r="P483" s="143">
        <v>3</v>
      </c>
      <c r="Q483" s="167">
        <f>(323/3)+24.34</f>
        <v>132.00666666666666</v>
      </c>
      <c r="R483" s="143" t="s">
        <v>554</v>
      </c>
      <c r="S483" s="122" t="s">
        <v>560</v>
      </c>
      <c r="T483" s="120" t="s">
        <v>446</v>
      </c>
      <c r="U483" s="121" t="s">
        <v>555</v>
      </c>
      <c r="V483" s="119" t="s">
        <v>689</v>
      </c>
      <c r="W483" s="119" t="s">
        <v>1484</v>
      </c>
      <c r="X483" s="123" t="s">
        <v>1485</v>
      </c>
      <c r="Y483" s="119"/>
      <c r="Z483" s="124">
        <v>87741</v>
      </c>
      <c r="AA483" s="125"/>
      <c r="AB483" s="126"/>
      <c r="AC483" s="127"/>
      <c r="AD483" s="127"/>
      <c r="AE483" s="127"/>
      <c r="AF483" s="127"/>
      <c r="AG483" s="125"/>
      <c r="AH483" s="128">
        <f t="shared" ca="1" si="29"/>
        <v>46060</v>
      </c>
      <c r="AI483" s="129" t="s">
        <v>1132</v>
      </c>
      <c r="AJ483" s="129"/>
      <c r="AK483" s="129"/>
      <c r="AL483" s="129"/>
      <c r="AM483" s="129"/>
    </row>
    <row r="484" spans="1:39" ht="18" hidden="1" customHeight="1" x14ac:dyDescent="0.25">
      <c r="A484" s="117">
        <v>483</v>
      </c>
      <c r="B484" s="117"/>
      <c r="C484" s="118" t="s">
        <v>1386</v>
      </c>
      <c r="D484" s="146">
        <f t="array" aca="1" ref="D484" ca="1">IF(C484="","",SUM(--(_xlfn.UNIQUE(_xlfn._xlws.FILTER($M$2:$M$1011&amp;"",($C$2:$C$1011=C484)*($M$2:$M$1011&lt;&gt;"")))&lt;&gt;"")))</f>
        <v>4</v>
      </c>
      <c r="E484" s="166">
        <f t="shared" ca="1" si="28"/>
        <v>5325.0100000000011</v>
      </c>
      <c r="F484" s="143">
        <v>1</v>
      </c>
      <c r="G484" s="143" t="s">
        <v>162</v>
      </c>
      <c r="H484" s="119">
        <f>_xlfn.XLOOKUP(G484,'🚛 FROTA'!B:B,'🚛 FROTA'!A:A,"")</f>
        <v>39</v>
      </c>
      <c r="I484" s="119"/>
      <c r="J484" s="119" t="str">
        <f>IF(G484="","",_xlfn.XLOOKUP(G484,'🚛 FROTA'!B:B,'🚛 FROTA'!E:E,""))</f>
        <v>Express Delivery</v>
      </c>
      <c r="K484" s="119" t="str">
        <f>IF(G484="","",_xlfn.XLOOKUP(G484,'🚛 FROTA'!B:B,'🚛 FROTA'!K:K,""))</f>
        <v>Carroceria Cabinado</v>
      </c>
      <c r="L484" s="143" t="s">
        <v>1483</v>
      </c>
      <c r="M484" s="143">
        <v>226</v>
      </c>
      <c r="N484" s="145">
        <v>46135</v>
      </c>
      <c r="O484" s="143">
        <v>1</v>
      </c>
      <c r="P484" s="143">
        <v>3</v>
      </c>
      <c r="Q484" s="167">
        <f>(1250/3)+24.33</f>
        <v>440.99666666666667</v>
      </c>
      <c r="R484" s="143" t="s">
        <v>554</v>
      </c>
      <c r="S484" s="122" t="s">
        <v>534</v>
      </c>
      <c r="T484" s="120" t="s">
        <v>446</v>
      </c>
      <c r="U484" s="121" t="s">
        <v>555</v>
      </c>
      <c r="V484" s="119" t="s">
        <v>689</v>
      </c>
      <c r="W484" s="119" t="s">
        <v>1486</v>
      </c>
      <c r="X484" s="119" t="s">
        <v>1486</v>
      </c>
      <c r="Y484" s="119"/>
      <c r="Z484" s="124">
        <v>87741</v>
      </c>
      <c r="AA484" s="125"/>
      <c r="AB484" s="126"/>
      <c r="AC484" s="127"/>
      <c r="AD484" s="127"/>
      <c r="AE484" s="127"/>
      <c r="AF484" s="127"/>
      <c r="AG484" s="125"/>
      <c r="AH484" s="128">
        <f t="shared" ca="1" si="29"/>
        <v>46060</v>
      </c>
      <c r="AI484" s="129" t="s">
        <v>1132</v>
      </c>
      <c r="AJ484" s="129"/>
      <c r="AK484" s="129"/>
      <c r="AL484" s="129"/>
      <c r="AM484" s="129"/>
    </row>
    <row r="485" spans="1:39" ht="18" hidden="1" customHeight="1" x14ac:dyDescent="0.25">
      <c r="A485" s="117">
        <v>484</v>
      </c>
      <c r="B485" s="117"/>
      <c r="C485" s="118" t="s">
        <v>1487</v>
      </c>
      <c r="D485" s="146">
        <f t="array" aca="1" ref="D485" ca="1">IF(C485="","",SUM(--(_xlfn.UNIQUE(_xlfn._xlws.FILTER($M$2:$M$1011&amp;"",($C$2:$C$1011=C485)*($M$2:$M$1011&lt;&gt;"")))&lt;&gt;"")))</f>
        <v>1</v>
      </c>
      <c r="E485" s="166">
        <f t="shared" ca="1" si="28"/>
        <v>1558.98</v>
      </c>
      <c r="F485" s="143">
        <v>1</v>
      </c>
      <c r="G485" s="143" t="s">
        <v>162</v>
      </c>
      <c r="H485" s="119">
        <f>_xlfn.XLOOKUP(G485,'🚛 FROTA'!B:B,'🚛 FROTA'!A:A,"")</f>
        <v>39</v>
      </c>
      <c r="I485" s="119"/>
      <c r="J485" s="119" t="str">
        <f>IF(G485="","",_xlfn.XLOOKUP(G485,'🚛 FROTA'!B:B,'🚛 FROTA'!E:E,""))</f>
        <v>Express Delivery</v>
      </c>
      <c r="K485" s="119" t="str">
        <f>IF(G485="","",_xlfn.XLOOKUP(G485,'🚛 FROTA'!B:B,'🚛 FROTA'!K:K,""))</f>
        <v>Carroceria Cabinado</v>
      </c>
      <c r="L485" s="143" t="s">
        <v>682</v>
      </c>
      <c r="M485" s="143">
        <v>920158</v>
      </c>
      <c r="N485" s="145">
        <v>46135</v>
      </c>
      <c r="O485" s="143">
        <v>1</v>
      </c>
      <c r="P485" s="143">
        <v>3</v>
      </c>
      <c r="Q485" s="167">
        <v>519.66</v>
      </c>
      <c r="R485" s="143" t="s">
        <v>554</v>
      </c>
      <c r="S485" s="122" t="s">
        <v>560</v>
      </c>
      <c r="T485" s="120" t="s">
        <v>446</v>
      </c>
      <c r="U485" s="121" t="s">
        <v>555</v>
      </c>
      <c r="V485" s="119" t="s">
        <v>556</v>
      </c>
      <c r="W485" s="119" t="s">
        <v>1488</v>
      </c>
      <c r="X485" s="123" t="s">
        <v>1489</v>
      </c>
      <c r="Y485" s="119"/>
      <c r="Z485" s="124"/>
      <c r="AA485" s="125"/>
      <c r="AB485" s="125"/>
      <c r="AC485" s="125"/>
      <c r="AD485" s="125"/>
      <c r="AE485" s="125"/>
      <c r="AF485" s="125"/>
      <c r="AG485" s="125"/>
      <c r="AH485" s="128">
        <f t="shared" ca="1" si="29"/>
        <v>46105</v>
      </c>
      <c r="AI485" s="129" t="s">
        <v>686</v>
      </c>
      <c r="AJ485" s="129"/>
      <c r="AK485" s="129"/>
      <c r="AL485" s="129"/>
      <c r="AM485" s="129"/>
    </row>
    <row r="486" spans="1:39" ht="18" hidden="1" customHeight="1" x14ac:dyDescent="0.25">
      <c r="A486" s="117">
        <v>485</v>
      </c>
      <c r="B486" s="117"/>
      <c r="C486" s="118" t="s">
        <v>1359</v>
      </c>
      <c r="D486" s="146">
        <f t="array" aca="1" ref="D486" ca="1">IF(C486="","",SUM(--(_xlfn.UNIQUE(_xlfn._xlws.FILTER($M$2:$M$1011&amp;"",($C$2:$C$1011=C486)*($M$2:$M$1011&lt;&gt;"")))&lt;&gt;"")))</f>
        <v>1</v>
      </c>
      <c r="E486" s="166">
        <f t="shared" ca="1" si="28"/>
        <v>8375</v>
      </c>
      <c r="F486" s="143">
        <v>3</v>
      </c>
      <c r="G486" s="143" t="s">
        <v>166</v>
      </c>
      <c r="H486" s="119">
        <f>_xlfn.XLOOKUP(G486,'🚛 FROTA'!B:B,'🚛 FROTA'!A:A,"")</f>
        <v>41</v>
      </c>
      <c r="I486" s="119"/>
      <c r="J486" s="119" t="str">
        <f>IF(G486="","",_xlfn.XLOOKUP(G486,'🚛 FROTA'!B:B,'🚛 FROTA'!E:E,""))</f>
        <v>Express Delivery</v>
      </c>
      <c r="K486" s="119" t="str">
        <f>IF(G486="","",_xlfn.XLOOKUP(G486,'🚛 FROTA'!B:B,'🚛 FROTA'!K:K,""))</f>
        <v>Carroceria Cabinado</v>
      </c>
      <c r="L486" s="143" t="s">
        <v>876</v>
      </c>
      <c r="M486" s="143">
        <v>58</v>
      </c>
      <c r="N486" s="145">
        <v>46136</v>
      </c>
      <c r="O486" s="143">
        <v>1</v>
      </c>
      <c r="P486" s="143">
        <v>4</v>
      </c>
      <c r="Q486" s="167">
        <v>1675</v>
      </c>
      <c r="R486" s="143" t="s">
        <v>554</v>
      </c>
      <c r="S486" s="122" t="s">
        <v>534</v>
      </c>
      <c r="T486" s="120" t="s">
        <v>446</v>
      </c>
      <c r="U486" s="121" t="s">
        <v>555</v>
      </c>
      <c r="V486" s="119" t="s">
        <v>634</v>
      </c>
      <c r="W486" s="119" t="s">
        <v>1360</v>
      </c>
      <c r="X486" s="123" t="s">
        <v>1361</v>
      </c>
      <c r="Y486" s="119"/>
      <c r="Z486" s="124">
        <v>85050</v>
      </c>
      <c r="AA486" s="125"/>
      <c r="AB486" s="126"/>
      <c r="AC486" s="127"/>
      <c r="AD486" s="127"/>
      <c r="AE486" s="127"/>
      <c r="AF486" s="127"/>
      <c r="AG486" s="125"/>
      <c r="AH486" s="128">
        <f t="shared" ca="1" si="29"/>
        <v>46050</v>
      </c>
      <c r="AI486" s="129" t="s">
        <v>880</v>
      </c>
      <c r="AJ486" s="129"/>
      <c r="AK486" s="129"/>
      <c r="AL486" s="129"/>
      <c r="AM486" s="129"/>
    </row>
    <row r="487" spans="1:39" ht="18" customHeight="1" x14ac:dyDescent="0.25">
      <c r="A487" s="117">
        <v>486</v>
      </c>
      <c r="B487" s="117"/>
      <c r="C487" s="118" t="s">
        <v>1442</v>
      </c>
      <c r="D487" s="146">
        <f t="array" aca="1" ref="D487" ca="1">IF(C487="","",SUM(--(_xlfn.UNIQUE(_xlfn._xlws.FILTER($M$2:$M$1011&amp;"",($C$2:$C$1011=C487)*($M$2:$M$1011&lt;&gt;"")))&lt;&gt;"")))</f>
        <v>1</v>
      </c>
      <c r="E487" s="166">
        <f t="shared" ca="1" si="28"/>
        <v>5960</v>
      </c>
      <c r="F487" s="143">
        <v>3</v>
      </c>
      <c r="G487" s="143" t="s">
        <v>119</v>
      </c>
      <c r="H487" s="119">
        <f>_xlfn.XLOOKUP(G487,'🚛 FROTA'!B:B,'🚛 FROTA'!A:A,"")</f>
        <v>17</v>
      </c>
      <c r="I487" s="119"/>
      <c r="J487" s="119" t="str">
        <f>IF(G487="","",_xlfn.XLOOKUP(G487,'🚛 FROTA'!B:B,'🚛 FROTA'!E:E,""))</f>
        <v>CAT 416F2</v>
      </c>
      <c r="K487" s="119"/>
      <c r="L487" s="143" t="s">
        <v>1443</v>
      </c>
      <c r="M487" s="143" t="s">
        <v>1444</v>
      </c>
      <c r="N487" s="145">
        <v>46137</v>
      </c>
      <c r="O487" s="143">
        <v>2</v>
      </c>
      <c r="P487" s="143">
        <v>4</v>
      </c>
      <c r="Q487" s="167">
        <v>1490</v>
      </c>
      <c r="R487" s="143" t="s">
        <v>554</v>
      </c>
      <c r="S487" s="122" t="s">
        <v>560</v>
      </c>
      <c r="T487" s="120" t="s">
        <v>446</v>
      </c>
      <c r="U487" s="121" t="s">
        <v>555</v>
      </c>
      <c r="V487" s="119" t="s">
        <v>573</v>
      </c>
      <c r="W487" s="119" t="s">
        <v>574</v>
      </c>
      <c r="X487" s="123" t="s">
        <v>1445</v>
      </c>
      <c r="Y487" s="119" t="s">
        <v>576</v>
      </c>
      <c r="Z487" s="124">
        <v>3850</v>
      </c>
      <c r="AA487" s="133" t="s">
        <v>659</v>
      </c>
      <c r="AB487" s="122">
        <v>2</v>
      </c>
      <c r="AC487" s="131" t="s">
        <v>1446</v>
      </c>
      <c r="AD487" s="131" t="s">
        <v>1447</v>
      </c>
      <c r="AE487" s="131" t="s">
        <v>1448</v>
      </c>
      <c r="AF487" s="131" t="s">
        <v>581</v>
      </c>
      <c r="AG487" s="125" t="s">
        <v>582</v>
      </c>
      <c r="AH487" s="128">
        <f t="shared" ca="1" si="29"/>
        <v>46076</v>
      </c>
      <c r="AI487" s="129"/>
      <c r="AJ487" s="129"/>
      <c r="AK487" s="129"/>
      <c r="AL487" s="129"/>
      <c r="AM487" s="129"/>
    </row>
    <row r="488" spans="1:39" ht="18" hidden="1" customHeight="1" x14ac:dyDescent="0.25">
      <c r="A488" s="117">
        <v>487</v>
      </c>
      <c r="B488" s="117"/>
      <c r="C488" s="118" t="s">
        <v>473</v>
      </c>
      <c r="D488" s="146">
        <f t="array" aca="1" ref="D488" ca="1">IF(C488="","",SUM(--(_xlfn.UNIQUE(_xlfn._xlws.FILTER($M$2:$M$1011&amp;"",($C$2:$C$1011=C488)*($M$2:$M$1011&lt;&gt;"")))&lt;&gt;"")))</f>
        <v>2</v>
      </c>
      <c r="E488" s="166">
        <f t="shared" ca="1" si="28"/>
        <v>5322.6900000000005</v>
      </c>
      <c r="F488" s="143">
        <v>1</v>
      </c>
      <c r="G488" s="143" t="s">
        <v>85</v>
      </c>
      <c r="H488" s="119">
        <f>_xlfn.XLOOKUP(G488,'🚛 FROTA'!B:B,'🚛 FROTA'!A:A,"")</f>
        <v>6</v>
      </c>
      <c r="I488" s="119"/>
      <c r="J488" s="119" t="str">
        <f>IF(G488="","",_xlfn.XLOOKUP(G488,'🚛 FROTA'!B:B,'🚛 FROTA'!E:E,""))</f>
        <v>13.180 Constellation</v>
      </c>
      <c r="K488" s="119" t="str">
        <f>IF(G488="","",_xlfn.XLOOKUP(G488,'🚛 FROTA'!B:B,'🚛 FROTA'!K:K,""))</f>
        <v>Munck</v>
      </c>
      <c r="L488" s="143" t="s">
        <v>627</v>
      </c>
      <c r="M488" s="143" t="s">
        <v>1451</v>
      </c>
      <c r="N488" s="145">
        <v>46139</v>
      </c>
      <c r="O488" s="143">
        <v>2</v>
      </c>
      <c r="P488" s="143">
        <v>3</v>
      </c>
      <c r="Q488" s="167">
        <v>1578.96</v>
      </c>
      <c r="R488" s="143" t="s">
        <v>554</v>
      </c>
      <c r="S488" s="122" t="s">
        <v>560</v>
      </c>
      <c r="T488" s="120" t="s">
        <v>446</v>
      </c>
      <c r="U488" s="121" t="s">
        <v>555</v>
      </c>
      <c r="V488" s="119" t="s">
        <v>689</v>
      </c>
      <c r="W488" s="119" t="s">
        <v>1194</v>
      </c>
      <c r="X488" s="123" t="s">
        <v>1452</v>
      </c>
      <c r="Y488" s="119"/>
      <c r="Z488" s="135">
        <v>322800</v>
      </c>
      <c r="AA488" s="125"/>
      <c r="AB488" s="126"/>
      <c r="AC488" s="127"/>
      <c r="AD488" s="127"/>
      <c r="AE488" s="127"/>
      <c r="AF488" s="127"/>
      <c r="AG488" s="125"/>
      <c r="AH488" s="128">
        <f t="shared" ca="1" si="29"/>
        <v>46077</v>
      </c>
      <c r="AI488" s="129" t="s">
        <v>631</v>
      </c>
      <c r="AJ488" s="129"/>
      <c r="AK488" s="129"/>
      <c r="AL488" s="129"/>
      <c r="AM488" s="129"/>
    </row>
    <row r="489" spans="1:39" ht="18" customHeight="1" x14ac:dyDescent="0.25">
      <c r="A489" s="117">
        <v>488</v>
      </c>
      <c r="B489" s="117"/>
      <c r="C489" s="118" t="s">
        <v>1490</v>
      </c>
      <c r="D489" s="146">
        <f t="array" aca="1" ref="D489" ca="1">IF(C489="","",SUM(--(_xlfn.UNIQUE(_xlfn._xlws.FILTER($M$2:$M$1011&amp;"",($C$2:$C$1011=C489)*($M$2:$M$1011&lt;&gt;"")))&lt;&gt;"")))</f>
        <v>1</v>
      </c>
      <c r="E489" s="166">
        <f t="shared" ca="1" si="28"/>
        <v>1900</v>
      </c>
      <c r="F489" s="143">
        <v>1</v>
      </c>
      <c r="G489" s="143" t="s">
        <v>119</v>
      </c>
      <c r="H489" s="119">
        <f>_xlfn.XLOOKUP(G489,'🚛 FROTA'!B:B,'🚛 FROTA'!A:A,"")</f>
        <v>17</v>
      </c>
      <c r="I489" s="119"/>
      <c r="J489" s="119" t="str">
        <f>IF(G489="","",_xlfn.XLOOKUP(G489,'🚛 FROTA'!B:B,'🚛 FROTA'!E:E,""))</f>
        <v>CAT 416F2</v>
      </c>
      <c r="K489" s="119"/>
      <c r="L489" s="143" t="s">
        <v>1491</v>
      </c>
      <c r="M489" s="143">
        <v>13227</v>
      </c>
      <c r="N489" s="145">
        <v>46142</v>
      </c>
      <c r="O489" s="143">
        <v>1</v>
      </c>
      <c r="P489" s="143">
        <v>4</v>
      </c>
      <c r="Q489" s="167">
        <v>475</v>
      </c>
      <c r="R489" s="143" t="s">
        <v>554</v>
      </c>
      <c r="S489" s="122" t="s">
        <v>560</v>
      </c>
      <c r="T489" s="120" t="s">
        <v>446</v>
      </c>
      <c r="U489" s="121" t="s">
        <v>555</v>
      </c>
      <c r="V489" s="119" t="s">
        <v>573</v>
      </c>
      <c r="W489" s="119" t="s">
        <v>574</v>
      </c>
      <c r="X489" s="123" t="s">
        <v>1492</v>
      </c>
      <c r="Y489" s="119" t="s">
        <v>576</v>
      </c>
      <c r="Z489" s="124"/>
      <c r="AA489" s="122" t="s">
        <v>577</v>
      </c>
      <c r="AB489" s="122">
        <v>2</v>
      </c>
      <c r="AC489" s="131" t="s">
        <v>1493</v>
      </c>
      <c r="AD489" s="131" t="s">
        <v>1494</v>
      </c>
      <c r="AE489" s="131" t="s">
        <v>1495</v>
      </c>
      <c r="AF489" s="131" t="s">
        <v>581</v>
      </c>
      <c r="AG489" s="125" t="s">
        <v>582</v>
      </c>
      <c r="AH489" s="128">
        <f ca="1">IF(OR(R489="A VISTA", R489="C. CRÉDITO", R489="ADIANTAMENTO"), N489, IF(R489="Faturado", _xlfn.MINIFS(N:N, C:C, C489)-23, ""))</f>
        <v>46119</v>
      </c>
      <c r="AI489" s="129"/>
      <c r="AJ489" s="129"/>
      <c r="AK489" s="129"/>
      <c r="AL489" s="129"/>
      <c r="AM489" s="129"/>
    </row>
    <row r="490" spans="1:39" ht="18" customHeight="1" x14ac:dyDescent="0.25">
      <c r="A490" s="117">
        <v>489</v>
      </c>
      <c r="B490" s="117"/>
      <c r="C490" s="118" t="s">
        <v>1465</v>
      </c>
      <c r="D490" s="146">
        <f t="array" aca="1" ref="D490" ca="1">IF(C490="","",SUM(--(_xlfn.UNIQUE(_xlfn._xlws.FILTER($M$2:$M$1011&amp;"",($C$2:$C$1011=C490)*($M$2:$M$1011&lt;&gt;"")))&lt;&gt;"")))</f>
        <v>1</v>
      </c>
      <c r="E490" s="166">
        <f t="shared" ca="1" si="28"/>
        <v>4552</v>
      </c>
      <c r="F490" s="143">
        <v>1</v>
      </c>
      <c r="G490" s="143" t="s">
        <v>173</v>
      </c>
      <c r="H490" s="119">
        <f>IF(G490="","",_xlfn.XLOOKUP(G490,'🚛 FROTA'!B:B,'🚛 FROTA'!A:A,""))</f>
        <v>46</v>
      </c>
      <c r="I490" s="119"/>
      <c r="J490" s="119" t="str">
        <f>IF(G490="","",_xlfn.XLOOKUP(G490,'🚛 FROTA'!B:B,'🚛 FROTA'!E:E,""))</f>
        <v>Express Delivery</v>
      </c>
      <c r="K490" s="119" t="str">
        <f>IF(G490="","",_xlfn.XLOOKUP(G490,'🚛 FROTA'!B:B,'🚛 FROTA'!K:K,""))</f>
        <v>Carroceria</v>
      </c>
      <c r="L490" s="143" t="s">
        <v>1138</v>
      </c>
      <c r="M490" s="143">
        <v>10383</v>
      </c>
      <c r="N490" s="145">
        <v>46232</v>
      </c>
      <c r="O490" s="143">
        <v>4</v>
      </c>
      <c r="P490" s="143">
        <v>4</v>
      </c>
      <c r="Q490" s="167">
        <v>1138</v>
      </c>
      <c r="R490" s="143" t="s">
        <v>554</v>
      </c>
      <c r="S490" s="122" t="s">
        <v>560</v>
      </c>
      <c r="T490" s="120" t="s">
        <v>446</v>
      </c>
      <c r="U490" s="121" t="s">
        <v>555</v>
      </c>
      <c r="V490" s="119" t="s">
        <v>573</v>
      </c>
      <c r="W490" s="119" t="s">
        <v>574</v>
      </c>
      <c r="X490" s="123" t="s">
        <v>1466</v>
      </c>
      <c r="Y490" s="119" t="s">
        <v>753</v>
      </c>
      <c r="Z490" s="124">
        <v>42951</v>
      </c>
      <c r="AA490" s="134" t="s">
        <v>759</v>
      </c>
      <c r="AB490" s="122">
        <v>4</v>
      </c>
      <c r="AC490" s="131" t="s">
        <v>578</v>
      </c>
      <c r="AD490" s="131" t="s">
        <v>1141</v>
      </c>
      <c r="AE490" s="131" t="s">
        <v>1467</v>
      </c>
      <c r="AF490" s="131" t="s">
        <v>581</v>
      </c>
      <c r="AG490" s="125" t="s">
        <v>582</v>
      </c>
      <c r="AH490" s="128">
        <f ca="1">IF(OR(R490="A VISTA", R490="C. CRÉDITO", R490="ADIANTAMENTO"), N490, IF(R490="Faturado", _xlfn.MINIFS(N:N, C:C, C490)-30, ""))</f>
        <v>46112</v>
      </c>
      <c r="AI490" s="129"/>
      <c r="AJ490" s="129"/>
      <c r="AK490" s="129"/>
      <c r="AL490" s="129"/>
      <c r="AM490" s="129"/>
    </row>
    <row r="491" spans="1:39" ht="18" hidden="1" customHeight="1" x14ac:dyDescent="0.25">
      <c r="A491" s="117">
        <v>490</v>
      </c>
      <c r="B491" s="117" t="s">
        <v>1496</v>
      </c>
      <c r="C491" s="136" t="s">
        <v>1497</v>
      </c>
      <c r="D491" s="146">
        <f t="array" aca="1" ref="D491" ca="1">IF(C491="","",SUM(--(_xlfn.UNIQUE(_xlfn._xlws.FILTER($M$2:$M$1011&amp;"",($C$2:$C$1011=C491)*($M$2:$M$1011&lt;&gt;"")))&lt;&gt;"")))</f>
        <v>2</v>
      </c>
      <c r="E491" s="166">
        <f ca="1">IF(C491="", "", SUMIF(C:C, C491, Q:Q))</f>
        <v>1628</v>
      </c>
      <c r="F491" s="144">
        <v>3</v>
      </c>
      <c r="G491" s="143" t="s">
        <v>85</v>
      </c>
      <c r="H491" s="119">
        <f>IF(G491="","",_xlfn.XLOOKUP(G491,'🚛 FROTA'!B:B,'🚛 FROTA'!A:A,""))</f>
        <v>6</v>
      </c>
      <c r="I491" s="119"/>
      <c r="J491" s="119" t="str">
        <f>IF(G491="","",_xlfn.XLOOKUP(G491,'🚛 FROTA'!B:B,'🚛 FROTA'!E:E,""))</f>
        <v>13.180 Constellation</v>
      </c>
      <c r="K491" s="119" t="str">
        <f>IF(G491="","",_xlfn.XLOOKUP(G491,'🚛 FROTA'!B:B,'🚛 FROTA'!K:K,""))</f>
        <v>Munck</v>
      </c>
      <c r="L491" s="144" t="s">
        <v>682</v>
      </c>
      <c r="M491" s="144">
        <v>923985</v>
      </c>
      <c r="N491" s="145">
        <v>46158</v>
      </c>
      <c r="O491" s="144">
        <v>1</v>
      </c>
      <c r="P491" s="144">
        <v>2</v>
      </c>
      <c r="Q491" s="165">
        <v>614</v>
      </c>
      <c r="R491" s="144" t="s">
        <v>554</v>
      </c>
      <c r="S491" s="117" t="s">
        <v>560</v>
      </c>
      <c r="T491" s="141" t="s">
        <v>446</v>
      </c>
      <c r="U491" s="142" t="s">
        <v>555</v>
      </c>
      <c r="V491" s="117" t="s">
        <v>785</v>
      </c>
      <c r="W491" s="117" t="s">
        <v>1498</v>
      </c>
      <c r="X491" s="117" t="s">
        <v>1499</v>
      </c>
      <c r="Y491" s="117"/>
      <c r="Z491" s="137">
        <v>325592</v>
      </c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</row>
    <row r="492" spans="1:39" ht="18" hidden="1" customHeight="1" x14ac:dyDescent="0.25">
      <c r="A492" s="117">
        <v>491</v>
      </c>
      <c r="B492" s="117"/>
      <c r="C492" s="118" t="s">
        <v>1382</v>
      </c>
      <c r="D492" s="146">
        <f t="array" aca="1" ref="D492" ca="1">IF(C492="","",SUM(--(_xlfn.UNIQUE(_xlfn._xlws.FILTER($M$2:$M$1011&amp;"",($C$2:$C$1011=C492)*($M$2:$M$1011&lt;&gt;"")))&lt;&gt;"")))</f>
        <v>2</v>
      </c>
      <c r="E492" s="166">
        <f ca="1">SUMIF(C:C, C492, Q:Q)</f>
        <v>5896.7799999999907</v>
      </c>
      <c r="F492" s="143">
        <v>1</v>
      </c>
      <c r="G492" s="143" t="s">
        <v>141</v>
      </c>
      <c r="H492" s="119">
        <f>_xlfn.XLOOKUP(G492,'🚛 FROTA'!B:B,'🚛 FROTA'!A:A,"")</f>
        <v>24</v>
      </c>
      <c r="I492" s="119"/>
      <c r="J492" s="119" t="str">
        <f>IF(G492="","",_xlfn.XLOOKUP(G492,'🚛 FROTA'!B:B,'🚛 FROTA'!E:E,""))</f>
        <v>14.190 Constellation</v>
      </c>
      <c r="K492" s="119" t="str">
        <f>IF(G492="","",_xlfn.XLOOKUP(G492,'🚛 FROTA'!B:B,'🚛 FROTA'!K:K,""))</f>
        <v>Munck</v>
      </c>
      <c r="L492" s="143" t="s">
        <v>682</v>
      </c>
      <c r="M492" s="143" t="s">
        <v>1383</v>
      </c>
      <c r="N492" s="145">
        <v>46146</v>
      </c>
      <c r="O492" s="143">
        <v>3</v>
      </c>
      <c r="P492" s="143">
        <v>3</v>
      </c>
      <c r="Q492" s="167">
        <v>522.26</v>
      </c>
      <c r="R492" s="143" t="s">
        <v>554</v>
      </c>
      <c r="S492" s="122" t="s">
        <v>560</v>
      </c>
      <c r="T492" s="120" t="s">
        <v>446</v>
      </c>
      <c r="U492" s="121" t="s">
        <v>555</v>
      </c>
      <c r="V492" s="119" t="s">
        <v>689</v>
      </c>
      <c r="W492" s="119" t="s">
        <v>1384</v>
      </c>
      <c r="X492" s="123" t="s">
        <v>1385</v>
      </c>
      <c r="Y492" s="119"/>
      <c r="Z492" s="130">
        <v>142937</v>
      </c>
      <c r="AA492" s="125"/>
      <c r="AB492" s="126"/>
      <c r="AC492" s="127"/>
      <c r="AD492" s="127"/>
      <c r="AE492" s="127"/>
      <c r="AF492" s="127"/>
      <c r="AG492" s="125"/>
      <c r="AH492" s="128">
        <f ca="1">IF(OR(R492="A VISTA", R492="C. CRÉDITO", R492="ADIANTAMENTO"), N492, IF(R492="Faturado", _xlfn.MINIFS(N:N, C:C, C492)-30, ""))</f>
        <v>46060</v>
      </c>
      <c r="AI492" s="129" t="s">
        <v>686</v>
      </c>
      <c r="AJ492" s="129"/>
      <c r="AK492" s="129"/>
      <c r="AL492" s="129"/>
      <c r="AM492" s="129"/>
    </row>
    <row r="493" spans="1:39" ht="18" customHeight="1" x14ac:dyDescent="0.25">
      <c r="A493" s="117">
        <v>492</v>
      </c>
      <c r="B493" s="117"/>
      <c r="C493" s="118" t="s">
        <v>1426</v>
      </c>
      <c r="D493" s="146">
        <f t="array" aca="1" ref="D493" ca="1">IF(C493="","",SUM(--(_xlfn.UNIQUE(_xlfn._xlws.FILTER($M$2:$M$1011&amp;"",($C$2:$C$1011=C493)*($M$2:$M$1011&lt;&gt;"")))&lt;&gt;"")))</f>
        <v>1</v>
      </c>
      <c r="E493" s="166">
        <f ca="1">SUMIF(C:C, C493, Q:Q)</f>
        <v>2479.77</v>
      </c>
      <c r="F493" s="143">
        <v>1</v>
      </c>
      <c r="G493" s="143" t="s">
        <v>167</v>
      </c>
      <c r="H493" s="119">
        <f>_xlfn.XLOOKUP(G493,'🚛 FROTA'!B:B,'🚛 FROTA'!A:A,"")</f>
        <v>42</v>
      </c>
      <c r="I493" s="119"/>
      <c r="J493" s="119" t="str">
        <f>IF(G493="","",_xlfn.XLOOKUP(G493,'🚛 FROTA'!B:B,'🚛 FROTA'!E:E,""))</f>
        <v>Express Delivery</v>
      </c>
      <c r="K493" s="119" t="str">
        <f>IF(G493="","",_xlfn.XLOOKUP(G493,'🚛 FROTA'!B:B,'🚛 FROTA'!K:K,""))</f>
        <v>Carroceria</v>
      </c>
      <c r="L493" s="143" t="s">
        <v>571</v>
      </c>
      <c r="M493" s="143" t="s">
        <v>1427</v>
      </c>
      <c r="N493" s="145">
        <v>46146</v>
      </c>
      <c r="O493" s="143">
        <v>3</v>
      </c>
      <c r="P493" s="143">
        <v>3</v>
      </c>
      <c r="Q493" s="167">
        <v>826.59</v>
      </c>
      <c r="R493" s="143" t="s">
        <v>554</v>
      </c>
      <c r="S493" s="122" t="s">
        <v>560</v>
      </c>
      <c r="T493" s="120" t="s">
        <v>446</v>
      </c>
      <c r="U493" s="121" t="s">
        <v>555</v>
      </c>
      <c r="V493" s="119" t="s">
        <v>573</v>
      </c>
      <c r="W493" s="119" t="s">
        <v>574</v>
      </c>
      <c r="X493" s="123" t="s">
        <v>1428</v>
      </c>
      <c r="Y493" s="119" t="s">
        <v>576</v>
      </c>
      <c r="Z493" s="124">
        <v>64450</v>
      </c>
      <c r="AA493" s="133" t="s">
        <v>659</v>
      </c>
      <c r="AB493" s="122">
        <v>2</v>
      </c>
      <c r="AC493" s="131" t="s">
        <v>578</v>
      </c>
      <c r="AD493" s="131" t="s">
        <v>755</v>
      </c>
      <c r="AE493" s="131" t="s">
        <v>1429</v>
      </c>
      <c r="AF493" s="131" t="s">
        <v>581</v>
      </c>
      <c r="AG493" s="125" t="s">
        <v>582</v>
      </c>
      <c r="AH493" s="128">
        <f ca="1">IF(OR(R493="A VISTA", R493="C. CRÉDITO", R493="ADIANTAMENTO"), N493, IF(R493="Faturado", _xlfn.MINIFS(N:N, C:C, C493)-30, ""))</f>
        <v>46067</v>
      </c>
      <c r="AI493" s="129" t="s">
        <v>583</v>
      </c>
      <c r="AJ493" s="129"/>
      <c r="AK493" s="129"/>
      <c r="AL493" s="129"/>
      <c r="AM493" s="129"/>
    </row>
    <row r="494" spans="1:39" ht="18" hidden="1" customHeight="1" x14ac:dyDescent="0.25">
      <c r="A494" s="117">
        <v>493</v>
      </c>
      <c r="B494" s="117"/>
      <c r="C494" s="118" t="s">
        <v>1497</v>
      </c>
      <c r="D494" s="146">
        <f t="array" aca="1" ref="D494" ca="1">IF(C494="","",SUM(--(_xlfn.UNIQUE(_xlfn._xlws.FILTER($M$2:$M$1011&amp;"",($C$2:$C$1011=C494)*($M$2:$M$1011&lt;&gt;"")))&lt;&gt;"")))</f>
        <v>2</v>
      </c>
      <c r="E494" s="166">
        <f ca="1">IF(C494="", "", SUMIF(C:C, C494, Q:Q))</f>
        <v>1628</v>
      </c>
      <c r="F494" s="144">
        <v>3</v>
      </c>
      <c r="G494" s="143" t="s">
        <v>85</v>
      </c>
      <c r="H494" s="119">
        <f>IF(G494="","",_xlfn.XLOOKUP(G494,'🚛 FROTA'!B:B,'🚛 FROTA'!A:A,""))</f>
        <v>6</v>
      </c>
      <c r="I494" s="119"/>
      <c r="J494" s="119" t="str">
        <f>IF(G494="","",_xlfn.XLOOKUP(G494,'🚛 FROTA'!B:B,'🚛 FROTA'!E:E,""))</f>
        <v>13.180 Constellation</v>
      </c>
      <c r="K494" s="119" t="str">
        <f>IF(G494="","",_xlfn.XLOOKUP(G494,'🚛 FROTA'!B:B,'🚛 FROTA'!K:K,""))</f>
        <v>Munck</v>
      </c>
      <c r="L494" s="144" t="s">
        <v>682</v>
      </c>
      <c r="M494" s="144">
        <v>923985</v>
      </c>
      <c r="N494" s="145">
        <v>46181</v>
      </c>
      <c r="O494" s="144">
        <v>2</v>
      </c>
      <c r="P494" s="144">
        <v>2</v>
      </c>
      <c r="Q494" s="165">
        <v>614</v>
      </c>
      <c r="R494" s="144" t="s">
        <v>554</v>
      </c>
      <c r="S494" s="117" t="s">
        <v>560</v>
      </c>
      <c r="T494" s="141" t="s">
        <v>446</v>
      </c>
      <c r="U494" s="142" t="s">
        <v>555</v>
      </c>
      <c r="V494" s="117" t="s">
        <v>785</v>
      </c>
      <c r="W494" s="117" t="s">
        <v>1498</v>
      </c>
      <c r="X494" s="117" t="s">
        <v>1500</v>
      </c>
      <c r="Y494" s="117"/>
      <c r="Z494" s="135">
        <v>322800</v>
      </c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  <c r="AM494" s="117"/>
    </row>
    <row r="495" spans="1:39" ht="18" hidden="1" customHeight="1" x14ac:dyDescent="0.25">
      <c r="A495" s="117">
        <v>494</v>
      </c>
      <c r="B495" s="117" t="s">
        <v>1496</v>
      </c>
      <c r="C495" s="118" t="s">
        <v>1501</v>
      </c>
      <c r="D495" s="146">
        <f t="array" aca="1" ref="D495" ca="1">IF(C495="","",SUM(--(_xlfn.UNIQUE(_xlfn._xlws.FILTER($M$2:$M$1011&amp;"",($C$2:$C$1011=C495)*($M$2:$M$1011&lt;&gt;"")))&lt;&gt;"")))</f>
        <v>1</v>
      </c>
      <c r="E495" s="166">
        <f ca="1">IF(C495="", "", SUMIF(C:C, C495, Q:Q))</f>
        <v>1139.8</v>
      </c>
      <c r="F495" s="144">
        <v>1</v>
      </c>
      <c r="G495" s="143" t="s">
        <v>162</v>
      </c>
      <c r="H495" s="119">
        <f>IF(G495="","",_xlfn.XLOOKUP(G495,'🚛 FROTA'!B:B,'🚛 FROTA'!A:A,""))</f>
        <v>39</v>
      </c>
      <c r="I495" s="119"/>
      <c r="J495" s="119" t="str">
        <f>IF(G495="","",_xlfn.XLOOKUP(G495,'🚛 FROTA'!B:B,'🚛 FROTA'!E:E,""))</f>
        <v>Express Delivery</v>
      </c>
      <c r="K495" s="119" t="str">
        <f>IF(G495="","",_xlfn.XLOOKUP(G495,'🚛 FROTA'!B:B,'🚛 FROTA'!K:K,""))</f>
        <v>Carroceria Cabinado</v>
      </c>
      <c r="L495" s="144" t="s">
        <v>682</v>
      </c>
      <c r="M495" s="144">
        <v>923535</v>
      </c>
      <c r="N495" s="145">
        <v>46150</v>
      </c>
      <c r="O495" s="144">
        <v>1</v>
      </c>
      <c r="P495" s="144">
        <v>2</v>
      </c>
      <c r="Q495" s="165">
        <v>569.9</v>
      </c>
      <c r="R495" s="144" t="s">
        <v>554</v>
      </c>
      <c r="S495" s="122" t="s">
        <v>560</v>
      </c>
      <c r="T495" s="120" t="s">
        <v>446</v>
      </c>
      <c r="U495" s="121" t="s">
        <v>555</v>
      </c>
      <c r="V495" s="117" t="s">
        <v>689</v>
      </c>
      <c r="W495" s="117" t="s">
        <v>1502</v>
      </c>
      <c r="X495" s="117" t="s">
        <v>1503</v>
      </c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</row>
    <row r="496" spans="1:39" ht="18" hidden="1" customHeight="1" x14ac:dyDescent="0.25">
      <c r="A496" s="117">
        <v>495</v>
      </c>
      <c r="B496" s="117"/>
      <c r="C496" s="118" t="s">
        <v>1453</v>
      </c>
      <c r="D496" s="146">
        <f t="array" aca="1" ref="D496" ca="1">IF(C496="","",SUM(--(_xlfn.UNIQUE(_xlfn._xlws.FILTER($M$2:$M$1011&amp;"",($C$2:$C$1011=C496)*($M$2:$M$1011&lt;&gt;"")))&lt;&gt;"")))</f>
        <v>3</v>
      </c>
      <c r="E496" s="166">
        <f t="shared" ref="E496:E503" ca="1" si="30">SUMIF(C:C, C496, Q:Q)</f>
        <v>4811.04</v>
      </c>
      <c r="F496" s="143">
        <v>1</v>
      </c>
      <c r="G496" s="143" t="s">
        <v>85</v>
      </c>
      <c r="H496" s="119">
        <f>_xlfn.XLOOKUP(G496,'🚛 FROTA'!B:B,'🚛 FROTA'!A:A,"")</f>
        <v>6</v>
      </c>
      <c r="I496" s="119"/>
      <c r="J496" s="119" t="str">
        <f>IF(G496="","",_xlfn.XLOOKUP(G496,'🚛 FROTA'!B:B,'🚛 FROTA'!E:E,""))</f>
        <v>13.180 Constellation</v>
      </c>
      <c r="K496" s="119" t="str">
        <f>IF(G496="","",_xlfn.XLOOKUP(G496,'🚛 FROTA'!B:B,'🚛 FROTA'!K:K,""))</f>
        <v>Munck</v>
      </c>
      <c r="L496" s="143" t="s">
        <v>627</v>
      </c>
      <c r="M496" s="143" t="s">
        <v>1459</v>
      </c>
      <c r="N496" s="145">
        <v>46150</v>
      </c>
      <c r="O496" s="143">
        <v>2</v>
      </c>
      <c r="P496" s="143">
        <v>3</v>
      </c>
      <c r="Q496" s="167">
        <v>1376.29</v>
      </c>
      <c r="R496" s="143" t="s">
        <v>554</v>
      </c>
      <c r="S496" s="122" t="s">
        <v>560</v>
      </c>
      <c r="T496" s="120" t="s">
        <v>446</v>
      </c>
      <c r="U496" s="121" t="s">
        <v>555</v>
      </c>
      <c r="V496" s="119" t="s">
        <v>619</v>
      </c>
      <c r="W496" s="119" t="s">
        <v>1454</v>
      </c>
      <c r="X496" s="123" t="s">
        <v>1455</v>
      </c>
      <c r="Y496" s="119"/>
      <c r="Z496" s="135">
        <v>322800</v>
      </c>
      <c r="AA496" s="125"/>
      <c r="AB496" s="126"/>
      <c r="AC496" s="127"/>
      <c r="AD496" s="127"/>
      <c r="AE496" s="127"/>
      <c r="AF496" s="127"/>
      <c r="AG496" s="125"/>
      <c r="AH496" s="128">
        <f t="shared" ref="AH496:AH503" ca="1" si="31">IF(OR(R496="A VISTA", R496="C. CRÉDITO", R496="ADIANTAMENTO"), N496, IF(R496="Faturado", _xlfn.MINIFS(N:N, C:C, C496)-30, ""))</f>
        <v>46090</v>
      </c>
      <c r="AI496" s="129" t="s">
        <v>631</v>
      </c>
      <c r="AJ496" s="129"/>
      <c r="AK496" s="129"/>
      <c r="AL496" s="129"/>
      <c r="AM496" s="129"/>
    </row>
    <row r="497" spans="1:39" ht="18" hidden="1" customHeight="1" x14ac:dyDescent="0.25">
      <c r="A497" s="117">
        <v>496</v>
      </c>
      <c r="B497" s="117"/>
      <c r="C497" s="118" t="s">
        <v>1421</v>
      </c>
      <c r="D497" s="146">
        <f t="array" aca="1" ref="D497" ca="1">IF(C497="","",SUM(--(_xlfn.UNIQUE(_xlfn._xlws.FILTER($M$2:$M$1011&amp;"",($C$2:$C$1011=C497)*($M$2:$M$1011&lt;&gt;"")))&lt;&gt;"")))</f>
        <v>1</v>
      </c>
      <c r="E497" s="166">
        <f t="shared" ca="1" si="30"/>
        <v>1530.69</v>
      </c>
      <c r="F497" s="143">
        <v>1</v>
      </c>
      <c r="G497" s="143" t="s">
        <v>141</v>
      </c>
      <c r="H497" s="119">
        <f>_xlfn.XLOOKUP(G497,'🚛 FROTA'!B:B,'🚛 FROTA'!A:A,"")</f>
        <v>24</v>
      </c>
      <c r="I497" s="119"/>
      <c r="J497" s="119" t="str">
        <f>IF(G497="","",_xlfn.XLOOKUP(G497,'🚛 FROTA'!B:B,'🚛 FROTA'!E:E,""))</f>
        <v>14.190 Constellation</v>
      </c>
      <c r="K497" s="119" t="str">
        <f>IF(G497="","",_xlfn.XLOOKUP(G497,'🚛 FROTA'!B:B,'🚛 FROTA'!K:K,""))</f>
        <v>Munck</v>
      </c>
      <c r="L497" s="143" t="s">
        <v>682</v>
      </c>
      <c r="M497" s="143" t="s">
        <v>1422</v>
      </c>
      <c r="N497" s="145">
        <v>46151</v>
      </c>
      <c r="O497" s="143">
        <v>3</v>
      </c>
      <c r="P497" s="143">
        <v>3</v>
      </c>
      <c r="Q497" s="167">
        <v>139.53</v>
      </c>
      <c r="R497" s="143" t="s">
        <v>554</v>
      </c>
      <c r="S497" s="122" t="s">
        <v>560</v>
      </c>
      <c r="T497" s="120" t="s">
        <v>446</v>
      </c>
      <c r="U497" s="121" t="s">
        <v>555</v>
      </c>
      <c r="V497" s="119" t="s">
        <v>568</v>
      </c>
      <c r="W497" s="119" t="s">
        <v>1217</v>
      </c>
      <c r="X497" s="123" t="s">
        <v>1423</v>
      </c>
      <c r="Y497" s="119"/>
      <c r="Z497" s="130">
        <v>142937</v>
      </c>
      <c r="AA497" s="125"/>
      <c r="AB497" s="126"/>
      <c r="AC497" s="127"/>
      <c r="AD497" s="127"/>
      <c r="AE497" s="127"/>
      <c r="AF497" s="127"/>
      <c r="AG497" s="125"/>
      <c r="AH497" s="128">
        <f t="shared" ca="1" si="31"/>
        <v>46067</v>
      </c>
      <c r="AI497" s="129" t="s">
        <v>686</v>
      </c>
      <c r="AJ497" s="129"/>
      <c r="AK497" s="129"/>
      <c r="AL497" s="129"/>
      <c r="AM497" s="129"/>
    </row>
    <row r="498" spans="1:39" ht="18" hidden="1" customHeight="1" x14ac:dyDescent="0.25">
      <c r="A498" s="117">
        <v>497</v>
      </c>
      <c r="B498" s="117"/>
      <c r="C498" s="118" t="s">
        <v>1421</v>
      </c>
      <c r="D498" s="146">
        <f t="array" aca="1" ref="D498" ca="1">IF(C498="","",SUM(--(_xlfn.UNIQUE(_xlfn._xlws.FILTER($M$2:$M$1011&amp;"",($C$2:$C$1011=C498)*($M$2:$M$1011&lt;&gt;"")))&lt;&gt;"")))</f>
        <v>1</v>
      </c>
      <c r="E498" s="166">
        <f t="shared" ca="1" si="30"/>
        <v>1530.69</v>
      </c>
      <c r="F498" s="143">
        <v>1</v>
      </c>
      <c r="G498" s="143" t="s">
        <v>141</v>
      </c>
      <c r="H498" s="119">
        <f>_xlfn.XLOOKUP(G498,'🚛 FROTA'!B:B,'🚛 FROTA'!A:A,"")</f>
        <v>24</v>
      </c>
      <c r="I498" s="119"/>
      <c r="J498" s="119" t="str">
        <f>IF(G498="","",_xlfn.XLOOKUP(G498,'🚛 FROTA'!B:B,'🚛 FROTA'!E:E,""))</f>
        <v>14.190 Constellation</v>
      </c>
      <c r="K498" s="119" t="str">
        <f>IF(G498="","",_xlfn.XLOOKUP(G498,'🚛 FROTA'!B:B,'🚛 FROTA'!K:K,""))</f>
        <v>Munck</v>
      </c>
      <c r="L498" s="143" t="s">
        <v>682</v>
      </c>
      <c r="M498" s="143" t="s">
        <v>1422</v>
      </c>
      <c r="N498" s="145">
        <v>46151</v>
      </c>
      <c r="O498" s="143">
        <v>3</v>
      </c>
      <c r="P498" s="143">
        <v>3</v>
      </c>
      <c r="Q498" s="167">
        <v>370.7</v>
      </c>
      <c r="R498" s="143" t="s">
        <v>554</v>
      </c>
      <c r="S498" s="122" t="s">
        <v>560</v>
      </c>
      <c r="T498" s="120" t="s">
        <v>446</v>
      </c>
      <c r="U498" s="121" t="s">
        <v>597</v>
      </c>
      <c r="V498" s="119" t="s">
        <v>598</v>
      </c>
      <c r="W498" s="119" t="s">
        <v>1424</v>
      </c>
      <c r="X498" s="123" t="s">
        <v>1425</v>
      </c>
      <c r="Y498" s="119"/>
      <c r="Z498" s="130">
        <v>142937</v>
      </c>
      <c r="AA498" s="125"/>
      <c r="AB498" s="126"/>
      <c r="AC498" s="127"/>
      <c r="AD498" s="127"/>
      <c r="AE498" s="127"/>
      <c r="AF498" s="127"/>
      <c r="AG498" s="125"/>
      <c r="AH498" s="128">
        <f t="shared" ca="1" si="31"/>
        <v>46067</v>
      </c>
      <c r="AI498" s="129" t="s">
        <v>686</v>
      </c>
      <c r="AJ498" s="129"/>
      <c r="AK498" s="132">
        <f>IF(Z498="",0,Z498+10000)</f>
        <v>152937</v>
      </c>
      <c r="AL498" s="129"/>
      <c r="AM498" s="129"/>
    </row>
    <row r="499" spans="1:39" ht="18" hidden="1" customHeight="1" x14ac:dyDescent="0.25">
      <c r="A499" s="117">
        <v>498</v>
      </c>
      <c r="B499" s="117"/>
      <c r="C499" s="118" t="s">
        <v>1396</v>
      </c>
      <c r="D499" s="146">
        <f t="array" aca="1" ref="D499" ca="1">IF(C499="","",SUM(--(_xlfn.UNIQUE(_xlfn._xlws.FILTER($M$2:$M$1011&amp;"",($C$2:$C$1011=C499)*($M$2:$M$1011&lt;&gt;"")))&lt;&gt;"")))</f>
        <v>1</v>
      </c>
      <c r="E499" s="166">
        <f t="shared" ca="1" si="30"/>
        <v>3300</v>
      </c>
      <c r="F499" s="143">
        <v>3</v>
      </c>
      <c r="G499" s="143" t="s">
        <v>162</v>
      </c>
      <c r="H499" s="119">
        <f>_xlfn.XLOOKUP(G499,'🚛 FROTA'!B:B,'🚛 FROTA'!A:A,"")</f>
        <v>39</v>
      </c>
      <c r="I499" s="119"/>
      <c r="J499" s="119" t="str">
        <f>IF(G499="","",_xlfn.XLOOKUP(G499,'🚛 FROTA'!B:B,'🚛 FROTA'!E:E,""))</f>
        <v>Express Delivery</v>
      </c>
      <c r="K499" s="119" t="str">
        <f>IF(G499="","",_xlfn.XLOOKUP(G499,'🚛 FROTA'!B:B,'🚛 FROTA'!K:K,""))</f>
        <v>Carroceria Cabinado</v>
      </c>
      <c r="L499" s="143" t="s">
        <v>876</v>
      </c>
      <c r="M499" s="143" t="s">
        <v>1397</v>
      </c>
      <c r="N499" s="145">
        <v>46152</v>
      </c>
      <c r="O499" s="143">
        <v>3</v>
      </c>
      <c r="P499" s="143">
        <v>3</v>
      </c>
      <c r="Q499" s="167">
        <v>1100</v>
      </c>
      <c r="R499" s="143" t="s">
        <v>554</v>
      </c>
      <c r="S499" s="122" t="s">
        <v>534</v>
      </c>
      <c r="T499" s="120" t="s">
        <v>446</v>
      </c>
      <c r="U499" s="121" t="s">
        <v>555</v>
      </c>
      <c r="V499" s="119" t="s">
        <v>670</v>
      </c>
      <c r="W499" s="119" t="s">
        <v>1398</v>
      </c>
      <c r="X499" s="123" t="s">
        <v>1399</v>
      </c>
      <c r="Y499" s="119"/>
      <c r="Z499" s="124">
        <v>87218</v>
      </c>
      <c r="AA499" s="125"/>
      <c r="AB499" s="126"/>
      <c r="AC499" s="127"/>
      <c r="AD499" s="127"/>
      <c r="AE499" s="127"/>
      <c r="AF499" s="127"/>
      <c r="AG499" s="125"/>
      <c r="AH499" s="128">
        <f t="shared" ca="1" si="31"/>
        <v>46061</v>
      </c>
      <c r="AI499" s="129" t="s">
        <v>880</v>
      </c>
      <c r="AJ499" s="129"/>
      <c r="AK499" s="129"/>
      <c r="AL499" s="129"/>
      <c r="AM499" s="129"/>
    </row>
    <row r="500" spans="1:39" ht="18" hidden="1" customHeight="1" x14ac:dyDescent="0.25">
      <c r="A500" s="117">
        <v>499</v>
      </c>
      <c r="B500" s="117"/>
      <c r="C500" s="118" t="s">
        <v>1382</v>
      </c>
      <c r="D500" s="146">
        <f t="array" aca="1" ref="D500" ca="1">IF(C500="","",SUM(--(_xlfn.UNIQUE(_xlfn._xlws.FILTER($M$2:$M$1011&amp;"",($C$2:$C$1011=C500)*($M$2:$M$1011&lt;&gt;"")))&lt;&gt;"")))</f>
        <v>2</v>
      </c>
      <c r="E500" s="166">
        <f t="shared" ca="1" si="30"/>
        <v>5896.7799999999907</v>
      </c>
      <c r="F500" s="143">
        <v>3</v>
      </c>
      <c r="G500" s="143" t="s">
        <v>141</v>
      </c>
      <c r="H500" s="119">
        <f>_xlfn.XLOOKUP(G500,'🚛 FROTA'!B:B,'🚛 FROTA'!A:A,"")</f>
        <v>24</v>
      </c>
      <c r="I500" s="119"/>
      <c r="J500" s="119" t="str">
        <f>IF(G500="","",_xlfn.XLOOKUP(G500,'🚛 FROTA'!B:B,'🚛 FROTA'!E:E,""))</f>
        <v>14.190 Constellation</v>
      </c>
      <c r="K500" s="119" t="str">
        <f>IF(G500="","",_xlfn.XLOOKUP(G500,'🚛 FROTA'!B:B,'🚛 FROTA'!K:K,""))</f>
        <v>Munck</v>
      </c>
      <c r="L500" s="143" t="s">
        <v>876</v>
      </c>
      <c r="M500" s="143" t="s">
        <v>1397</v>
      </c>
      <c r="N500" s="145">
        <v>46152</v>
      </c>
      <c r="O500" s="143">
        <v>3</v>
      </c>
      <c r="P500" s="143">
        <v>3</v>
      </c>
      <c r="Q500" s="167">
        <v>1443.3333333333301</v>
      </c>
      <c r="R500" s="143" t="s">
        <v>554</v>
      </c>
      <c r="S500" s="122" t="s">
        <v>534</v>
      </c>
      <c r="T500" s="120" t="s">
        <v>446</v>
      </c>
      <c r="U500" s="121" t="s">
        <v>555</v>
      </c>
      <c r="V500" s="119" t="s">
        <v>689</v>
      </c>
      <c r="W500" s="119" t="s">
        <v>1400</v>
      </c>
      <c r="X500" s="123" t="s">
        <v>1401</v>
      </c>
      <c r="Y500" s="119"/>
      <c r="Z500" s="130">
        <v>142937</v>
      </c>
      <c r="AA500" s="125"/>
      <c r="AB500" s="126"/>
      <c r="AC500" s="127"/>
      <c r="AD500" s="127"/>
      <c r="AE500" s="127"/>
      <c r="AF500" s="127"/>
      <c r="AG500" s="125"/>
      <c r="AH500" s="128">
        <f t="shared" ca="1" si="31"/>
        <v>46060</v>
      </c>
      <c r="AI500" s="129" t="s">
        <v>880</v>
      </c>
      <c r="AJ500" s="129"/>
      <c r="AK500" s="129"/>
      <c r="AL500" s="129"/>
      <c r="AM500" s="129"/>
    </row>
    <row r="501" spans="1:39" ht="18" hidden="1" customHeight="1" x14ac:dyDescent="0.25">
      <c r="A501" s="117">
        <v>500</v>
      </c>
      <c r="B501" s="117"/>
      <c r="C501" s="118" t="s">
        <v>1410</v>
      </c>
      <c r="D501" s="146">
        <f t="array" aca="1" ref="D501" ca="1">IF(C501="","",SUM(--(_xlfn.UNIQUE(_xlfn._xlws.FILTER($M$2:$M$1011&amp;"",($C$2:$C$1011=C501)*($M$2:$M$1011&lt;&gt;"")))&lt;&gt;"")))</f>
        <v>1</v>
      </c>
      <c r="E501" s="166">
        <f t="shared" ca="1" si="30"/>
        <v>1365.04</v>
      </c>
      <c r="F501" s="143">
        <v>3</v>
      </c>
      <c r="G501" s="143" t="s">
        <v>173</v>
      </c>
      <c r="H501" s="119">
        <f>_xlfn.XLOOKUP(G501,'🚛 FROTA'!B:B,'🚛 FROTA'!A:A,"")</f>
        <v>46</v>
      </c>
      <c r="I501" s="119"/>
      <c r="J501" s="119" t="str">
        <f>IF(G501="","",_xlfn.XLOOKUP(G501,'🚛 FROTA'!B:B,'🚛 FROTA'!E:E,""))</f>
        <v>Express Delivery</v>
      </c>
      <c r="K501" s="119" t="str">
        <f>IF(G501="","",_xlfn.XLOOKUP(G501,'🚛 FROTA'!B:B,'🚛 FROTA'!K:K,""))</f>
        <v>Carroceria</v>
      </c>
      <c r="L501" s="143" t="s">
        <v>552</v>
      </c>
      <c r="M501" s="143" t="s">
        <v>1411</v>
      </c>
      <c r="N501" s="145">
        <v>46154</v>
      </c>
      <c r="O501" s="143">
        <v>2</v>
      </c>
      <c r="P501" s="143">
        <v>4</v>
      </c>
      <c r="Q501" s="167">
        <v>341.26</v>
      </c>
      <c r="R501" s="143" t="s">
        <v>554</v>
      </c>
      <c r="S501" s="122" t="s">
        <v>534</v>
      </c>
      <c r="T501" s="120" t="s">
        <v>446</v>
      </c>
      <c r="U501" s="121" t="s">
        <v>555</v>
      </c>
      <c r="V501" s="119" t="s">
        <v>1412</v>
      </c>
      <c r="W501" s="119" t="s">
        <v>1413</v>
      </c>
      <c r="X501" s="123" t="s">
        <v>1414</v>
      </c>
      <c r="Y501" s="119" t="s">
        <v>1415</v>
      </c>
      <c r="Z501" s="124">
        <v>41227</v>
      </c>
      <c r="AA501" s="125"/>
      <c r="AB501" s="126"/>
      <c r="AC501" s="127"/>
      <c r="AD501" s="127"/>
      <c r="AE501" s="127"/>
      <c r="AF501" s="127"/>
      <c r="AG501" s="125"/>
      <c r="AH501" s="128">
        <f t="shared" ca="1" si="31"/>
        <v>46064</v>
      </c>
      <c r="AI501" s="129" t="s">
        <v>559</v>
      </c>
      <c r="AJ501" s="129"/>
      <c r="AK501" s="129"/>
      <c r="AL501" s="129"/>
      <c r="AM501" s="129"/>
    </row>
    <row r="502" spans="1:39" ht="18" hidden="1" customHeight="1" x14ac:dyDescent="0.25">
      <c r="A502" s="117">
        <v>501</v>
      </c>
      <c r="B502" s="117"/>
      <c r="C502" s="118" t="s">
        <v>1416</v>
      </c>
      <c r="D502" s="146">
        <f t="array" aca="1" ref="D502" ca="1">IF(C502="","",SUM(--(_xlfn.UNIQUE(_xlfn._xlws.FILTER($M$2:$M$1011&amp;"",($C$2:$C$1011=C502)*($M$2:$M$1011&lt;&gt;"")))&lt;&gt;"")))</f>
        <v>1</v>
      </c>
      <c r="E502" s="166">
        <f t="shared" ca="1" si="30"/>
        <v>2299.1999999999998</v>
      </c>
      <c r="F502" s="143">
        <v>3</v>
      </c>
      <c r="G502" s="143" t="s">
        <v>173</v>
      </c>
      <c r="H502" s="119">
        <f>_xlfn.XLOOKUP(G502,'🚛 FROTA'!B:B,'🚛 FROTA'!A:A,"")</f>
        <v>46</v>
      </c>
      <c r="I502" s="119"/>
      <c r="J502" s="119" t="str">
        <f>IF(G502="","",_xlfn.XLOOKUP(G502,'🚛 FROTA'!B:B,'🚛 FROTA'!E:E,""))</f>
        <v>Express Delivery</v>
      </c>
      <c r="K502" s="119" t="str">
        <f>IF(G502="","",_xlfn.XLOOKUP(G502,'🚛 FROTA'!B:B,'🚛 FROTA'!K:K,""))</f>
        <v>Carroceria</v>
      </c>
      <c r="L502" s="143" t="s">
        <v>552</v>
      </c>
      <c r="M502" s="143" t="s">
        <v>1411</v>
      </c>
      <c r="N502" s="145">
        <v>46154</v>
      </c>
      <c r="O502" s="143">
        <v>2</v>
      </c>
      <c r="P502" s="143">
        <v>4</v>
      </c>
      <c r="Q502" s="167">
        <v>574.79999999999995</v>
      </c>
      <c r="R502" s="143" t="s">
        <v>554</v>
      </c>
      <c r="S502" s="122" t="s">
        <v>534</v>
      </c>
      <c r="T502" s="120" t="s">
        <v>446</v>
      </c>
      <c r="U502" s="121" t="s">
        <v>555</v>
      </c>
      <c r="V502" s="119" t="s">
        <v>556</v>
      </c>
      <c r="W502" s="119" t="s">
        <v>1417</v>
      </c>
      <c r="X502" s="123" t="s">
        <v>1418</v>
      </c>
      <c r="Y502" s="119"/>
      <c r="Z502" s="124">
        <v>41227</v>
      </c>
      <c r="AA502" s="125"/>
      <c r="AB502" s="126"/>
      <c r="AC502" s="127"/>
      <c r="AD502" s="127"/>
      <c r="AE502" s="127"/>
      <c r="AF502" s="127"/>
      <c r="AG502" s="125"/>
      <c r="AH502" s="128">
        <f t="shared" ca="1" si="31"/>
        <v>46064</v>
      </c>
      <c r="AI502" s="129" t="s">
        <v>559</v>
      </c>
      <c r="AJ502" s="129"/>
      <c r="AK502" s="129"/>
      <c r="AL502" s="129"/>
      <c r="AM502" s="129"/>
    </row>
    <row r="503" spans="1:39" ht="18" hidden="1" customHeight="1" x14ac:dyDescent="0.25">
      <c r="A503" s="117">
        <v>502</v>
      </c>
      <c r="B503" s="117"/>
      <c r="C503" s="118" t="s">
        <v>1386</v>
      </c>
      <c r="D503" s="146">
        <f t="array" aca="1" ref="D503" ca="1">IF(C503="","",SUM(--(_xlfn.UNIQUE(_xlfn._xlws.FILTER($M$2:$M$1011&amp;"",($C$2:$C$1011=C503)*($M$2:$M$1011&lt;&gt;"")))&lt;&gt;"")))</f>
        <v>4</v>
      </c>
      <c r="E503" s="166">
        <f t="shared" ca="1" si="30"/>
        <v>5325.0100000000011</v>
      </c>
      <c r="F503" s="143">
        <v>1</v>
      </c>
      <c r="G503" s="143" t="s">
        <v>162</v>
      </c>
      <c r="H503" s="119">
        <f>_xlfn.XLOOKUP(G503,'🚛 FROTA'!B:B,'🚛 FROTA'!A:A,"")</f>
        <v>39</v>
      </c>
      <c r="I503" s="119"/>
      <c r="J503" s="119" t="str">
        <f>IF(G503="","",_xlfn.XLOOKUP(G503,'🚛 FROTA'!B:B,'🚛 FROTA'!E:E,""))</f>
        <v>Express Delivery</v>
      </c>
      <c r="K503" s="119" t="str">
        <f>IF(G503="","",_xlfn.XLOOKUP(G503,'🚛 FROTA'!B:B,'🚛 FROTA'!K:K,""))</f>
        <v>Carroceria Cabinado</v>
      </c>
      <c r="L503" s="143" t="s">
        <v>682</v>
      </c>
      <c r="M503" s="143" t="s">
        <v>1468</v>
      </c>
      <c r="N503" s="145">
        <v>46155</v>
      </c>
      <c r="O503" s="143">
        <v>3</v>
      </c>
      <c r="P503" s="143">
        <v>3</v>
      </c>
      <c r="Q503" s="167">
        <v>765.67</v>
      </c>
      <c r="R503" s="143" t="s">
        <v>554</v>
      </c>
      <c r="S503" s="122" t="s">
        <v>560</v>
      </c>
      <c r="T503" s="120" t="s">
        <v>446</v>
      </c>
      <c r="U503" s="121" t="s">
        <v>555</v>
      </c>
      <c r="V503" s="119" t="s">
        <v>689</v>
      </c>
      <c r="W503" s="119" t="s">
        <v>1221</v>
      </c>
      <c r="X503" s="123" t="s">
        <v>1246</v>
      </c>
      <c r="Y503" s="119" t="s">
        <v>800</v>
      </c>
      <c r="Z503" s="124">
        <v>87685</v>
      </c>
      <c r="AA503" s="125"/>
      <c r="AB503" s="126"/>
      <c r="AC503" s="127"/>
      <c r="AD503" s="127"/>
      <c r="AE503" s="127"/>
      <c r="AF503" s="127"/>
      <c r="AG503" s="125"/>
      <c r="AH503" s="128">
        <f t="shared" ca="1" si="31"/>
        <v>46060</v>
      </c>
      <c r="AI503" s="129" t="s">
        <v>686</v>
      </c>
      <c r="AJ503" s="129"/>
      <c r="AK503" s="129"/>
      <c r="AL503" s="129"/>
      <c r="AM503" s="129"/>
    </row>
    <row r="504" spans="1:39" ht="18" hidden="1" customHeight="1" x14ac:dyDescent="0.25">
      <c r="A504" s="117">
        <v>503</v>
      </c>
      <c r="B504" s="117"/>
      <c r="C504" s="118" t="s">
        <v>1501</v>
      </c>
      <c r="D504" s="146">
        <f t="array" aca="1" ref="D504" ca="1">IF(C504="","",SUM(--(_xlfn.UNIQUE(_xlfn._xlws.FILTER($M$2:$M$1011&amp;"",($C$2:$C$1011=C504)*($M$2:$M$1011&lt;&gt;"")))&lt;&gt;"")))</f>
        <v>1</v>
      </c>
      <c r="E504" s="166">
        <f ca="1">IF(C504="", "", SUMIF(C:C, C504, Q:Q))</f>
        <v>1139.8</v>
      </c>
      <c r="F504" s="144">
        <v>1</v>
      </c>
      <c r="G504" s="143" t="s">
        <v>162</v>
      </c>
      <c r="H504" s="119">
        <f>IF(G504="","",_xlfn.XLOOKUP(G504,'🚛 FROTA'!B:B,'🚛 FROTA'!A:A,""))</f>
        <v>39</v>
      </c>
      <c r="I504" s="119"/>
      <c r="J504" s="119" t="str">
        <f>IF(G504="","",_xlfn.XLOOKUP(G504,'🚛 FROTA'!B:B,'🚛 FROTA'!E:E,""))</f>
        <v>Express Delivery</v>
      </c>
      <c r="K504" s="119" t="str">
        <f>IF(G504="","",_xlfn.XLOOKUP(G504,'🚛 FROTA'!B:B,'🚛 FROTA'!K:K,""))</f>
        <v>Carroceria Cabinado</v>
      </c>
      <c r="L504" s="144" t="s">
        <v>682</v>
      </c>
      <c r="M504" s="144">
        <v>923535</v>
      </c>
      <c r="N504" s="145">
        <v>46150</v>
      </c>
      <c r="O504" s="144">
        <v>1</v>
      </c>
      <c r="P504" s="144">
        <v>2</v>
      </c>
      <c r="Q504" s="165">
        <v>569.9</v>
      </c>
      <c r="R504" s="144" t="s">
        <v>554</v>
      </c>
      <c r="S504" s="122" t="s">
        <v>560</v>
      </c>
      <c r="T504" s="120" t="s">
        <v>446</v>
      </c>
      <c r="U504" s="121" t="s">
        <v>555</v>
      </c>
      <c r="V504" s="117" t="s">
        <v>689</v>
      </c>
      <c r="W504" s="117" t="s">
        <v>1502</v>
      </c>
      <c r="X504" s="117" t="s">
        <v>1503</v>
      </c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  <c r="AM504" s="117"/>
    </row>
    <row r="505" spans="1:39" ht="18" customHeight="1" x14ac:dyDescent="0.25">
      <c r="A505" s="117">
        <v>504</v>
      </c>
      <c r="B505" s="117"/>
      <c r="C505" s="118" t="s">
        <v>1471</v>
      </c>
      <c r="D505" s="146">
        <f t="array" aca="1" ref="D505" ca="1">IF(C505="","",SUM(--(_xlfn.UNIQUE(_xlfn._xlws.FILTER($M$2:$M$1011&amp;"",($C$2:$C$1011=C505)*($M$2:$M$1011&lt;&gt;"")))&lt;&gt;"")))</f>
        <v>1</v>
      </c>
      <c r="E505" s="166">
        <f ca="1">SUMIF(C:C, C505, Q:Q)</f>
        <v>1504</v>
      </c>
      <c r="F505" s="143">
        <v>1</v>
      </c>
      <c r="G505" s="143" t="s">
        <v>170</v>
      </c>
      <c r="H505" s="119">
        <f>_xlfn.XLOOKUP(G505,'🚛 FROTA'!B:B,'🚛 FROTA'!A:A,"")</f>
        <v>44</v>
      </c>
      <c r="I505" s="119"/>
      <c r="J505" s="119" t="str">
        <f>IF(G505="","",_xlfn.XLOOKUP(G505,'🚛 FROTA'!B:B,'🚛 FROTA'!E:E,""))</f>
        <v>Express Delivery</v>
      </c>
      <c r="K505" s="119" t="str">
        <f>IF(G505="","",_xlfn.XLOOKUP(G505,'🚛 FROTA'!B:B,'🚛 FROTA'!K:K,""))</f>
        <v>Carroceria</v>
      </c>
      <c r="L505" s="143" t="s">
        <v>604</v>
      </c>
      <c r="M505" s="143" t="s">
        <v>1474</v>
      </c>
      <c r="N505" s="145">
        <v>46158</v>
      </c>
      <c r="O505" s="143">
        <v>2</v>
      </c>
      <c r="P505" s="143">
        <v>4</v>
      </c>
      <c r="Q505" s="167">
        <v>376</v>
      </c>
      <c r="R505" s="143" t="s">
        <v>554</v>
      </c>
      <c r="S505" s="122" t="s">
        <v>560</v>
      </c>
      <c r="T505" s="120" t="s">
        <v>446</v>
      </c>
      <c r="U505" s="121" t="s">
        <v>555</v>
      </c>
      <c r="V505" s="119" t="s">
        <v>573</v>
      </c>
      <c r="W505" s="119" t="s">
        <v>574</v>
      </c>
      <c r="X505" s="123" t="s">
        <v>1472</v>
      </c>
      <c r="Y505" s="119" t="s">
        <v>576</v>
      </c>
      <c r="Z505" s="124">
        <v>46031</v>
      </c>
      <c r="AA505" s="133" t="s">
        <v>659</v>
      </c>
      <c r="AB505" s="122">
        <v>2</v>
      </c>
      <c r="AC505" s="131" t="s">
        <v>578</v>
      </c>
      <c r="AD505" s="131" t="s">
        <v>607</v>
      </c>
      <c r="AE505" s="131" t="s">
        <v>608</v>
      </c>
      <c r="AF505" s="131" t="s">
        <v>581</v>
      </c>
      <c r="AG505" s="125" t="s">
        <v>582</v>
      </c>
      <c r="AH505" s="128">
        <f ca="1">IF(OR(R505="A VISTA", R505="C. CRÉDITO", R505="ADIANTAMENTO"), N505, IF(R505="Faturado", _xlfn.MINIFS(N:N, C:C, C505)-30, ""))</f>
        <v>46098</v>
      </c>
      <c r="AI505" s="129" t="s">
        <v>609</v>
      </c>
      <c r="AJ505" s="129"/>
      <c r="AK505" s="129"/>
      <c r="AL505" s="129"/>
      <c r="AM505" s="129"/>
    </row>
    <row r="506" spans="1:39" ht="18" customHeight="1" x14ac:dyDescent="0.25">
      <c r="A506" s="117">
        <v>505</v>
      </c>
      <c r="B506" s="117"/>
      <c r="C506" s="118" t="s">
        <v>1473</v>
      </c>
      <c r="D506" s="146">
        <f t="array" aca="1" ref="D506" ca="1">IF(C506="","",SUM(--(_xlfn.UNIQUE(_xlfn._xlws.FILTER($M$2:$M$1011&amp;"",($C$2:$C$1011=C506)*($M$2:$M$1011&lt;&gt;"")))&lt;&gt;"")))</f>
        <v>1</v>
      </c>
      <c r="E506" s="166">
        <f ca="1">SUMIF(C:C, C506, Q:Q)</f>
        <v>1504</v>
      </c>
      <c r="F506" s="143">
        <v>1</v>
      </c>
      <c r="G506" s="143" t="s">
        <v>172</v>
      </c>
      <c r="H506" s="119">
        <f>_xlfn.XLOOKUP(G506,'🚛 FROTA'!B:B,'🚛 FROTA'!A:A,"")</f>
        <v>45</v>
      </c>
      <c r="I506" s="119"/>
      <c r="J506" s="119" t="str">
        <f>IF(G506="","",_xlfn.XLOOKUP(G506,'🚛 FROTA'!B:B,'🚛 FROTA'!E:E,""))</f>
        <v>Express Delivery</v>
      </c>
      <c r="K506" s="119" t="str">
        <f>IF(G506="","",_xlfn.XLOOKUP(G506,'🚛 FROTA'!B:B,'🚛 FROTA'!K:K,""))</f>
        <v>Carroceria</v>
      </c>
      <c r="L506" s="143" t="s">
        <v>604</v>
      </c>
      <c r="M506" s="143" t="s">
        <v>1474</v>
      </c>
      <c r="N506" s="145">
        <v>46158</v>
      </c>
      <c r="O506" s="143">
        <v>2</v>
      </c>
      <c r="P506" s="143">
        <v>4</v>
      </c>
      <c r="Q506" s="167">
        <v>376</v>
      </c>
      <c r="R506" s="143" t="s">
        <v>554</v>
      </c>
      <c r="S506" s="122" t="s">
        <v>560</v>
      </c>
      <c r="T506" s="120" t="s">
        <v>446</v>
      </c>
      <c r="U506" s="121" t="s">
        <v>555</v>
      </c>
      <c r="V506" s="119" t="s">
        <v>573</v>
      </c>
      <c r="W506" s="119" t="s">
        <v>574</v>
      </c>
      <c r="X506" s="123" t="s">
        <v>1472</v>
      </c>
      <c r="Y506" s="119" t="s">
        <v>576</v>
      </c>
      <c r="Z506" s="124">
        <v>50792</v>
      </c>
      <c r="AA506" s="133" t="s">
        <v>659</v>
      </c>
      <c r="AB506" s="122">
        <v>2</v>
      </c>
      <c r="AC506" s="131" t="s">
        <v>578</v>
      </c>
      <c r="AD506" s="131" t="s">
        <v>607</v>
      </c>
      <c r="AE506" s="131" t="s">
        <v>608</v>
      </c>
      <c r="AF506" s="131" t="s">
        <v>581</v>
      </c>
      <c r="AG506" s="125" t="s">
        <v>582</v>
      </c>
      <c r="AH506" s="128">
        <f ca="1">IF(OR(R506="A VISTA", R506="C. CRÉDITO", R506="ADIANTAMENTO"), N506, IF(R506="Faturado", _xlfn.MINIFS(N:N, C:C, C506)-30, ""))</f>
        <v>46098</v>
      </c>
      <c r="AI506" s="129" t="s">
        <v>609</v>
      </c>
      <c r="AJ506" s="129"/>
      <c r="AK506" s="129"/>
      <c r="AL506" s="129"/>
      <c r="AM506" s="129"/>
    </row>
    <row r="507" spans="1:39" ht="18" customHeight="1" x14ac:dyDescent="0.25">
      <c r="A507" s="117">
        <v>506</v>
      </c>
      <c r="B507" s="117"/>
      <c r="C507" s="118" t="s">
        <v>1475</v>
      </c>
      <c r="D507" s="146">
        <f t="array" aca="1" ref="D507" ca="1">IF(C507="","",SUM(--(_xlfn.UNIQUE(_xlfn._xlws.FILTER($M$2:$M$1011&amp;"",($C$2:$C$1011=C507)*($M$2:$M$1011&lt;&gt;"")))&lt;&gt;"")))</f>
        <v>1</v>
      </c>
      <c r="E507" s="166">
        <f ca="1">SUMIF(C:C, C507, Q:Q)</f>
        <v>1504</v>
      </c>
      <c r="F507" s="143">
        <v>1</v>
      </c>
      <c r="G507" s="143" t="s">
        <v>165</v>
      </c>
      <c r="H507" s="119">
        <f>_xlfn.XLOOKUP(G507,'🚛 FROTA'!B:B,'🚛 FROTA'!A:A,"")</f>
        <v>40</v>
      </c>
      <c r="I507" s="119"/>
      <c r="J507" s="119" t="str">
        <f>IF(G507="","",_xlfn.XLOOKUP(G507,'🚛 FROTA'!B:B,'🚛 FROTA'!E:E,""))</f>
        <v>Express Delivery</v>
      </c>
      <c r="K507" s="119" t="str">
        <f>IF(G507="","",_xlfn.XLOOKUP(G507,'🚛 FROTA'!B:B,'🚛 FROTA'!K:K,""))</f>
        <v>Carroceria Cabinado</v>
      </c>
      <c r="L507" s="143" t="s">
        <v>604</v>
      </c>
      <c r="M507" s="143" t="s">
        <v>1474</v>
      </c>
      <c r="N507" s="145">
        <v>46158</v>
      </c>
      <c r="O507" s="143">
        <v>2</v>
      </c>
      <c r="P507" s="143">
        <v>4</v>
      </c>
      <c r="Q507" s="167">
        <v>376</v>
      </c>
      <c r="R507" s="143" t="s">
        <v>554</v>
      </c>
      <c r="S507" s="122" t="s">
        <v>560</v>
      </c>
      <c r="T507" s="120" t="s">
        <v>446</v>
      </c>
      <c r="U507" s="121" t="s">
        <v>555</v>
      </c>
      <c r="V507" s="119" t="s">
        <v>573</v>
      </c>
      <c r="W507" s="119" t="s">
        <v>574</v>
      </c>
      <c r="X507" s="123" t="s">
        <v>1472</v>
      </c>
      <c r="Y507" s="119" t="s">
        <v>576</v>
      </c>
      <c r="Z507" s="124">
        <v>60227</v>
      </c>
      <c r="AA507" s="133" t="s">
        <v>659</v>
      </c>
      <c r="AB507" s="122">
        <v>2</v>
      </c>
      <c r="AC507" s="131" t="s">
        <v>578</v>
      </c>
      <c r="AD507" s="131" t="s">
        <v>607</v>
      </c>
      <c r="AE507" s="131" t="s">
        <v>608</v>
      </c>
      <c r="AF507" s="131" t="s">
        <v>581</v>
      </c>
      <c r="AG507" s="125" t="s">
        <v>582</v>
      </c>
      <c r="AH507" s="128">
        <f ca="1">IF(OR(R507="A VISTA", R507="C. CRÉDITO", R507="ADIANTAMENTO"), N507, IF(R507="Faturado", _xlfn.MINIFS(N:N, C:C, C507)-30, ""))</f>
        <v>46098</v>
      </c>
      <c r="AI507" s="129" t="s">
        <v>609</v>
      </c>
      <c r="AJ507" s="129"/>
      <c r="AK507" s="129"/>
      <c r="AL507" s="129"/>
      <c r="AM507" s="129"/>
    </row>
    <row r="508" spans="1:39" ht="18" hidden="1" customHeight="1" x14ac:dyDescent="0.25">
      <c r="A508" s="117">
        <v>507</v>
      </c>
      <c r="B508" s="117"/>
      <c r="C508" s="136" t="s">
        <v>1504</v>
      </c>
      <c r="D508" s="146">
        <f t="array" aca="1" ref="D508" ca="1">IF(C508="","",SUM(--(_xlfn.UNIQUE(_xlfn._xlws.FILTER($M$2:$M$1011&amp;"",($C$2:$C$1011=C508)*($M$2:$M$1011&lt;&gt;"")))&lt;&gt;"")))</f>
        <v>2</v>
      </c>
      <c r="E508" s="166">
        <f ca="1">IF(C508="", "", SUMIF(C:C, C508, Q:Q))</f>
        <v>3548.55</v>
      </c>
      <c r="F508" s="144">
        <v>3</v>
      </c>
      <c r="G508" s="143" t="s">
        <v>85</v>
      </c>
      <c r="H508" s="119">
        <f>IF(G508="","",_xlfn.XLOOKUP(G508,'🚛 FROTA'!B:B,'🚛 FROTA'!A:A,""))</f>
        <v>6</v>
      </c>
      <c r="I508" s="119"/>
      <c r="J508" s="119" t="str">
        <f>IF(G508="","",_xlfn.XLOOKUP(G508,'🚛 FROTA'!B:B,'🚛 FROTA'!E:E,""))</f>
        <v>13.180 Constellation</v>
      </c>
      <c r="K508" s="119" t="str">
        <f>IF(G508="","",_xlfn.XLOOKUP(G508,'🚛 FROTA'!B:B,'🚛 FROTA'!K:K,""))</f>
        <v>Munck</v>
      </c>
      <c r="L508" s="144" t="s">
        <v>1505</v>
      </c>
      <c r="M508" s="144">
        <v>33860</v>
      </c>
      <c r="N508" s="145">
        <v>46160</v>
      </c>
      <c r="O508" s="144">
        <v>1</v>
      </c>
      <c r="P508" s="144">
        <v>3</v>
      </c>
      <c r="Q508" s="165">
        <v>748.55</v>
      </c>
      <c r="R508" s="144" t="s">
        <v>554</v>
      </c>
      <c r="S508" s="117" t="s">
        <v>560</v>
      </c>
      <c r="T508" s="141" t="s">
        <v>446</v>
      </c>
      <c r="U508" s="142" t="s">
        <v>555</v>
      </c>
      <c r="V508" s="117" t="s">
        <v>56</v>
      </c>
      <c r="W508" s="117" t="s">
        <v>1506</v>
      </c>
      <c r="X508" s="117" t="s">
        <v>1507</v>
      </c>
      <c r="Y508" s="117"/>
      <c r="Z508" s="137">
        <v>325592</v>
      </c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  <c r="AM508" s="117"/>
    </row>
    <row r="509" spans="1:39" ht="18" hidden="1" customHeight="1" x14ac:dyDescent="0.25">
      <c r="A509" s="117">
        <v>508</v>
      </c>
      <c r="B509" s="117" t="s">
        <v>1496</v>
      </c>
      <c r="C509" s="136" t="s">
        <v>1504</v>
      </c>
      <c r="D509" s="146">
        <f t="array" aca="1" ref="D509" ca="1">IF(C509="","",SUM(--(_xlfn.UNIQUE(_xlfn._xlws.FILTER($M$2:$M$1011&amp;"",($C$2:$C$1011=C509)*($M$2:$M$1011&lt;&gt;"")))&lt;&gt;"")))</f>
        <v>2</v>
      </c>
      <c r="E509" s="166">
        <f ca="1">IF(C509="", "", SUMIF(C:C, C509, Q:Q))</f>
        <v>3548.55</v>
      </c>
      <c r="F509" s="144">
        <v>3</v>
      </c>
      <c r="G509" s="143" t="s">
        <v>85</v>
      </c>
      <c r="H509" s="119">
        <f>IF(G509="","",_xlfn.XLOOKUP(G509,'🚛 FROTA'!B:B,'🚛 FROTA'!A:A,""))</f>
        <v>6</v>
      </c>
      <c r="I509" s="119"/>
      <c r="J509" s="119" t="str">
        <f>IF(G509="","",_xlfn.XLOOKUP(G509,'🚛 FROTA'!B:B,'🚛 FROTA'!E:E,""))</f>
        <v>13.180 Constellation</v>
      </c>
      <c r="K509" s="119" t="str">
        <f>IF(G509="","",_xlfn.XLOOKUP(G509,'🚛 FROTA'!B:B,'🚛 FROTA'!K:K,""))</f>
        <v>Munck</v>
      </c>
      <c r="L509" s="144" t="s">
        <v>1505</v>
      </c>
      <c r="M509" s="144">
        <v>8844</v>
      </c>
      <c r="N509" s="145">
        <v>46160</v>
      </c>
      <c r="O509" s="144">
        <v>1</v>
      </c>
      <c r="P509" s="144">
        <v>3</v>
      </c>
      <c r="Q509" s="165">
        <v>934</v>
      </c>
      <c r="R509" s="144" t="s">
        <v>554</v>
      </c>
      <c r="S509" s="117" t="s">
        <v>534</v>
      </c>
      <c r="T509" s="141" t="s">
        <v>446</v>
      </c>
      <c r="U509" s="142" t="s">
        <v>555</v>
      </c>
      <c r="V509" s="117" t="s">
        <v>56</v>
      </c>
      <c r="W509" s="117" t="s">
        <v>1508</v>
      </c>
      <c r="X509" s="117" t="s">
        <v>1509</v>
      </c>
      <c r="Y509" s="117"/>
      <c r="Z509" s="137">
        <v>325592</v>
      </c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  <c r="AM509" s="117"/>
    </row>
    <row r="510" spans="1:39" ht="18" hidden="1" customHeight="1" x14ac:dyDescent="0.25">
      <c r="A510" s="117">
        <v>509</v>
      </c>
      <c r="B510" s="117"/>
      <c r="C510" s="136" t="s">
        <v>1504</v>
      </c>
      <c r="D510" s="146">
        <f t="array" aca="1" ref="D510" ca="1">IF(C510="","",SUM(--(_xlfn.UNIQUE(_xlfn._xlws.FILTER($M$2:$M$1011&amp;"",($C$2:$C$1011=C510)*($M$2:$M$1011&lt;&gt;"")))&lt;&gt;"")))</f>
        <v>2</v>
      </c>
      <c r="E510" s="166">
        <f ca="1">IF(C510="", "", SUMIF(C:C, C510, Q:Q))</f>
        <v>3548.55</v>
      </c>
      <c r="F510" s="144">
        <v>3</v>
      </c>
      <c r="G510" s="143" t="s">
        <v>85</v>
      </c>
      <c r="H510" s="119">
        <f>IF(G510="","",_xlfn.XLOOKUP(G510,'🚛 FROTA'!B:B,'🚛 FROTA'!A:A,""))</f>
        <v>6</v>
      </c>
      <c r="I510" s="119"/>
      <c r="J510" s="119" t="str">
        <f>IF(G510="","",_xlfn.XLOOKUP(G510,'🚛 FROTA'!B:B,'🚛 FROTA'!E:E,""))</f>
        <v>13.180 Constellation</v>
      </c>
      <c r="K510" s="119" t="str">
        <f>IF(G510="","",_xlfn.XLOOKUP(G510,'🚛 FROTA'!B:B,'🚛 FROTA'!K:K,""))</f>
        <v>Munck</v>
      </c>
      <c r="L510" s="144" t="s">
        <v>1505</v>
      </c>
      <c r="M510" s="144">
        <v>33860</v>
      </c>
      <c r="N510" s="145">
        <v>46191</v>
      </c>
      <c r="O510" s="144">
        <v>2</v>
      </c>
      <c r="P510" s="144">
        <v>3</v>
      </c>
      <c r="Q510" s="165">
        <v>0</v>
      </c>
      <c r="R510" s="144" t="s">
        <v>554</v>
      </c>
      <c r="S510" s="117" t="s">
        <v>560</v>
      </c>
      <c r="T510" s="141" t="s">
        <v>446</v>
      </c>
      <c r="U510" s="142" t="s">
        <v>555</v>
      </c>
      <c r="V510" s="117" t="s">
        <v>56</v>
      </c>
      <c r="W510" s="117" t="s">
        <v>1506</v>
      </c>
      <c r="X510" s="117" t="s">
        <v>1507</v>
      </c>
      <c r="Y510" s="117"/>
      <c r="Z510" s="137">
        <v>325592</v>
      </c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  <c r="AM510" s="117"/>
    </row>
    <row r="511" spans="1:39" ht="18" hidden="1" customHeight="1" x14ac:dyDescent="0.25">
      <c r="A511" s="117">
        <v>510</v>
      </c>
      <c r="B511" s="117"/>
      <c r="C511" s="136" t="s">
        <v>1504</v>
      </c>
      <c r="D511" s="146">
        <f t="array" aca="1" ref="D511" ca="1">IF(C511="","",SUM(--(_xlfn.UNIQUE(_xlfn._xlws.FILTER($M$2:$M$1011&amp;"",($C$2:$C$1011=C511)*($M$2:$M$1011&lt;&gt;"")))&lt;&gt;"")))</f>
        <v>2</v>
      </c>
      <c r="E511" s="166">
        <f ca="1">IF(C511="", "", SUMIF(C:C, C511, Q:Q))</f>
        <v>3548.55</v>
      </c>
      <c r="F511" s="144">
        <v>3</v>
      </c>
      <c r="G511" s="143" t="s">
        <v>85</v>
      </c>
      <c r="H511" s="119">
        <f>IF(G511="","",_xlfn.XLOOKUP(G511,'🚛 FROTA'!B:B,'🚛 FROTA'!A:A,""))</f>
        <v>6</v>
      </c>
      <c r="I511" s="119"/>
      <c r="J511" s="119" t="str">
        <f>IF(G511="","",_xlfn.XLOOKUP(G511,'🚛 FROTA'!B:B,'🚛 FROTA'!E:E,""))</f>
        <v>13.180 Constellation</v>
      </c>
      <c r="K511" s="119" t="str">
        <f>IF(G511="","",_xlfn.XLOOKUP(G511,'🚛 FROTA'!B:B,'🚛 FROTA'!K:K,""))</f>
        <v>Munck</v>
      </c>
      <c r="L511" s="144" t="s">
        <v>1505</v>
      </c>
      <c r="M511" s="144">
        <v>8844</v>
      </c>
      <c r="N511" s="145">
        <v>46191</v>
      </c>
      <c r="O511" s="144">
        <v>2</v>
      </c>
      <c r="P511" s="144">
        <v>3</v>
      </c>
      <c r="Q511" s="165">
        <v>933</v>
      </c>
      <c r="R511" s="144" t="s">
        <v>554</v>
      </c>
      <c r="S511" s="117" t="s">
        <v>534</v>
      </c>
      <c r="T511" s="141" t="s">
        <v>446</v>
      </c>
      <c r="U511" s="142" t="s">
        <v>555</v>
      </c>
      <c r="V511" s="117" t="s">
        <v>56</v>
      </c>
      <c r="W511" s="117" t="s">
        <v>1508</v>
      </c>
      <c r="X511" s="117" t="s">
        <v>1509</v>
      </c>
      <c r="Y511" s="117"/>
      <c r="Z511" s="137">
        <v>325592</v>
      </c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  <c r="AM511" s="117"/>
    </row>
    <row r="512" spans="1:39" ht="18" hidden="1" customHeight="1" x14ac:dyDescent="0.25">
      <c r="A512" s="117">
        <v>511</v>
      </c>
      <c r="B512" s="117"/>
      <c r="C512" s="118" t="s">
        <v>1480</v>
      </c>
      <c r="D512" s="146">
        <f t="array" aca="1" ref="D512" ca="1">IF(C512="","",SUM(--(_xlfn.UNIQUE(_xlfn._xlws.FILTER($M$2:$M$1011&amp;"",($C$2:$C$1011=C512)*($M$2:$M$1011&lt;&gt;"")))&lt;&gt;"")))</f>
        <v>1</v>
      </c>
      <c r="E512" s="166">
        <f t="shared" ref="E512:E519" ca="1" si="32">SUMIF(C:C, C512, Q:Q)</f>
        <v>5199</v>
      </c>
      <c r="F512" s="143">
        <v>3</v>
      </c>
      <c r="G512" s="143" t="s">
        <v>169</v>
      </c>
      <c r="H512" s="119">
        <f>_xlfn.XLOOKUP(G512,'🚛 FROTA'!B:B,'🚛 FROTA'!A:A,"")</f>
        <v>43</v>
      </c>
      <c r="I512" s="119"/>
      <c r="J512" s="119" t="str">
        <f>IF(G512="","",_xlfn.XLOOKUP(G512,'🚛 FROTA'!B:B,'🚛 FROTA'!E:E,""))</f>
        <v>Express Delivery</v>
      </c>
      <c r="K512" s="119" t="str">
        <f>IF(G512="","",_xlfn.XLOOKUP(G512,'🚛 FROTA'!B:B,'🚛 FROTA'!K:K,""))</f>
        <v>Carroceria</v>
      </c>
      <c r="L512" s="143" t="s">
        <v>552</v>
      </c>
      <c r="M512" s="143" t="s">
        <v>1481</v>
      </c>
      <c r="N512" s="145">
        <v>46162</v>
      </c>
      <c r="O512" s="143">
        <v>2</v>
      </c>
      <c r="P512" s="143">
        <v>3</v>
      </c>
      <c r="Q512" s="167">
        <v>1733</v>
      </c>
      <c r="R512" s="143" t="s">
        <v>554</v>
      </c>
      <c r="S512" s="122" t="s">
        <v>534</v>
      </c>
      <c r="T512" s="120" t="s">
        <v>446</v>
      </c>
      <c r="U512" s="121" t="s">
        <v>555</v>
      </c>
      <c r="V512" s="119" t="s">
        <v>689</v>
      </c>
      <c r="W512" s="119" t="s">
        <v>1400</v>
      </c>
      <c r="X512" s="123" t="s">
        <v>1482</v>
      </c>
      <c r="Y512" s="119"/>
      <c r="Z512" s="124">
        <v>68407</v>
      </c>
      <c r="AA512" s="125"/>
      <c r="AB512" s="126"/>
      <c r="AC512" s="127"/>
      <c r="AD512" s="127"/>
      <c r="AE512" s="127"/>
      <c r="AF512" s="127"/>
      <c r="AG512" s="125"/>
      <c r="AH512" s="128">
        <f t="shared" ref="AH512:AH518" ca="1" si="33">IF(OR(R512="A VISTA", R512="C. CRÉDITO", R512="ADIANTAMENTO"), N512, IF(R512="Faturado", _xlfn.MINIFS(N:N, C:C, C512)-30, ""))</f>
        <v>46102</v>
      </c>
      <c r="AI512" s="129" t="s">
        <v>559</v>
      </c>
      <c r="AJ512" s="129"/>
      <c r="AK512" s="129"/>
      <c r="AL512" s="129"/>
      <c r="AM512" s="129"/>
    </row>
    <row r="513" spans="1:39" ht="18" hidden="1" customHeight="1" x14ac:dyDescent="0.25">
      <c r="A513" s="117">
        <v>512</v>
      </c>
      <c r="B513" s="117"/>
      <c r="C513" s="118" t="s">
        <v>1487</v>
      </c>
      <c r="D513" s="146">
        <f t="array" aca="1" ref="D513" ca="1">IF(C513="","",SUM(--(_xlfn.UNIQUE(_xlfn._xlws.FILTER($M$2:$M$1011&amp;"",($C$2:$C$1011=C513)*($M$2:$M$1011&lt;&gt;"")))&lt;&gt;"")))</f>
        <v>1</v>
      </c>
      <c r="E513" s="166">
        <f t="shared" ca="1" si="32"/>
        <v>1558.98</v>
      </c>
      <c r="F513" s="143">
        <v>1</v>
      </c>
      <c r="G513" s="143" t="s">
        <v>162</v>
      </c>
      <c r="H513" s="119">
        <f>_xlfn.XLOOKUP(G513,'🚛 FROTA'!B:B,'🚛 FROTA'!A:A,"")</f>
        <v>39</v>
      </c>
      <c r="I513" s="119"/>
      <c r="J513" s="119" t="str">
        <f>IF(G513="","",_xlfn.XLOOKUP(G513,'🚛 FROTA'!B:B,'🚛 FROTA'!E:E,""))</f>
        <v>Express Delivery</v>
      </c>
      <c r="K513" s="119" t="str">
        <f>IF(G513="","",_xlfn.XLOOKUP(G513,'🚛 FROTA'!B:B,'🚛 FROTA'!K:K,""))</f>
        <v>Carroceria Cabinado</v>
      </c>
      <c r="L513" s="143" t="s">
        <v>682</v>
      </c>
      <c r="M513" s="143">
        <v>920158</v>
      </c>
      <c r="N513" s="145">
        <v>46163</v>
      </c>
      <c r="O513" s="143">
        <v>2</v>
      </c>
      <c r="P513" s="143">
        <v>3</v>
      </c>
      <c r="Q513" s="167">
        <v>519.66</v>
      </c>
      <c r="R513" s="143" t="s">
        <v>554</v>
      </c>
      <c r="S513" s="122" t="s">
        <v>560</v>
      </c>
      <c r="T513" s="120" t="s">
        <v>446</v>
      </c>
      <c r="U513" s="121" t="s">
        <v>555</v>
      </c>
      <c r="V513" s="119" t="s">
        <v>556</v>
      </c>
      <c r="W513" s="119" t="s">
        <v>1488</v>
      </c>
      <c r="X513" s="123" t="s">
        <v>1489</v>
      </c>
      <c r="Y513" s="119"/>
      <c r="Z513" s="124"/>
      <c r="AA513" s="125"/>
      <c r="AB513" s="125"/>
      <c r="AC513" s="125"/>
      <c r="AD513" s="125"/>
      <c r="AE513" s="125"/>
      <c r="AF513" s="125"/>
      <c r="AG513" s="125"/>
      <c r="AH513" s="128">
        <f t="shared" ca="1" si="33"/>
        <v>46105</v>
      </c>
      <c r="AI513" s="129" t="s">
        <v>686</v>
      </c>
      <c r="AJ513" s="129"/>
      <c r="AK513" s="129"/>
      <c r="AL513" s="129"/>
      <c r="AM513" s="129"/>
    </row>
    <row r="514" spans="1:39" ht="18" hidden="1" customHeight="1" x14ac:dyDescent="0.25">
      <c r="A514" s="117">
        <v>513</v>
      </c>
      <c r="B514" s="117"/>
      <c r="C514" s="118" t="s">
        <v>1386</v>
      </c>
      <c r="D514" s="146">
        <f t="array" aca="1" ref="D514" ca="1">IF(C514="","",SUM(--(_xlfn.UNIQUE(_xlfn._xlws.FILTER($M$2:$M$1011&amp;"",($C$2:$C$1011=C514)*($M$2:$M$1011&lt;&gt;"")))&lt;&gt;"")))</f>
        <v>4</v>
      </c>
      <c r="E514" s="166">
        <f t="shared" ca="1" si="32"/>
        <v>5325.0100000000011</v>
      </c>
      <c r="F514" s="143">
        <v>1</v>
      </c>
      <c r="G514" s="143" t="s">
        <v>162</v>
      </c>
      <c r="H514" s="119">
        <f>_xlfn.XLOOKUP(G514,'🚛 FROTA'!B:B,'🚛 FROTA'!A:A,"")</f>
        <v>39</v>
      </c>
      <c r="I514" s="119"/>
      <c r="J514" s="119" t="str">
        <f>IF(G514="","",_xlfn.XLOOKUP(G514,'🚛 FROTA'!B:B,'🚛 FROTA'!E:E,""))</f>
        <v>Express Delivery</v>
      </c>
      <c r="K514" s="119" t="str">
        <f>IF(G514="","",_xlfn.XLOOKUP(G514,'🚛 FROTA'!B:B,'🚛 FROTA'!K:K,""))</f>
        <v>Carroceria Cabinado</v>
      </c>
      <c r="L514" s="143" t="s">
        <v>1483</v>
      </c>
      <c r="M514" s="143">
        <v>226</v>
      </c>
      <c r="N514" s="145">
        <v>46165</v>
      </c>
      <c r="O514" s="143">
        <v>2</v>
      </c>
      <c r="P514" s="143">
        <v>3</v>
      </c>
      <c r="Q514" s="167">
        <f>323/3</f>
        <v>107.66666666666667</v>
      </c>
      <c r="R514" s="143" t="s">
        <v>554</v>
      </c>
      <c r="S514" s="122" t="s">
        <v>534</v>
      </c>
      <c r="T514" s="120" t="s">
        <v>446</v>
      </c>
      <c r="U514" s="121" t="s">
        <v>555</v>
      </c>
      <c r="V514" s="119" t="s">
        <v>689</v>
      </c>
      <c r="W514" s="119" t="s">
        <v>1486</v>
      </c>
      <c r="X514" s="119" t="s">
        <v>1486</v>
      </c>
      <c r="Y514" s="119"/>
      <c r="Z514" s="124">
        <v>87741</v>
      </c>
      <c r="AA514" s="125"/>
      <c r="AB514" s="126"/>
      <c r="AC514" s="127"/>
      <c r="AD514" s="127"/>
      <c r="AE514" s="127"/>
      <c r="AF514" s="127"/>
      <c r="AG514" s="125"/>
      <c r="AH514" s="128">
        <f t="shared" ca="1" si="33"/>
        <v>46060</v>
      </c>
      <c r="AI514" s="129" t="s">
        <v>1132</v>
      </c>
      <c r="AJ514" s="129"/>
      <c r="AK514" s="129"/>
      <c r="AL514" s="129"/>
      <c r="AM514" s="129"/>
    </row>
    <row r="515" spans="1:39" ht="18" hidden="1" customHeight="1" x14ac:dyDescent="0.25">
      <c r="A515" s="117">
        <v>514</v>
      </c>
      <c r="B515" s="117"/>
      <c r="C515" s="118" t="s">
        <v>1386</v>
      </c>
      <c r="D515" s="146">
        <f t="array" aca="1" ref="D515" ca="1">IF(C515="","",SUM(--(_xlfn.UNIQUE(_xlfn._xlws.FILTER($M$2:$M$1011&amp;"",($C$2:$C$1011=C515)*($M$2:$M$1011&lt;&gt;"")))&lt;&gt;"")))</f>
        <v>4</v>
      </c>
      <c r="E515" s="166">
        <f t="shared" ca="1" si="32"/>
        <v>5325.0100000000011</v>
      </c>
      <c r="F515" s="143">
        <v>1</v>
      </c>
      <c r="G515" s="143" t="s">
        <v>162</v>
      </c>
      <c r="H515" s="119">
        <f>_xlfn.XLOOKUP(G515,'🚛 FROTA'!B:B,'🚛 FROTA'!A:A,"")</f>
        <v>39</v>
      </c>
      <c r="I515" s="119"/>
      <c r="J515" s="119" t="str">
        <f>IF(G515="","",_xlfn.XLOOKUP(G515,'🚛 FROTA'!B:B,'🚛 FROTA'!E:E,""))</f>
        <v>Express Delivery</v>
      </c>
      <c r="K515" s="119" t="str">
        <f>IF(G515="","",_xlfn.XLOOKUP(G515,'🚛 FROTA'!B:B,'🚛 FROTA'!K:K,""))</f>
        <v>Carroceria Cabinado</v>
      </c>
      <c r="L515" s="143" t="s">
        <v>1483</v>
      </c>
      <c r="M515" s="143">
        <v>154</v>
      </c>
      <c r="N515" s="145">
        <v>46165</v>
      </c>
      <c r="O515" s="143">
        <v>2</v>
      </c>
      <c r="P515" s="143">
        <v>3</v>
      </c>
      <c r="Q515" s="167">
        <f>(1250/3)-24.33</f>
        <v>392.3366666666667</v>
      </c>
      <c r="R515" s="143" t="s">
        <v>554</v>
      </c>
      <c r="S515" s="122" t="s">
        <v>560</v>
      </c>
      <c r="T515" s="120" t="s">
        <v>446</v>
      </c>
      <c r="U515" s="121" t="s">
        <v>555</v>
      </c>
      <c r="V515" s="119" t="s">
        <v>689</v>
      </c>
      <c r="W515" s="119" t="s">
        <v>1484</v>
      </c>
      <c r="X515" s="123" t="s">
        <v>1485</v>
      </c>
      <c r="Y515" s="119"/>
      <c r="Z515" s="124">
        <v>87741</v>
      </c>
      <c r="AA515" s="125"/>
      <c r="AB515" s="126"/>
      <c r="AC515" s="127"/>
      <c r="AD515" s="127"/>
      <c r="AE515" s="127"/>
      <c r="AF515" s="127"/>
      <c r="AG515" s="125"/>
      <c r="AH515" s="128">
        <f t="shared" ca="1" si="33"/>
        <v>46060</v>
      </c>
      <c r="AI515" s="129" t="s">
        <v>1132</v>
      </c>
      <c r="AJ515" s="129"/>
      <c r="AK515" s="129"/>
      <c r="AL515" s="129"/>
      <c r="AM515" s="129"/>
    </row>
    <row r="516" spans="1:39" ht="18" hidden="1" customHeight="1" x14ac:dyDescent="0.25">
      <c r="A516" s="117">
        <v>515</v>
      </c>
      <c r="B516" s="117"/>
      <c r="C516" s="118" t="s">
        <v>1359</v>
      </c>
      <c r="D516" s="146">
        <f t="array" aca="1" ref="D516" ca="1">IF(C516="","",SUM(--(_xlfn.UNIQUE(_xlfn._xlws.FILTER($M$2:$M$1011&amp;"",($C$2:$C$1011=C516)*($M$2:$M$1011&lt;&gt;"")))&lt;&gt;"")))</f>
        <v>1</v>
      </c>
      <c r="E516" s="166">
        <f t="shared" ca="1" si="32"/>
        <v>8375</v>
      </c>
      <c r="F516" s="143">
        <v>3</v>
      </c>
      <c r="G516" s="143" t="s">
        <v>166</v>
      </c>
      <c r="H516" s="119">
        <f>_xlfn.XLOOKUP(G516,'🚛 FROTA'!B:B,'🚛 FROTA'!A:A,"")</f>
        <v>41</v>
      </c>
      <c r="I516" s="119"/>
      <c r="J516" s="119" t="str">
        <f>IF(G516="","",_xlfn.XLOOKUP(G516,'🚛 FROTA'!B:B,'🚛 FROTA'!E:E,""))</f>
        <v>Express Delivery</v>
      </c>
      <c r="K516" s="119" t="str">
        <f>IF(G516="","",_xlfn.XLOOKUP(G516,'🚛 FROTA'!B:B,'🚛 FROTA'!K:K,""))</f>
        <v>Carroceria Cabinado</v>
      </c>
      <c r="L516" s="143" t="s">
        <v>876</v>
      </c>
      <c r="M516" s="143">
        <v>58</v>
      </c>
      <c r="N516" s="145">
        <v>46166</v>
      </c>
      <c r="O516" s="143">
        <v>2</v>
      </c>
      <c r="P516" s="143">
        <v>4</v>
      </c>
      <c r="Q516" s="167">
        <v>1675</v>
      </c>
      <c r="R516" s="143" t="s">
        <v>554</v>
      </c>
      <c r="S516" s="122" t="s">
        <v>534</v>
      </c>
      <c r="T516" s="120" t="s">
        <v>446</v>
      </c>
      <c r="U516" s="121" t="s">
        <v>555</v>
      </c>
      <c r="V516" s="119" t="s">
        <v>634</v>
      </c>
      <c r="W516" s="119" t="s">
        <v>1360</v>
      </c>
      <c r="X516" s="123" t="s">
        <v>1361</v>
      </c>
      <c r="Y516" s="119"/>
      <c r="Z516" s="124">
        <v>85050</v>
      </c>
      <c r="AA516" s="125"/>
      <c r="AB516" s="126"/>
      <c r="AC516" s="127"/>
      <c r="AD516" s="127"/>
      <c r="AE516" s="127"/>
      <c r="AF516" s="127"/>
      <c r="AG516" s="125"/>
      <c r="AH516" s="128">
        <f t="shared" ca="1" si="33"/>
        <v>46050</v>
      </c>
      <c r="AI516" s="129" t="s">
        <v>880</v>
      </c>
      <c r="AJ516" s="129"/>
      <c r="AK516" s="129"/>
      <c r="AL516" s="129"/>
      <c r="AM516" s="129"/>
    </row>
    <row r="517" spans="1:39" ht="18" customHeight="1" x14ac:dyDescent="0.25">
      <c r="A517" s="117">
        <v>516</v>
      </c>
      <c r="B517" s="117"/>
      <c r="C517" s="118" t="s">
        <v>1442</v>
      </c>
      <c r="D517" s="146">
        <f t="array" aca="1" ref="D517" ca="1">IF(C517="","",SUM(--(_xlfn.UNIQUE(_xlfn._xlws.FILTER($M$2:$M$1011&amp;"",($C$2:$C$1011=C517)*($M$2:$M$1011&lt;&gt;"")))&lt;&gt;"")))</f>
        <v>1</v>
      </c>
      <c r="E517" s="166">
        <f t="shared" ca="1" si="32"/>
        <v>5960</v>
      </c>
      <c r="F517" s="143">
        <v>3</v>
      </c>
      <c r="G517" s="143" t="s">
        <v>119</v>
      </c>
      <c r="H517" s="119">
        <f>_xlfn.XLOOKUP(G517,'🚛 FROTA'!B:B,'🚛 FROTA'!A:A,"")</f>
        <v>17</v>
      </c>
      <c r="I517" s="119"/>
      <c r="J517" s="119" t="str">
        <f>IF(G517="","",_xlfn.XLOOKUP(G517,'🚛 FROTA'!B:B,'🚛 FROTA'!E:E,""))</f>
        <v>CAT 416F2</v>
      </c>
      <c r="K517" s="119"/>
      <c r="L517" s="143" t="s">
        <v>1443</v>
      </c>
      <c r="M517" s="143" t="s">
        <v>1444</v>
      </c>
      <c r="N517" s="145">
        <v>46167</v>
      </c>
      <c r="O517" s="143">
        <v>3</v>
      </c>
      <c r="P517" s="143">
        <v>4</v>
      </c>
      <c r="Q517" s="167">
        <v>1490</v>
      </c>
      <c r="R517" s="143" t="s">
        <v>554</v>
      </c>
      <c r="S517" s="122" t="s">
        <v>560</v>
      </c>
      <c r="T517" s="120" t="s">
        <v>446</v>
      </c>
      <c r="U517" s="121" t="s">
        <v>555</v>
      </c>
      <c r="V517" s="119" t="s">
        <v>573</v>
      </c>
      <c r="W517" s="119" t="s">
        <v>574</v>
      </c>
      <c r="X517" s="123" t="s">
        <v>1445</v>
      </c>
      <c r="Y517" s="119" t="s">
        <v>576</v>
      </c>
      <c r="Z517" s="124">
        <v>3850</v>
      </c>
      <c r="AA517" s="133" t="s">
        <v>659</v>
      </c>
      <c r="AB517" s="122">
        <v>2</v>
      </c>
      <c r="AC517" s="131" t="s">
        <v>1446</v>
      </c>
      <c r="AD517" s="131" t="s">
        <v>1447</v>
      </c>
      <c r="AE517" s="131" t="s">
        <v>1448</v>
      </c>
      <c r="AF517" s="131" t="s">
        <v>581</v>
      </c>
      <c r="AG517" s="125" t="s">
        <v>582</v>
      </c>
      <c r="AH517" s="128">
        <f t="shared" ca="1" si="33"/>
        <v>46076</v>
      </c>
      <c r="AI517" s="129"/>
      <c r="AJ517" s="129"/>
      <c r="AK517" s="129"/>
      <c r="AL517" s="129"/>
      <c r="AM517" s="129"/>
    </row>
    <row r="518" spans="1:39" ht="18" hidden="1" customHeight="1" x14ac:dyDescent="0.25">
      <c r="A518" s="117">
        <v>517</v>
      </c>
      <c r="B518" s="117"/>
      <c r="C518" s="118" t="s">
        <v>473</v>
      </c>
      <c r="D518" s="146">
        <f t="array" aca="1" ref="D518" ca="1">IF(C518="","",SUM(--(_xlfn.UNIQUE(_xlfn._xlws.FILTER($M$2:$M$1011&amp;"",($C$2:$C$1011=C518)*($M$2:$M$1011&lt;&gt;"")))&lt;&gt;"")))</f>
        <v>2</v>
      </c>
      <c r="E518" s="166">
        <f t="shared" ca="1" si="32"/>
        <v>5322.6900000000005</v>
      </c>
      <c r="F518" s="143">
        <v>1</v>
      </c>
      <c r="G518" s="143" t="s">
        <v>85</v>
      </c>
      <c r="H518" s="119">
        <f>_xlfn.XLOOKUP(G518,'🚛 FROTA'!B:B,'🚛 FROTA'!A:A,"")</f>
        <v>6</v>
      </c>
      <c r="I518" s="119"/>
      <c r="J518" s="119" t="str">
        <f>IF(G518="","",_xlfn.XLOOKUP(G518,'🚛 FROTA'!B:B,'🚛 FROTA'!E:E,""))</f>
        <v>13.180 Constellation</v>
      </c>
      <c r="K518" s="119" t="str">
        <f>IF(G518="","",_xlfn.XLOOKUP(G518,'🚛 FROTA'!B:B,'🚛 FROTA'!K:K,""))</f>
        <v>Munck</v>
      </c>
      <c r="L518" s="143" t="s">
        <v>627</v>
      </c>
      <c r="M518" s="143" t="s">
        <v>1451</v>
      </c>
      <c r="N518" s="145">
        <v>46169</v>
      </c>
      <c r="O518" s="143">
        <v>3</v>
      </c>
      <c r="P518" s="143">
        <v>3</v>
      </c>
      <c r="Q518" s="167">
        <v>1578.96</v>
      </c>
      <c r="R518" s="143" t="s">
        <v>554</v>
      </c>
      <c r="S518" s="122" t="s">
        <v>560</v>
      </c>
      <c r="T518" s="120" t="s">
        <v>446</v>
      </c>
      <c r="U518" s="121" t="s">
        <v>555</v>
      </c>
      <c r="V518" s="119" t="s">
        <v>689</v>
      </c>
      <c r="W518" s="119" t="s">
        <v>1194</v>
      </c>
      <c r="X518" s="123" t="s">
        <v>1452</v>
      </c>
      <c r="Y518" s="119"/>
      <c r="Z518" s="135">
        <v>322800</v>
      </c>
      <c r="AA518" s="125"/>
      <c r="AB518" s="126"/>
      <c r="AC518" s="127"/>
      <c r="AD518" s="127"/>
      <c r="AE518" s="127"/>
      <c r="AF518" s="127"/>
      <c r="AG518" s="125"/>
      <c r="AH518" s="128">
        <f t="shared" ca="1" si="33"/>
        <v>46077</v>
      </c>
      <c r="AI518" s="129" t="s">
        <v>631</v>
      </c>
      <c r="AJ518" s="129"/>
      <c r="AK518" s="129"/>
      <c r="AL518" s="129"/>
      <c r="AM518" s="129"/>
    </row>
    <row r="519" spans="1:39" ht="18" customHeight="1" x14ac:dyDescent="0.25">
      <c r="A519" s="117">
        <v>518</v>
      </c>
      <c r="B519" s="117"/>
      <c r="C519" s="118" t="s">
        <v>1490</v>
      </c>
      <c r="D519" s="146">
        <f t="array" aca="1" ref="D519" ca="1">IF(C519="","",SUM(--(_xlfn.UNIQUE(_xlfn._xlws.FILTER($M$2:$M$1011&amp;"",($C$2:$C$1011=C519)*($M$2:$M$1011&lt;&gt;"")))&lt;&gt;"")))</f>
        <v>1</v>
      </c>
      <c r="E519" s="166">
        <f t="shared" ca="1" si="32"/>
        <v>1900</v>
      </c>
      <c r="F519" s="143">
        <v>1</v>
      </c>
      <c r="G519" s="143" t="s">
        <v>119</v>
      </c>
      <c r="H519" s="119">
        <f>_xlfn.XLOOKUP(G519,'🚛 FROTA'!B:B,'🚛 FROTA'!A:A,"")</f>
        <v>17</v>
      </c>
      <c r="I519" s="119"/>
      <c r="J519" s="119" t="str">
        <f>IF(G519="","",_xlfn.XLOOKUP(G519,'🚛 FROTA'!B:B,'🚛 FROTA'!E:E,""))</f>
        <v>CAT 416F2</v>
      </c>
      <c r="K519" s="119"/>
      <c r="L519" s="143" t="s">
        <v>1491</v>
      </c>
      <c r="M519" s="143">
        <v>13227</v>
      </c>
      <c r="N519" s="145">
        <v>46172</v>
      </c>
      <c r="O519" s="143">
        <v>2</v>
      </c>
      <c r="P519" s="143">
        <v>4</v>
      </c>
      <c r="Q519" s="167">
        <v>475</v>
      </c>
      <c r="R519" s="143" t="s">
        <v>554</v>
      </c>
      <c r="S519" s="122" t="s">
        <v>560</v>
      </c>
      <c r="T519" s="120" t="s">
        <v>446</v>
      </c>
      <c r="U519" s="121" t="s">
        <v>555</v>
      </c>
      <c r="V519" s="119" t="s">
        <v>573</v>
      </c>
      <c r="W519" s="119" t="s">
        <v>574</v>
      </c>
      <c r="X519" s="123" t="s">
        <v>1492</v>
      </c>
      <c r="Y519" s="119" t="s">
        <v>576</v>
      </c>
      <c r="Z519" s="124">
        <v>3962</v>
      </c>
      <c r="AA519" s="122" t="s">
        <v>577</v>
      </c>
      <c r="AB519" s="122">
        <v>2</v>
      </c>
      <c r="AC519" s="131" t="s">
        <v>1493</v>
      </c>
      <c r="AD519" s="131" t="s">
        <v>1494</v>
      </c>
      <c r="AE519" s="131" t="s">
        <v>1495</v>
      </c>
      <c r="AF519" s="131" t="s">
        <v>581</v>
      </c>
      <c r="AG519" s="125" t="s">
        <v>582</v>
      </c>
      <c r="AH519" s="128">
        <f ca="1">IF(OR(R519="A VISTA", R519="C. CRÉDITO", R519="ADIANTAMENTO"), N519, IF(R519="Faturado", _xlfn.MINIFS(N:N, C:C, C519)-23, ""))</f>
        <v>46119</v>
      </c>
      <c r="AI519" s="129"/>
      <c r="AJ519" s="129"/>
      <c r="AK519" s="129"/>
      <c r="AL519" s="129"/>
      <c r="AM519" s="129"/>
    </row>
    <row r="520" spans="1:39" ht="18" hidden="1" customHeight="1" x14ac:dyDescent="0.25">
      <c r="A520" s="117">
        <v>519</v>
      </c>
      <c r="B520" s="117"/>
      <c r="C520" s="136" t="s">
        <v>1504</v>
      </c>
      <c r="D520" s="146">
        <f t="array" aca="1" ref="D520" ca="1">IF(C520="","",SUM(--(_xlfn.UNIQUE(_xlfn._xlws.FILTER($M$2:$M$1011&amp;"",($C$2:$C$1011=C520)*($M$2:$M$1011&lt;&gt;"")))&lt;&gt;"")))</f>
        <v>2</v>
      </c>
      <c r="E520" s="166">
        <f ca="1">IF(C520="", "", SUMIF(C:C, C520, Q:Q))</f>
        <v>3548.55</v>
      </c>
      <c r="F520" s="144">
        <v>3</v>
      </c>
      <c r="G520" s="143" t="s">
        <v>85</v>
      </c>
      <c r="H520" s="119">
        <f>IF(G520="","",_xlfn.XLOOKUP(G520,'🚛 FROTA'!B:B,'🚛 FROTA'!A:A,""))</f>
        <v>6</v>
      </c>
      <c r="I520" s="119"/>
      <c r="J520" s="119" t="str">
        <f>IF(G520="","",_xlfn.XLOOKUP(G520,'🚛 FROTA'!B:B,'🚛 FROTA'!E:E,""))</f>
        <v>13.180 Constellation</v>
      </c>
      <c r="K520" s="119" t="str">
        <f>IF(G520="","",_xlfn.XLOOKUP(G520,'🚛 FROTA'!B:B,'🚛 FROTA'!K:K,""))</f>
        <v>Munck</v>
      </c>
      <c r="L520" s="144" t="s">
        <v>1505</v>
      </c>
      <c r="M520" s="144">
        <v>33860</v>
      </c>
      <c r="N520" s="145">
        <v>46221</v>
      </c>
      <c r="O520" s="144">
        <v>3</v>
      </c>
      <c r="P520" s="144">
        <v>3</v>
      </c>
      <c r="Q520" s="165">
        <v>0</v>
      </c>
      <c r="R520" s="144" t="s">
        <v>554</v>
      </c>
      <c r="S520" s="117" t="s">
        <v>560</v>
      </c>
      <c r="T520" s="141" t="s">
        <v>446</v>
      </c>
      <c r="U520" s="142" t="s">
        <v>555</v>
      </c>
      <c r="V520" s="117" t="s">
        <v>56</v>
      </c>
      <c r="W520" s="117" t="s">
        <v>1506</v>
      </c>
      <c r="X520" s="117" t="s">
        <v>1507</v>
      </c>
      <c r="Y520" s="117"/>
      <c r="Z520" s="137">
        <v>325592</v>
      </c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  <c r="AM520" s="117"/>
    </row>
    <row r="521" spans="1:39" ht="18" hidden="1" customHeight="1" x14ac:dyDescent="0.25">
      <c r="A521" s="117">
        <v>520</v>
      </c>
      <c r="B521" s="117"/>
      <c r="C521" s="136" t="s">
        <v>1504</v>
      </c>
      <c r="D521" s="146">
        <f t="array" aca="1" ref="D521" ca="1">IF(C521="","",SUM(--(_xlfn.UNIQUE(_xlfn._xlws.FILTER($M$2:$M$1011&amp;"",($C$2:$C$1011=C521)*($M$2:$M$1011&lt;&gt;"")))&lt;&gt;"")))</f>
        <v>2</v>
      </c>
      <c r="E521" s="166">
        <f ca="1">IF(C521="", "", SUMIF(C:C, C521, Q:Q))</f>
        <v>3548.55</v>
      </c>
      <c r="F521" s="144">
        <v>3</v>
      </c>
      <c r="G521" s="143" t="s">
        <v>85</v>
      </c>
      <c r="H521" s="119">
        <f>IF(G521="","",_xlfn.XLOOKUP(G521,'🚛 FROTA'!B:B,'🚛 FROTA'!A:A,""))</f>
        <v>6</v>
      </c>
      <c r="I521" s="119"/>
      <c r="J521" s="119" t="str">
        <f>IF(G521="","",_xlfn.XLOOKUP(G521,'🚛 FROTA'!B:B,'🚛 FROTA'!E:E,""))</f>
        <v>13.180 Constellation</v>
      </c>
      <c r="K521" s="119" t="str">
        <f>IF(G521="","",_xlfn.XLOOKUP(G521,'🚛 FROTA'!B:B,'🚛 FROTA'!K:K,""))</f>
        <v>Munck</v>
      </c>
      <c r="L521" s="144" t="s">
        <v>1505</v>
      </c>
      <c r="M521" s="144">
        <v>8844</v>
      </c>
      <c r="N521" s="145">
        <v>46221</v>
      </c>
      <c r="O521" s="144">
        <v>3</v>
      </c>
      <c r="P521" s="144">
        <v>3</v>
      </c>
      <c r="Q521" s="165">
        <v>933</v>
      </c>
      <c r="R521" s="144" t="s">
        <v>554</v>
      </c>
      <c r="S521" s="117" t="s">
        <v>534</v>
      </c>
      <c r="T521" s="141" t="s">
        <v>446</v>
      </c>
      <c r="U521" s="142" t="s">
        <v>555</v>
      </c>
      <c r="V521" s="117" t="s">
        <v>56</v>
      </c>
      <c r="W521" s="117" t="s">
        <v>1508</v>
      </c>
      <c r="X521" s="117" t="s">
        <v>1509</v>
      </c>
      <c r="Y521" s="117"/>
      <c r="Z521" s="137">
        <v>325592</v>
      </c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  <c r="AM521" s="117"/>
    </row>
    <row r="522" spans="1:39" ht="18" hidden="1" customHeight="1" x14ac:dyDescent="0.25">
      <c r="A522" s="117">
        <v>521</v>
      </c>
      <c r="B522" s="117"/>
      <c r="C522" s="118" t="s">
        <v>1453</v>
      </c>
      <c r="D522" s="146">
        <f t="array" aca="1" ref="D522" ca="1">IF(C522="","",SUM(--(_xlfn.UNIQUE(_xlfn._xlws.FILTER($M$2:$M$1011&amp;"",($C$2:$C$1011=C522)*($M$2:$M$1011&lt;&gt;"")))&lt;&gt;"")))</f>
        <v>3</v>
      </c>
      <c r="E522" s="166">
        <f t="shared" ref="E522:E527" ca="1" si="34">SUMIF(C:C, C522, Q:Q)</f>
        <v>4811.04</v>
      </c>
      <c r="F522" s="143">
        <v>1</v>
      </c>
      <c r="G522" s="143" t="s">
        <v>85</v>
      </c>
      <c r="H522" s="119">
        <f>_xlfn.XLOOKUP(G522,'🚛 FROTA'!B:B,'🚛 FROTA'!A:A,"")</f>
        <v>6</v>
      </c>
      <c r="I522" s="119"/>
      <c r="J522" s="119" t="str">
        <f>IF(G522="","",_xlfn.XLOOKUP(G522,'🚛 FROTA'!B:B,'🚛 FROTA'!E:E,""))</f>
        <v>13.180 Constellation</v>
      </c>
      <c r="K522" s="119" t="str">
        <f>IF(G522="","",_xlfn.XLOOKUP(G522,'🚛 FROTA'!B:B,'🚛 FROTA'!K:K,""))</f>
        <v>Munck</v>
      </c>
      <c r="L522" s="143" t="s">
        <v>627</v>
      </c>
      <c r="M522" s="143" t="s">
        <v>1459</v>
      </c>
      <c r="N522" s="145">
        <v>46181</v>
      </c>
      <c r="O522" s="143">
        <v>3</v>
      </c>
      <c r="P522" s="143">
        <v>3</v>
      </c>
      <c r="Q522" s="167">
        <v>1376.29</v>
      </c>
      <c r="R522" s="143" t="s">
        <v>554</v>
      </c>
      <c r="S522" s="122" t="s">
        <v>560</v>
      </c>
      <c r="T522" s="120" t="s">
        <v>446</v>
      </c>
      <c r="U522" s="121" t="s">
        <v>555</v>
      </c>
      <c r="V522" s="119" t="s">
        <v>619</v>
      </c>
      <c r="W522" s="119" t="s">
        <v>1454</v>
      </c>
      <c r="X522" s="123" t="s">
        <v>1455</v>
      </c>
      <c r="Y522" s="119"/>
      <c r="Z522" s="135">
        <v>322800</v>
      </c>
      <c r="AA522" s="125"/>
      <c r="AB522" s="126"/>
      <c r="AC522" s="127"/>
      <c r="AD522" s="127"/>
      <c r="AE522" s="127"/>
      <c r="AF522" s="127"/>
      <c r="AG522" s="125"/>
      <c r="AH522" s="128">
        <f t="shared" ref="AH522:AH527" ca="1" si="35">IF(OR(R522="A VISTA", R522="C. CRÉDITO", R522="ADIANTAMENTO"), N522, IF(R522="Faturado", _xlfn.MINIFS(N:N, C:C, C522)-30, ""))</f>
        <v>46090</v>
      </c>
      <c r="AI522" s="129" t="s">
        <v>631</v>
      </c>
      <c r="AJ522" s="129"/>
      <c r="AK522" s="129"/>
      <c r="AL522" s="129"/>
      <c r="AM522" s="129"/>
    </row>
    <row r="523" spans="1:39" ht="18" hidden="1" customHeight="1" x14ac:dyDescent="0.25">
      <c r="A523" s="117">
        <v>522</v>
      </c>
      <c r="B523" s="117"/>
      <c r="C523" s="118" t="s">
        <v>1410</v>
      </c>
      <c r="D523" s="146">
        <f t="array" aca="1" ref="D523" ca="1">IF(C523="","",SUM(--(_xlfn.UNIQUE(_xlfn._xlws.FILTER($M$2:$M$1011&amp;"",($C$2:$C$1011=C523)*($M$2:$M$1011&lt;&gt;"")))&lt;&gt;"")))</f>
        <v>1</v>
      </c>
      <c r="E523" s="166">
        <f t="shared" ca="1" si="34"/>
        <v>1365.04</v>
      </c>
      <c r="F523" s="143">
        <v>3</v>
      </c>
      <c r="G523" s="143" t="s">
        <v>173</v>
      </c>
      <c r="H523" s="119">
        <f>_xlfn.XLOOKUP(G523,'🚛 FROTA'!B:B,'🚛 FROTA'!A:A,"")</f>
        <v>46</v>
      </c>
      <c r="I523" s="119"/>
      <c r="J523" s="119" t="str">
        <f>IF(G523="","",_xlfn.XLOOKUP(G523,'🚛 FROTA'!B:B,'🚛 FROTA'!E:E,""))</f>
        <v>Express Delivery</v>
      </c>
      <c r="K523" s="119" t="str">
        <f>IF(G523="","",_xlfn.XLOOKUP(G523,'🚛 FROTA'!B:B,'🚛 FROTA'!K:K,""))</f>
        <v>Carroceria</v>
      </c>
      <c r="L523" s="143" t="s">
        <v>552</v>
      </c>
      <c r="M523" s="143" t="s">
        <v>1411</v>
      </c>
      <c r="N523" s="145">
        <v>46184</v>
      </c>
      <c r="O523" s="143">
        <v>2</v>
      </c>
      <c r="P523" s="143">
        <v>4</v>
      </c>
      <c r="Q523" s="167">
        <v>341.26</v>
      </c>
      <c r="R523" s="143" t="s">
        <v>554</v>
      </c>
      <c r="S523" s="122" t="s">
        <v>534</v>
      </c>
      <c r="T523" s="120" t="s">
        <v>446</v>
      </c>
      <c r="U523" s="121" t="s">
        <v>555</v>
      </c>
      <c r="V523" s="119" t="s">
        <v>1412</v>
      </c>
      <c r="W523" s="119" t="s">
        <v>1413</v>
      </c>
      <c r="X523" s="123" t="s">
        <v>1414</v>
      </c>
      <c r="Y523" s="119" t="s">
        <v>1415</v>
      </c>
      <c r="Z523" s="124">
        <v>41227</v>
      </c>
      <c r="AA523" s="125"/>
      <c r="AB523" s="126"/>
      <c r="AC523" s="127"/>
      <c r="AD523" s="127"/>
      <c r="AE523" s="127"/>
      <c r="AF523" s="127"/>
      <c r="AG523" s="125"/>
      <c r="AH523" s="128">
        <f t="shared" ca="1" si="35"/>
        <v>46064</v>
      </c>
      <c r="AI523" s="129" t="s">
        <v>559</v>
      </c>
      <c r="AJ523" s="129"/>
      <c r="AK523" s="129"/>
      <c r="AL523" s="129"/>
      <c r="AM523" s="129"/>
    </row>
    <row r="524" spans="1:39" ht="18" hidden="1" customHeight="1" x14ac:dyDescent="0.25">
      <c r="A524" s="117">
        <v>523</v>
      </c>
      <c r="B524" s="117"/>
      <c r="C524" s="118" t="s">
        <v>1416</v>
      </c>
      <c r="D524" s="146">
        <f t="array" aca="1" ref="D524" ca="1">IF(C524="","",SUM(--(_xlfn.UNIQUE(_xlfn._xlws.FILTER($M$2:$M$1011&amp;"",($C$2:$C$1011=C524)*($M$2:$M$1011&lt;&gt;"")))&lt;&gt;"")))</f>
        <v>1</v>
      </c>
      <c r="E524" s="166">
        <f t="shared" ca="1" si="34"/>
        <v>2299.1999999999998</v>
      </c>
      <c r="F524" s="143">
        <v>3</v>
      </c>
      <c r="G524" s="143" t="s">
        <v>173</v>
      </c>
      <c r="H524" s="119">
        <f>_xlfn.XLOOKUP(G524,'🚛 FROTA'!B:B,'🚛 FROTA'!A:A,"")</f>
        <v>46</v>
      </c>
      <c r="I524" s="119"/>
      <c r="J524" s="119" t="str">
        <f>IF(G524="","",_xlfn.XLOOKUP(G524,'🚛 FROTA'!B:B,'🚛 FROTA'!E:E,""))</f>
        <v>Express Delivery</v>
      </c>
      <c r="K524" s="119" t="str">
        <f>IF(G524="","",_xlfn.XLOOKUP(G524,'🚛 FROTA'!B:B,'🚛 FROTA'!K:K,""))</f>
        <v>Carroceria</v>
      </c>
      <c r="L524" s="143" t="s">
        <v>552</v>
      </c>
      <c r="M524" s="143" t="s">
        <v>1411</v>
      </c>
      <c r="N524" s="145">
        <v>46184</v>
      </c>
      <c r="O524" s="143">
        <v>2</v>
      </c>
      <c r="P524" s="143">
        <v>4</v>
      </c>
      <c r="Q524" s="167">
        <v>574.79999999999995</v>
      </c>
      <c r="R524" s="143" t="s">
        <v>554</v>
      </c>
      <c r="S524" s="122" t="s">
        <v>534</v>
      </c>
      <c r="T524" s="120" t="s">
        <v>446</v>
      </c>
      <c r="U524" s="121" t="s">
        <v>555</v>
      </c>
      <c r="V524" s="119" t="s">
        <v>556</v>
      </c>
      <c r="W524" s="119" t="s">
        <v>1417</v>
      </c>
      <c r="X524" s="123" t="s">
        <v>1418</v>
      </c>
      <c r="Y524" s="119"/>
      <c r="Z524" s="124">
        <v>41227</v>
      </c>
      <c r="AA524" s="125"/>
      <c r="AB524" s="126"/>
      <c r="AC524" s="127"/>
      <c r="AD524" s="127"/>
      <c r="AE524" s="127"/>
      <c r="AF524" s="127"/>
      <c r="AG524" s="125"/>
      <c r="AH524" s="128">
        <f t="shared" ca="1" si="35"/>
        <v>46064</v>
      </c>
      <c r="AI524" s="129" t="s">
        <v>559</v>
      </c>
      <c r="AJ524" s="129"/>
      <c r="AK524" s="129"/>
      <c r="AL524" s="129"/>
      <c r="AM524" s="129"/>
    </row>
    <row r="525" spans="1:39" ht="18" customHeight="1" x14ac:dyDescent="0.25">
      <c r="A525" s="117">
        <v>524</v>
      </c>
      <c r="B525" s="117"/>
      <c r="C525" s="118" t="s">
        <v>1471</v>
      </c>
      <c r="D525" s="146">
        <f t="array" aca="1" ref="D525" ca="1">IF(C525="","",SUM(--(_xlfn.UNIQUE(_xlfn._xlws.FILTER($M$2:$M$1011&amp;"",($C$2:$C$1011=C525)*($M$2:$M$1011&lt;&gt;"")))&lt;&gt;"")))</f>
        <v>1</v>
      </c>
      <c r="E525" s="166">
        <f t="shared" ca="1" si="34"/>
        <v>1504</v>
      </c>
      <c r="F525" s="143">
        <v>1</v>
      </c>
      <c r="G525" s="143" t="s">
        <v>170</v>
      </c>
      <c r="H525" s="119">
        <f>_xlfn.XLOOKUP(G525,'🚛 FROTA'!B:B,'🚛 FROTA'!A:A,"")</f>
        <v>44</v>
      </c>
      <c r="I525" s="119"/>
      <c r="J525" s="119" t="str">
        <f>IF(G525="","",_xlfn.XLOOKUP(G525,'🚛 FROTA'!B:B,'🚛 FROTA'!E:E,""))</f>
        <v>Express Delivery</v>
      </c>
      <c r="K525" s="119" t="str">
        <f>IF(G525="","",_xlfn.XLOOKUP(G525,'🚛 FROTA'!B:B,'🚛 FROTA'!K:K,""))</f>
        <v>Carroceria</v>
      </c>
      <c r="L525" s="143" t="s">
        <v>604</v>
      </c>
      <c r="M525" s="143" t="s">
        <v>1474</v>
      </c>
      <c r="N525" s="145">
        <v>46189</v>
      </c>
      <c r="O525" s="143">
        <v>3</v>
      </c>
      <c r="P525" s="143">
        <v>4</v>
      </c>
      <c r="Q525" s="167">
        <v>376</v>
      </c>
      <c r="R525" s="143" t="s">
        <v>554</v>
      </c>
      <c r="S525" s="122" t="s">
        <v>560</v>
      </c>
      <c r="T525" s="120" t="s">
        <v>446</v>
      </c>
      <c r="U525" s="121" t="s">
        <v>555</v>
      </c>
      <c r="V525" s="119" t="s">
        <v>573</v>
      </c>
      <c r="W525" s="119" t="s">
        <v>574</v>
      </c>
      <c r="X525" s="123" t="s">
        <v>1472</v>
      </c>
      <c r="Y525" s="119" t="s">
        <v>576</v>
      </c>
      <c r="Z525" s="124">
        <v>46031</v>
      </c>
      <c r="AA525" s="133" t="s">
        <v>659</v>
      </c>
      <c r="AB525" s="122">
        <v>2</v>
      </c>
      <c r="AC525" s="131" t="s">
        <v>578</v>
      </c>
      <c r="AD525" s="131" t="s">
        <v>607</v>
      </c>
      <c r="AE525" s="131" t="s">
        <v>608</v>
      </c>
      <c r="AF525" s="131" t="s">
        <v>581</v>
      </c>
      <c r="AG525" s="125" t="s">
        <v>582</v>
      </c>
      <c r="AH525" s="128">
        <f t="shared" ca="1" si="35"/>
        <v>46098</v>
      </c>
      <c r="AI525" s="129" t="s">
        <v>609</v>
      </c>
      <c r="AJ525" s="129"/>
      <c r="AK525" s="129"/>
      <c r="AL525" s="129"/>
      <c r="AM525" s="129"/>
    </row>
    <row r="526" spans="1:39" ht="18" customHeight="1" x14ac:dyDescent="0.25">
      <c r="A526" s="117">
        <v>525</v>
      </c>
      <c r="B526" s="117"/>
      <c r="C526" s="118" t="s">
        <v>1473</v>
      </c>
      <c r="D526" s="146">
        <f t="array" aca="1" ref="D526" ca="1">IF(C526="","",SUM(--(_xlfn.UNIQUE(_xlfn._xlws.FILTER($M$2:$M$1011&amp;"",($C$2:$C$1011=C526)*($M$2:$M$1011&lt;&gt;"")))&lt;&gt;"")))</f>
        <v>1</v>
      </c>
      <c r="E526" s="166">
        <f t="shared" ca="1" si="34"/>
        <v>1504</v>
      </c>
      <c r="F526" s="143">
        <v>1</v>
      </c>
      <c r="G526" s="143" t="s">
        <v>172</v>
      </c>
      <c r="H526" s="119">
        <f>_xlfn.XLOOKUP(G526,'🚛 FROTA'!B:B,'🚛 FROTA'!A:A,"")</f>
        <v>45</v>
      </c>
      <c r="I526" s="119"/>
      <c r="J526" s="119" t="str">
        <f>IF(G526="","",_xlfn.XLOOKUP(G526,'🚛 FROTA'!B:B,'🚛 FROTA'!E:E,""))</f>
        <v>Express Delivery</v>
      </c>
      <c r="K526" s="119" t="str">
        <f>IF(G526="","",_xlfn.XLOOKUP(G526,'🚛 FROTA'!B:B,'🚛 FROTA'!K:K,""))</f>
        <v>Carroceria</v>
      </c>
      <c r="L526" s="143" t="s">
        <v>604</v>
      </c>
      <c r="M526" s="143" t="s">
        <v>1474</v>
      </c>
      <c r="N526" s="145">
        <v>46189</v>
      </c>
      <c r="O526" s="143">
        <v>3</v>
      </c>
      <c r="P526" s="143">
        <v>4</v>
      </c>
      <c r="Q526" s="167">
        <v>376</v>
      </c>
      <c r="R526" s="143" t="s">
        <v>554</v>
      </c>
      <c r="S526" s="122" t="s">
        <v>560</v>
      </c>
      <c r="T526" s="120" t="s">
        <v>446</v>
      </c>
      <c r="U526" s="121" t="s">
        <v>555</v>
      </c>
      <c r="V526" s="119" t="s">
        <v>573</v>
      </c>
      <c r="W526" s="119" t="s">
        <v>574</v>
      </c>
      <c r="X526" s="123" t="s">
        <v>1472</v>
      </c>
      <c r="Y526" s="119" t="s">
        <v>576</v>
      </c>
      <c r="Z526" s="124">
        <v>50792</v>
      </c>
      <c r="AA526" s="133" t="s">
        <v>659</v>
      </c>
      <c r="AB526" s="122">
        <v>2</v>
      </c>
      <c r="AC526" s="131" t="s">
        <v>578</v>
      </c>
      <c r="AD526" s="131" t="s">
        <v>607</v>
      </c>
      <c r="AE526" s="131" t="s">
        <v>608</v>
      </c>
      <c r="AF526" s="131" t="s">
        <v>581</v>
      </c>
      <c r="AG526" s="125" t="s">
        <v>582</v>
      </c>
      <c r="AH526" s="128">
        <f t="shared" ca="1" si="35"/>
        <v>46098</v>
      </c>
      <c r="AI526" s="129" t="s">
        <v>609</v>
      </c>
      <c r="AJ526" s="129"/>
      <c r="AK526" s="129"/>
      <c r="AL526" s="129"/>
      <c r="AM526" s="129"/>
    </row>
    <row r="527" spans="1:39" ht="18" customHeight="1" x14ac:dyDescent="0.25">
      <c r="A527" s="117">
        <v>526</v>
      </c>
      <c r="B527" s="117"/>
      <c r="C527" s="118" t="s">
        <v>1475</v>
      </c>
      <c r="D527" s="146">
        <f t="array" aca="1" ref="D527" ca="1">IF(C527="","",SUM(--(_xlfn.UNIQUE(_xlfn._xlws.FILTER($M$2:$M$1011&amp;"",($C$2:$C$1011=C527)*($M$2:$M$1011&lt;&gt;"")))&lt;&gt;"")))</f>
        <v>1</v>
      </c>
      <c r="E527" s="166">
        <f t="shared" ca="1" si="34"/>
        <v>1504</v>
      </c>
      <c r="F527" s="143">
        <v>1</v>
      </c>
      <c r="G527" s="143" t="s">
        <v>165</v>
      </c>
      <c r="H527" s="119">
        <f>_xlfn.XLOOKUP(G527,'🚛 FROTA'!B:B,'🚛 FROTA'!A:A,"")</f>
        <v>40</v>
      </c>
      <c r="I527" s="119"/>
      <c r="J527" s="119" t="str">
        <f>IF(G527="","",_xlfn.XLOOKUP(G527,'🚛 FROTA'!B:B,'🚛 FROTA'!E:E,""))</f>
        <v>Express Delivery</v>
      </c>
      <c r="K527" s="119" t="str">
        <f>IF(G527="","",_xlfn.XLOOKUP(G527,'🚛 FROTA'!B:B,'🚛 FROTA'!K:K,""))</f>
        <v>Carroceria Cabinado</v>
      </c>
      <c r="L527" s="143" t="s">
        <v>604</v>
      </c>
      <c r="M527" s="143" t="s">
        <v>1474</v>
      </c>
      <c r="N527" s="145">
        <v>46189</v>
      </c>
      <c r="O527" s="143">
        <v>3</v>
      </c>
      <c r="P527" s="143">
        <v>4</v>
      </c>
      <c r="Q527" s="167">
        <v>376</v>
      </c>
      <c r="R527" s="143" t="s">
        <v>554</v>
      </c>
      <c r="S527" s="122" t="s">
        <v>560</v>
      </c>
      <c r="T527" s="120" t="s">
        <v>446</v>
      </c>
      <c r="U527" s="121" t="s">
        <v>555</v>
      </c>
      <c r="V527" s="119" t="s">
        <v>573</v>
      </c>
      <c r="W527" s="119" t="s">
        <v>574</v>
      </c>
      <c r="X527" s="123" t="s">
        <v>1472</v>
      </c>
      <c r="Y527" s="119" t="s">
        <v>576</v>
      </c>
      <c r="Z527" s="124">
        <v>60227</v>
      </c>
      <c r="AA527" s="133" t="s">
        <v>659</v>
      </c>
      <c r="AB527" s="122">
        <v>2</v>
      </c>
      <c r="AC527" s="131" t="s">
        <v>578</v>
      </c>
      <c r="AD527" s="131" t="s">
        <v>607</v>
      </c>
      <c r="AE527" s="131" t="s">
        <v>608</v>
      </c>
      <c r="AF527" s="131" t="s">
        <v>581</v>
      </c>
      <c r="AG527" s="125" t="s">
        <v>582</v>
      </c>
      <c r="AH527" s="128">
        <f t="shared" ca="1" si="35"/>
        <v>46098</v>
      </c>
      <c r="AI527" s="129" t="s">
        <v>609</v>
      </c>
      <c r="AJ527" s="129"/>
      <c r="AK527" s="129"/>
      <c r="AL527" s="129"/>
      <c r="AM527" s="129"/>
    </row>
    <row r="528" spans="1:39" ht="18" hidden="1" customHeight="1" x14ac:dyDescent="0.25">
      <c r="A528" s="117">
        <v>527</v>
      </c>
      <c r="B528" s="117"/>
      <c r="C528" s="136" t="s">
        <v>1510</v>
      </c>
      <c r="D528" s="146">
        <f t="array" aca="1" ref="D528" ca="1">IF(C528="","",SUM(--(_xlfn.UNIQUE(_xlfn._xlws.FILTER($M$2:$M$1011&amp;"",($C$2:$C$1011=C528)*($M$2:$M$1011&lt;&gt;"")))&lt;&gt;"")))</f>
        <v>1</v>
      </c>
      <c r="E528" s="166">
        <f ca="1">IF(C528="", "", SUMIF(C:C, C528, Q:Q))</f>
        <v>3148</v>
      </c>
      <c r="F528" s="144">
        <v>3</v>
      </c>
      <c r="G528" s="143" t="s">
        <v>155</v>
      </c>
      <c r="H528" s="119">
        <f>IF(G528="","",_xlfn.XLOOKUP(G528,'🚛 FROTA'!B:B,'🚛 FROTA'!A:A,""))</f>
        <v>34</v>
      </c>
      <c r="I528" s="119"/>
      <c r="J528" s="119" t="str">
        <f>IF(G528="","",_xlfn.XLOOKUP(G528,'🚛 FROTA'!B:B,'🚛 FROTA'!E:E,""))</f>
        <v>9.170 Delivery</v>
      </c>
      <c r="K528" s="119" t="str">
        <f>IF(G528="","",_xlfn.XLOOKUP(G528,'🚛 FROTA'!B:B,'🚛 FROTA'!K:K,""))</f>
        <v>Basculante</v>
      </c>
      <c r="L528" s="144" t="s">
        <v>1511</v>
      </c>
      <c r="M528" s="144">
        <v>2919</v>
      </c>
      <c r="N528" s="145">
        <v>46191</v>
      </c>
      <c r="O528" s="144">
        <v>2</v>
      </c>
      <c r="P528" s="144">
        <v>2</v>
      </c>
      <c r="Q528" s="165">
        <v>1574</v>
      </c>
      <c r="R528" s="144" t="s">
        <v>554</v>
      </c>
      <c r="S528" s="122" t="s">
        <v>534</v>
      </c>
      <c r="T528" s="120" t="s">
        <v>446</v>
      </c>
      <c r="U528" s="121" t="s">
        <v>555</v>
      </c>
      <c r="V528" s="117" t="s">
        <v>1412</v>
      </c>
      <c r="W528" s="117" t="s">
        <v>1512</v>
      </c>
      <c r="X528" s="117" t="s">
        <v>1513</v>
      </c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  <c r="AM528" s="117"/>
    </row>
    <row r="529" spans="1:39" ht="18" hidden="1" customHeight="1" x14ac:dyDescent="0.25">
      <c r="A529" s="117">
        <v>528</v>
      </c>
      <c r="B529" s="117"/>
      <c r="C529" s="118" t="s">
        <v>1487</v>
      </c>
      <c r="D529" s="146">
        <f t="array" aca="1" ref="D529" ca="1">IF(C529="","",SUM(--(_xlfn.UNIQUE(_xlfn._xlws.FILTER($M$2:$M$1011&amp;"",($C$2:$C$1011=C529)*($M$2:$M$1011&lt;&gt;"")))&lt;&gt;"")))</f>
        <v>1</v>
      </c>
      <c r="E529" s="166">
        <f t="shared" ref="E529:E541" ca="1" si="36">SUMIF(C:C, C529, Q:Q)</f>
        <v>1558.98</v>
      </c>
      <c r="F529" s="143">
        <v>1</v>
      </c>
      <c r="G529" s="143" t="s">
        <v>162</v>
      </c>
      <c r="H529" s="119">
        <f>_xlfn.XLOOKUP(G529,'🚛 FROTA'!B:B,'🚛 FROTA'!A:A,"")</f>
        <v>39</v>
      </c>
      <c r="I529" s="119"/>
      <c r="J529" s="119" t="str">
        <f>IF(G529="","",_xlfn.XLOOKUP(G529,'🚛 FROTA'!B:B,'🚛 FROTA'!E:E,""))</f>
        <v>Express Delivery</v>
      </c>
      <c r="K529" s="119" t="str">
        <f>IF(G529="","",_xlfn.XLOOKUP(G529,'🚛 FROTA'!B:B,'🚛 FROTA'!K:K,""))</f>
        <v>Carroceria Cabinado</v>
      </c>
      <c r="L529" s="143" t="s">
        <v>682</v>
      </c>
      <c r="M529" s="143">
        <v>920158</v>
      </c>
      <c r="N529" s="145">
        <v>46191</v>
      </c>
      <c r="O529" s="143">
        <v>3</v>
      </c>
      <c r="P529" s="143">
        <v>3</v>
      </c>
      <c r="Q529" s="167">
        <v>519.66</v>
      </c>
      <c r="R529" s="143" t="s">
        <v>554</v>
      </c>
      <c r="S529" s="122" t="s">
        <v>560</v>
      </c>
      <c r="T529" s="120" t="s">
        <v>446</v>
      </c>
      <c r="U529" s="121" t="s">
        <v>555</v>
      </c>
      <c r="V529" s="119" t="s">
        <v>556</v>
      </c>
      <c r="W529" s="119" t="s">
        <v>1488</v>
      </c>
      <c r="X529" s="123" t="s">
        <v>1489</v>
      </c>
      <c r="Y529" s="119"/>
      <c r="Z529" s="124"/>
      <c r="AA529" s="125"/>
      <c r="AB529" s="125"/>
      <c r="AC529" s="125"/>
      <c r="AD529" s="125"/>
      <c r="AE529" s="125"/>
      <c r="AF529" s="125"/>
      <c r="AG529" s="125"/>
      <c r="AH529" s="128">
        <f t="shared" ref="AH529:AH537" ca="1" si="37">IF(OR(R529="A VISTA", R529="C. CRÉDITO", R529="ADIANTAMENTO"), N529, IF(R529="Faturado", _xlfn.MINIFS(N:N, C:C, C529)-30, ""))</f>
        <v>46105</v>
      </c>
      <c r="AI529" s="129" t="s">
        <v>686</v>
      </c>
      <c r="AJ529" s="129"/>
      <c r="AK529" s="129"/>
      <c r="AL529" s="129"/>
      <c r="AM529" s="129"/>
    </row>
    <row r="530" spans="1:39" ht="18" hidden="1" customHeight="1" x14ac:dyDescent="0.25">
      <c r="A530" s="117">
        <v>529</v>
      </c>
      <c r="B530" s="117"/>
      <c r="C530" s="118" t="s">
        <v>1514</v>
      </c>
      <c r="D530" s="146">
        <f t="array" aca="1" ref="D530" ca="1">SUM(--(_xlfn.UNIQUE(_xlfn._xlws.FILTER($M$2:$M$1011 &amp; "", ($C$2:$C$1011 = C530) * ($M$2:$M$1011 &lt;&gt; ""))) &lt;&gt; ""))</f>
        <v>1</v>
      </c>
      <c r="E530" s="166">
        <f t="shared" ca="1" si="36"/>
        <v>8820</v>
      </c>
      <c r="F530" s="143">
        <v>3</v>
      </c>
      <c r="G530" s="143" t="s">
        <v>85</v>
      </c>
      <c r="H530" s="119">
        <f>_xlfn.XLOOKUP(G530,'🚛 FROTA'!B:B,'🚛 FROTA'!A:A,"")</f>
        <v>6</v>
      </c>
      <c r="I530" s="119"/>
      <c r="J530" s="119" t="str">
        <f>IF(G530="","",_xlfn.XLOOKUP(G530,'🚛 FROTA'!B:B,'🚛 FROTA'!E:E,""))</f>
        <v>13.180 Constellation</v>
      </c>
      <c r="K530" s="119" t="str">
        <f>IF(G530="","",_xlfn.XLOOKUP(G530,'🚛 FROTA'!B:B,'🚛 FROTA'!K:K,""))</f>
        <v>Munck</v>
      </c>
      <c r="L530" s="143" t="s">
        <v>876</v>
      </c>
      <c r="M530" s="143" t="s">
        <v>1515</v>
      </c>
      <c r="N530" s="145">
        <v>46096</v>
      </c>
      <c r="O530" s="143">
        <v>1</v>
      </c>
      <c r="P530" s="143">
        <v>3</v>
      </c>
      <c r="Q530" s="167">
        <v>2940</v>
      </c>
      <c r="R530" s="143" t="s">
        <v>554</v>
      </c>
      <c r="S530" s="122" t="s">
        <v>534</v>
      </c>
      <c r="T530" s="120" t="s">
        <v>522</v>
      </c>
      <c r="U530" s="121" t="s">
        <v>555</v>
      </c>
      <c r="V530" s="119" t="s">
        <v>689</v>
      </c>
      <c r="W530" s="119" t="s">
        <v>1516</v>
      </c>
      <c r="X530" s="123" t="s">
        <v>1517</v>
      </c>
      <c r="Y530" s="119"/>
      <c r="Z530" s="130"/>
      <c r="AA530" s="125"/>
      <c r="AB530" s="126"/>
      <c r="AC530" s="127"/>
      <c r="AD530" s="127"/>
      <c r="AE530" s="127"/>
      <c r="AF530" s="127"/>
      <c r="AG530" s="125"/>
      <c r="AH530" s="128">
        <f t="shared" ca="1" si="37"/>
        <v>46066</v>
      </c>
      <c r="AI530" s="129" t="s">
        <v>880</v>
      </c>
      <c r="AJ530" s="129"/>
      <c r="AK530" s="129"/>
      <c r="AL530" s="129"/>
      <c r="AM530" s="129"/>
    </row>
    <row r="531" spans="1:39" ht="18" hidden="1" customHeight="1" x14ac:dyDescent="0.25">
      <c r="A531" s="117">
        <v>530</v>
      </c>
      <c r="B531" s="117"/>
      <c r="C531" s="118" t="s">
        <v>1514</v>
      </c>
      <c r="D531" s="146">
        <f t="array" aca="1" ref="D531" ca="1">IF(C531="","",SUM(--(_xlfn.UNIQUE(_xlfn._xlws.FILTER($M$2:$M$1011&amp;"",($C$2:$C$1011=C531)*($M$2:$M$1011&lt;&gt;"")))&lt;&gt;"")))</f>
        <v>1</v>
      </c>
      <c r="E531" s="166">
        <f t="shared" ca="1" si="36"/>
        <v>8820</v>
      </c>
      <c r="F531" s="143">
        <v>3</v>
      </c>
      <c r="G531" s="143" t="s">
        <v>85</v>
      </c>
      <c r="H531" s="119">
        <f>_xlfn.XLOOKUP(G531,'🚛 FROTA'!B:B,'🚛 FROTA'!A:A,"")</f>
        <v>6</v>
      </c>
      <c r="I531" s="119"/>
      <c r="J531" s="119" t="str">
        <f>IF(G531="","",_xlfn.XLOOKUP(G531,'🚛 FROTA'!B:B,'🚛 FROTA'!E:E,""))</f>
        <v>13.180 Constellation</v>
      </c>
      <c r="K531" s="119" t="str">
        <f>IF(G531="","",_xlfn.XLOOKUP(G531,'🚛 FROTA'!B:B,'🚛 FROTA'!K:K,""))</f>
        <v>Munck</v>
      </c>
      <c r="L531" s="143" t="s">
        <v>876</v>
      </c>
      <c r="M531" s="143" t="s">
        <v>1515</v>
      </c>
      <c r="N531" s="145">
        <v>46127</v>
      </c>
      <c r="O531" s="143">
        <v>2</v>
      </c>
      <c r="P531" s="143">
        <v>3</v>
      </c>
      <c r="Q531" s="167">
        <v>2940</v>
      </c>
      <c r="R531" s="143" t="s">
        <v>554</v>
      </c>
      <c r="S531" s="122" t="s">
        <v>534</v>
      </c>
      <c r="T531" s="120" t="s">
        <v>522</v>
      </c>
      <c r="U531" s="121" t="s">
        <v>555</v>
      </c>
      <c r="V531" s="119" t="s">
        <v>689</v>
      </c>
      <c r="W531" s="119" t="s">
        <v>1516</v>
      </c>
      <c r="X531" s="123" t="s">
        <v>1517</v>
      </c>
      <c r="Y531" s="119"/>
      <c r="Z531" s="135">
        <v>322800</v>
      </c>
      <c r="AA531" s="125"/>
      <c r="AB531" s="126"/>
      <c r="AC531" s="127"/>
      <c r="AD531" s="127"/>
      <c r="AE531" s="127"/>
      <c r="AF531" s="127"/>
      <c r="AG531" s="125"/>
      <c r="AH531" s="128">
        <f t="shared" ca="1" si="37"/>
        <v>46066</v>
      </c>
      <c r="AI531" s="129" t="s">
        <v>880</v>
      </c>
      <c r="AJ531" s="129"/>
      <c r="AK531" s="129"/>
      <c r="AL531" s="129"/>
      <c r="AM531" s="129"/>
    </row>
    <row r="532" spans="1:39" ht="18" hidden="1" customHeight="1" x14ac:dyDescent="0.25">
      <c r="A532" s="117">
        <v>531</v>
      </c>
      <c r="B532" s="117"/>
      <c r="C532" s="118" t="s">
        <v>1480</v>
      </c>
      <c r="D532" s="146">
        <f t="array" aca="1" ref="D532" ca="1">IF(C532="","",SUM(--(_xlfn.UNIQUE(_xlfn._xlws.FILTER($M$2:$M$1011&amp;"",($C$2:$C$1011=C532)*($M$2:$M$1011&lt;&gt;"")))&lt;&gt;"")))</f>
        <v>1</v>
      </c>
      <c r="E532" s="166">
        <f t="shared" ca="1" si="36"/>
        <v>5199</v>
      </c>
      <c r="F532" s="143">
        <v>3</v>
      </c>
      <c r="G532" s="143" t="s">
        <v>169</v>
      </c>
      <c r="H532" s="119">
        <f>_xlfn.XLOOKUP(G532,'🚛 FROTA'!B:B,'🚛 FROTA'!A:A,"")</f>
        <v>43</v>
      </c>
      <c r="I532" s="119"/>
      <c r="J532" s="119" t="str">
        <f>IF(G532="","",_xlfn.XLOOKUP(G532,'🚛 FROTA'!B:B,'🚛 FROTA'!E:E,""))</f>
        <v>Express Delivery</v>
      </c>
      <c r="K532" s="119" t="str">
        <f>IF(G532="","",_xlfn.XLOOKUP(G532,'🚛 FROTA'!B:B,'🚛 FROTA'!K:K,""))</f>
        <v>Carroceria</v>
      </c>
      <c r="L532" s="143" t="s">
        <v>552</v>
      </c>
      <c r="M532" s="143" t="s">
        <v>1481</v>
      </c>
      <c r="N532" s="145">
        <v>46193</v>
      </c>
      <c r="O532" s="143">
        <v>3</v>
      </c>
      <c r="P532" s="143">
        <v>3</v>
      </c>
      <c r="Q532" s="167">
        <v>1733</v>
      </c>
      <c r="R532" s="143" t="s">
        <v>554</v>
      </c>
      <c r="S532" s="122" t="s">
        <v>534</v>
      </c>
      <c r="T532" s="120" t="s">
        <v>446</v>
      </c>
      <c r="U532" s="121" t="s">
        <v>555</v>
      </c>
      <c r="V532" s="119" t="s">
        <v>689</v>
      </c>
      <c r="W532" s="119" t="s">
        <v>1400</v>
      </c>
      <c r="X532" s="123" t="s">
        <v>1482</v>
      </c>
      <c r="Y532" s="119"/>
      <c r="Z532" s="124">
        <v>68407</v>
      </c>
      <c r="AA532" s="125"/>
      <c r="AB532" s="126"/>
      <c r="AC532" s="127"/>
      <c r="AD532" s="127"/>
      <c r="AE532" s="127"/>
      <c r="AF532" s="127"/>
      <c r="AG532" s="125"/>
      <c r="AH532" s="128">
        <f t="shared" ca="1" si="37"/>
        <v>46102</v>
      </c>
      <c r="AI532" s="129" t="s">
        <v>559</v>
      </c>
      <c r="AJ532" s="129"/>
      <c r="AK532" s="129"/>
      <c r="AL532" s="129"/>
      <c r="AM532" s="129"/>
    </row>
    <row r="533" spans="1:39" ht="18" hidden="1" customHeight="1" x14ac:dyDescent="0.25">
      <c r="A533" s="117">
        <v>532</v>
      </c>
      <c r="B533" s="117"/>
      <c r="C533" s="118" t="s">
        <v>1386</v>
      </c>
      <c r="D533" s="146">
        <f t="array" aca="1" ref="D533" ca="1">IF(C533="","",SUM(--(_xlfn.UNIQUE(_xlfn._xlws.FILTER($M$2:$M$1011&amp;"",($C$2:$C$1011=C533)*($M$2:$M$1011&lt;&gt;"")))&lt;&gt;"")))</f>
        <v>4</v>
      </c>
      <c r="E533" s="166">
        <f t="shared" ca="1" si="36"/>
        <v>5325.0100000000011</v>
      </c>
      <c r="F533" s="143">
        <v>1</v>
      </c>
      <c r="G533" s="143" t="s">
        <v>162</v>
      </c>
      <c r="H533" s="119">
        <f>_xlfn.XLOOKUP(G533,'🚛 FROTA'!B:B,'🚛 FROTA'!A:A,"")</f>
        <v>39</v>
      </c>
      <c r="I533" s="119"/>
      <c r="J533" s="119" t="str">
        <f>IF(G533="","",_xlfn.XLOOKUP(G533,'🚛 FROTA'!B:B,'🚛 FROTA'!E:E,""))</f>
        <v>Express Delivery</v>
      </c>
      <c r="K533" s="119" t="str">
        <f>IF(G533="","",_xlfn.XLOOKUP(G533,'🚛 FROTA'!B:B,'🚛 FROTA'!K:K,""))</f>
        <v>Carroceria Cabinado</v>
      </c>
      <c r="L533" s="143" t="s">
        <v>1483</v>
      </c>
      <c r="M533" s="143">
        <v>226</v>
      </c>
      <c r="N533" s="145">
        <v>46196</v>
      </c>
      <c r="O533" s="143">
        <v>3</v>
      </c>
      <c r="P533" s="143">
        <v>3</v>
      </c>
      <c r="Q533" s="167">
        <f>323/3</f>
        <v>107.66666666666667</v>
      </c>
      <c r="R533" s="143" t="s">
        <v>554</v>
      </c>
      <c r="S533" s="122" t="s">
        <v>534</v>
      </c>
      <c r="T533" s="120" t="s">
        <v>446</v>
      </c>
      <c r="U533" s="121" t="s">
        <v>555</v>
      </c>
      <c r="V533" s="119" t="s">
        <v>689</v>
      </c>
      <c r="W533" s="119" t="s">
        <v>1486</v>
      </c>
      <c r="X533" s="119" t="s">
        <v>1486</v>
      </c>
      <c r="Y533" s="119"/>
      <c r="Z533" s="124">
        <v>87741</v>
      </c>
      <c r="AA533" s="125"/>
      <c r="AB533" s="126"/>
      <c r="AC533" s="127"/>
      <c r="AD533" s="127"/>
      <c r="AE533" s="127"/>
      <c r="AF533" s="127"/>
      <c r="AG533" s="125"/>
      <c r="AH533" s="128">
        <f t="shared" ca="1" si="37"/>
        <v>46060</v>
      </c>
      <c r="AI533" s="129" t="s">
        <v>1132</v>
      </c>
      <c r="AJ533" s="129"/>
      <c r="AK533" s="129"/>
      <c r="AL533" s="129"/>
      <c r="AM533" s="129"/>
    </row>
    <row r="534" spans="1:39" ht="18" hidden="1" customHeight="1" x14ac:dyDescent="0.25">
      <c r="A534" s="117">
        <v>533</v>
      </c>
      <c r="B534" s="117"/>
      <c r="C534" s="118" t="s">
        <v>1386</v>
      </c>
      <c r="D534" s="146">
        <f t="array" aca="1" ref="D534" ca="1">IF(C534="","",SUM(--(_xlfn.UNIQUE(_xlfn._xlws.FILTER($M$2:$M$1011&amp;"",($C$2:$C$1011=C534)*($M$2:$M$1011&lt;&gt;"")))&lt;&gt;"")))</f>
        <v>4</v>
      </c>
      <c r="E534" s="166">
        <f t="shared" ca="1" si="36"/>
        <v>5325.0100000000011</v>
      </c>
      <c r="F534" s="143">
        <v>1</v>
      </c>
      <c r="G534" s="143" t="s">
        <v>162</v>
      </c>
      <c r="H534" s="119">
        <f>_xlfn.XLOOKUP(G534,'🚛 FROTA'!B:B,'🚛 FROTA'!A:A,"")</f>
        <v>39</v>
      </c>
      <c r="I534" s="119"/>
      <c r="J534" s="119" t="str">
        <f>IF(G534="","",_xlfn.XLOOKUP(G534,'🚛 FROTA'!B:B,'🚛 FROTA'!E:E,""))</f>
        <v>Express Delivery</v>
      </c>
      <c r="K534" s="119" t="str">
        <f>IF(G534="","",_xlfn.XLOOKUP(G534,'🚛 FROTA'!B:B,'🚛 FROTA'!K:K,""))</f>
        <v>Carroceria Cabinado</v>
      </c>
      <c r="L534" s="143" t="s">
        <v>1483</v>
      </c>
      <c r="M534" s="143">
        <v>154</v>
      </c>
      <c r="N534" s="145">
        <v>46196</v>
      </c>
      <c r="O534" s="143">
        <v>3</v>
      </c>
      <c r="P534" s="143">
        <v>3</v>
      </c>
      <c r="Q534" s="167">
        <f>(1250/3)-24.33</f>
        <v>392.3366666666667</v>
      </c>
      <c r="R534" s="143" t="s">
        <v>554</v>
      </c>
      <c r="S534" s="122" t="s">
        <v>560</v>
      </c>
      <c r="T534" s="120" t="s">
        <v>446</v>
      </c>
      <c r="U534" s="121" t="s">
        <v>555</v>
      </c>
      <c r="V534" s="119" t="s">
        <v>689</v>
      </c>
      <c r="W534" s="119" t="s">
        <v>1484</v>
      </c>
      <c r="X534" s="123" t="s">
        <v>1485</v>
      </c>
      <c r="Y534" s="119"/>
      <c r="Z534" s="124">
        <v>87741</v>
      </c>
      <c r="AA534" s="125"/>
      <c r="AB534" s="126"/>
      <c r="AC534" s="127"/>
      <c r="AD534" s="127"/>
      <c r="AE534" s="127"/>
      <c r="AF534" s="127"/>
      <c r="AG534" s="125"/>
      <c r="AH534" s="128">
        <f t="shared" ca="1" si="37"/>
        <v>46060</v>
      </c>
      <c r="AI534" s="129" t="s">
        <v>1132</v>
      </c>
      <c r="AJ534" s="129"/>
      <c r="AK534" s="129"/>
      <c r="AL534" s="129"/>
      <c r="AM534" s="129"/>
    </row>
    <row r="535" spans="1:39" ht="18" hidden="1" customHeight="1" x14ac:dyDescent="0.25">
      <c r="A535" s="117">
        <v>534</v>
      </c>
      <c r="B535" s="117"/>
      <c r="C535" s="118" t="s">
        <v>1359</v>
      </c>
      <c r="D535" s="146">
        <f t="array" aca="1" ref="D535" ca="1">IF(C535="","",SUM(--(_xlfn.UNIQUE(_xlfn._xlws.FILTER($M$2:$M$1011&amp;"",($C$2:$C$1011=C535)*($M$2:$M$1011&lt;&gt;"")))&lt;&gt;"")))</f>
        <v>1</v>
      </c>
      <c r="E535" s="166">
        <f t="shared" ca="1" si="36"/>
        <v>8375</v>
      </c>
      <c r="F535" s="143">
        <v>3</v>
      </c>
      <c r="G535" s="143" t="s">
        <v>166</v>
      </c>
      <c r="H535" s="119">
        <f>_xlfn.XLOOKUP(G535,'🚛 FROTA'!B:B,'🚛 FROTA'!A:A,"")</f>
        <v>41</v>
      </c>
      <c r="I535" s="119"/>
      <c r="J535" s="119" t="str">
        <f>IF(G535="","",_xlfn.XLOOKUP(G535,'🚛 FROTA'!B:B,'🚛 FROTA'!E:E,""))</f>
        <v>Express Delivery</v>
      </c>
      <c r="K535" s="119" t="str">
        <f>IF(G535="","",_xlfn.XLOOKUP(G535,'🚛 FROTA'!B:B,'🚛 FROTA'!K:K,""))</f>
        <v>Carroceria Cabinado</v>
      </c>
      <c r="L535" s="143" t="s">
        <v>876</v>
      </c>
      <c r="M535" s="143">
        <v>58</v>
      </c>
      <c r="N535" s="145">
        <v>46197</v>
      </c>
      <c r="O535" s="143">
        <v>3</v>
      </c>
      <c r="P535" s="143">
        <v>4</v>
      </c>
      <c r="Q535" s="167">
        <v>1675</v>
      </c>
      <c r="R535" s="143" t="s">
        <v>554</v>
      </c>
      <c r="S535" s="122" t="s">
        <v>534</v>
      </c>
      <c r="T535" s="120" t="s">
        <v>446</v>
      </c>
      <c r="U535" s="121" t="s">
        <v>555</v>
      </c>
      <c r="V535" s="119" t="s">
        <v>634</v>
      </c>
      <c r="W535" s="119" t="s">
        <v>1360</v>
      </c>
      <c r="X535" s="123" t="s">
        <v>1361</v>
      </c>
      <c r="Y535" s="119"/>
      <c r="Z535" s="124">
        <v>85050</v>
      </c>
      <c r="AA535" s="125"/>
      <c r="AB535" s="126"/>
      <c r="AC535" s="127"/>
      <c r="AD535" s="127"/>
      <c r="AE535" s="127"/>
      <c r="AF535" s="127"/>
      <c r="AG535" s="125"/>
      <c r="AH535" s="128">
        <f t="shared" ca="1" si="37"/>
        <v>46050</v>
      </c>
      <c r="AI535" s="129" t="s">
        <v>880</v>
      </c>
      <c r="AJ535" s="129"/>
      <c r="AK535" s="129"/>
      <c r="AL535" s="129"/>
      <c r="AM535" s="129"/>
    </row>
    <row r="536" spans="1:39" ht="18" customHeight="1" x14ac:dyDescent="0.25">
      <c r="A536" s="117">
        <v>535</v>
      </c>
      <c r="B536" s="117"/>
      <c r="C536" s="118" t="s">
        <v>1442</v>
      </c>
      <c r="D536" s="146">
        <f t="array" aca="1" ref="D536" ca="1">IF(C536="","",SUM(--(_xlfn.UNIQUE(_xlfn._xlws.FILTER($M$2:$M$1011&amp;"",($C$2:$C$1011=C536)*($M$2:$M$1011&lt;&gt;"")))&lt;&gt;"")))</f>
        <v>1</v>
      </c>
      <c r="E536" s="166">
        <f t="shared" ca="1" si="36"/>
        <v>5960</v>
      </c>
      <c r="F536" s="143">
        <v>3</v>
      </c>
      <c r="G536" s="143" t="s">
        <v>119</v>
      </c>
      <c r="H536" s="119">
        <f>_xlfn.XLOOKUP(G536,'🚛 FROTA'!B:B,'🚛 FROTA'!A:A,"")</f>
        <v>17</v>
      </c>
      <c r="I536" s="119"/>
      <c r="J536" s="119" t="str">
        <f>IF(G536="","",_xlfn.XLOOKUP(G536,'🚛 FROTA'!B:B,'🚛 FROTA'!E:E,""))</f>
        <v>CAT 416F2</v>
      </c>
      <c r="K536" s="119"/>
      <c r="L536" s="143" t="s">
        <v>1443</v>
      </c>
      <c r="M536" s="143" t="s">
        <v>1444</v>
      </c>
      <c r="N536" s="145">
        <v>46198</v>
      </c>
      <c r="O536" s="143">
        <v>4</v>
      </c>
      <c r="P536" s="143">
        <v>4</v>
      </c>
      <c r="Q536" s="167">
        <v>1490</v>
      </c>
      <c r="R536" s="143" t="s">
        <v>554</v>
      </c>
      <c r="S536" s="122" t="s">
        <v>560</v>
      </c>
      <c r="T536" s="120" t="s">
        <v>446</v>
      </c>
      <c r="U536" s="121" t="s">
        <v>555</v>
      </c>
      <c r="V536" s="119" t="s">
        <v>573</v>
      </c>
      <c r="W536" s="119" t="s">
        <v>574</v>
      </c>
      <c r="X536" s="123" t="s">
        <v>1445</v>
      </c>
      <c r="Y536" s="119" t="s">
        <v>576</v>
      </c>
      <c r="Z536" s="124">
        <v>3850</v>
      </c>
      <c r="AA536" s="133" t="s">
        <v>659</v>
      </c>
      <c r="AB536" s="122">
        <v>2</v>
      </c>
      <c r="AC536" s="131" t="s">
        <v>1446</v>
      </c>
      <c r="AD536" s="131" t="s">
        <v>1447</v>
      </c>
      <c r="AE536" s="131" t="s">
        <v>1448</v>
      </c>
      <c r="AF536" s="131" t="s">
        <v>581</v>
      </c>
      <c r="AG536" s="125" t="s">
        <v>582</v>
      </c>
      <c r="AH536" s="128">
        <f t="shared" ca="1" si="37"/>
        <v>46076</v>
      </c>
      <c r="AI536" s="129"/>
      <c r="AJ536" s="129"/>
      <c r="AK536" s="129"/>
      <c r="AL536" s="129"/>
      <c r="AM536" s="129"/>
    </row>
    <row r="537" spans="1:39" ht="18" hidden="1" customHeight="1" x14ac:dyDescent="0.25">
      <c r="A537" s="117">
        <v>536</v>
      </c>
      <c r="B537" s="117"/>
      <c r="C537" s="118" t="s">
        <v>1514</v>
      </c>
      <c r="D537" s="146">
        <f t="array" aca="1" ref="D537" ca="1">IF(C537="","",SUM(--(_xlfn.UNIQUE(_xlfn._xlws.FILTER($M$2:$M$1011&amp;"",($C$2:$C$1011=C537)*($M$2:$M$1011&lt;&gt;"")))&lt;&gt;"")))</f>
        <v>1</v>
      </c>
      <c r="E537" s="166">
        <f t="shared" ca="1" si="36"/>
        <v>8820</v>
      </c>
      <c r="F537" s="143">
        <v>3</v>
      </c>
      <c r="G537" s="143" t="s">
        <v>85</v>
      </c>
      <c r="H537" s="119">
        <f>_xlfn.XLOOKUP(G537,'🚛 FROTA'!B:B,'🚛 FROTA'!A:A,"")</f>
        <v>6</v>
      </c>
      <c r="I537" s="119"/>
      <c r="J537" s="119" t="str">
        <f>IF(G537="","",_xlfn.XLOOKUP(G537,'🚛 FROTA'!B:B,'🚛 FROTA'!E:E,""))</f>
        <v>13.180 Constellation</v>
      </c>
      <c r="K537" s="119" t="str">
        <f>IF(G537="","",_xlfn.XLOOKUP(G537,'🚛 FROTA'!B:B,'🚛 FROTA'!K:K,""))</f>
        <v>Munck</v>
      </c>
      <c r="L537" s="143" t="s">
        <v>876</v>
      </c>
      <c r="M537" s="143" t="s">
        <v>1515</v>
      </c>
      <c r="N537" s="145">
        <v>46157</v>
      </c>
      <c r="O537" s="143">
        <v>3</v>
      </c>
      <c r="P537" s="143">
        <v>3</v>
      </c>
      <c r="Q537" s="167">
        <v>2940</v>
      </c>
      <c r="R537" s="143" t="s">
        <v>554</v>
      </c>
      <c r="S537" s="122" t="s">
        <v>534</v>
      </c>
      <c r="T537" s="120" t="s">
        <v>446</v>
      </c>
      <c r="U537" s="121" t="s">
        <v>555</v>
      </c>
      <c r="V537" s="119" t="s">
        <v>689</v>
      </c>
      <c r="W537" s="119" t="s">
        <v>1516</v>
      </c>
      <c r="X537" s="123" t="s">
        <v>1517</v>
      </c>
      <c r="Y537" s="119"/>
      <c r="Z537" s="135">
        <v>322800</v>
      </c>
      <c r="AA537" s="125"/>
      <c r="AB537" s="126"/>
      <c r="AC537" s="127"/>
      <c r="AD537" s="127"/>
      <c r="AE537" s="127"/>
      <c r="AF537" s="127"/>
      <c r="AG537" s="125"/>
      <c r="AH537" s="128">
        <f t="shared" ca="1" si="37"/>
        <v>46066</v>
      </c>
      <c r="AI537" s="129" t="s">
        <v>880</v>
      </c>
      <c r="AJ537" s="129"/>
      <c r="AK537" s="129"/>
      <c r="AL537" s="129"/>
      <c r="AM537" s="129"/>
    </row>
    <row r="538" spans="1:39" ht="18" customHeight="1" x14ac:dyDescent="0.25">
      <c r="A538" s="117">
        <v>537</v>
      </c>
      <c r="B538" s="117"/>
      <c r="C538" s="118" t="s">
        <v>1490</v>
      </c>
      <c r="D538" s="146">
        <f t="array" aca="1" ref="D538" ca="1">IF(C538="","",SUM(--(_xlfn.UNIQUE(_xlfn._xlws.FILTER($M$2:$M$1011&amp;"",($C$2:$C$1011=C538)*($M$2:$M$1011&lt;&gt;"")))&lt;&gt;"")))</f>
        <v>1</v>
      </c>
      <c r="E538" s="166">
        <f t="shared" ca="1" si="36"/>
        <v>1900</v>
      </c>
      <c r="F538" s="143">
        <v>1</v>
      </c>
      <c r="G538" s="143" t="s">
        <v>119</v>
      </c>
      <c r="H538" s="119">
        <f>_xlfn.XLOOKUP(G538,'🚛 FROTA'!B:B,'🚛 FROTA'!A:A,"")</f>
        <v>17</v>
      </c>
      <c r="I538" s="119"/>
      <c r="J538" s="119" t="str">
        <f>IF(G538="","",_xlfn.XLOOKUP(G538,'🚛 FROTA'!B:B,'🚛 FROTA'!E:E,""))</f>
        <v>CAT 416F2</v>
      </c>
      <c r="K538" s="119"/>
      <c r="L538" s="143" t="s">
        <v>1518</v>
      </c>
      <c r="M538" s="143">
        <v>13227</v>
      </c>
      <c r="N538" s="145">
        <v>46203</v>
      </c>
      <c r="O538" s="143">
        <v>3</v>
      </c>
      <c r="P538" s="143">
        <v>4</v>
      </c>
      <c r="Q538" s="167">
        <v>475</v>
      </c>
      <c r="R538" s="143" t="s">
        <v>554</v>
      </c>
      <c r="S538" s="122" t="s">
        <v>560</v>
      </c>
      <c r="T538" s="120" t="s">
        <v>446</v>
      </c>
      <c r="U538" s="121" t="s">
        <v>555</v>
      </c>
      <c r="V538" s="119" t="s">
        <v>573</v>
      </c>
      <c r="W538" s="119" t="s">
        <v>574</v>
      </c>
      <c r="X538" s="123" t="s">
        <v>1492</v>
      </c>
      <c r="Y538" s="119" t="s">
        <v>576</v>
      </c>
      <c r="Z538" s="124">
        <v>3962</v>
      </c>
      <c r="AA538" s="122" t="s">
        <v>577</v>
      </c>
      <c r="AB538" s="122">
        <v>2</v>
      </c>
      <c r="AC538" s="131" t="s">
        <v>1493</v>
      </c>
      <c r="AD538" s="131" t="s">
        <v>1494</v>
      </c>
      <c r="AE538" s="131" t="s">
        <v>1495</v>
      </c>
      <c r="AF538" s="131" t="s">
        <v>581</v>
      </c>
      <c r="AG538" s="125" t="s">
        <v>582</v>
      </c>
      <c r="AH538" s="128">
        <f ca="1">IF(OR(R538="A VISTA", R538="C. CRÉDITO", R538="ADIANTAMENTO"), N538, IF(R538="Faturado", _xlfn.MINIFS(N:N, C:C, C538)-23, ""))</f>
        <v>46119</v>
      </c>
      <c r="AI538" s="129"/>
      <c r="AJ538" s="129"/>
      <c r="AK538" s="129"/>
      <c r="AL538" s="129"/>
      <c r="AM538" s="129"/>
    </row>
    <row r="539" spans="1:39" ht="18" customHeight="1" x14ac:dyDescent="0.25">
      <c r="A539" s="117">
        <v>538</v>
      </c>
      <c r="B539" s="117"/>
      <c r="C539" s="118" t="s">
        <v>1471</v>
      </c>
      <c r="D539" s="146">
        <f t="array" aca="1" ref="D539" ca="1">IF(C539="","",SUM(--(_xlfn.UNIQUE(_xlfn._xlws.FILTER($M$2:$M$1011&amp;"",($C$2:$C$1011=C539)*($M$2:$M$1011&lt;&gt;"")))&lt;&gt;"")))</f>
        <v>1</v>
      </c>
      <c r="E539" s="166">
        <f t="shared" ca="1" si="36"/>
        <v>1504</v>
      </c>
      <c r="F539" s="143">
        <v>1</v>
      </c>
      <c r="G539" s="143" t="s">
        <v>170</v>
      </c>
      <c r="H539" s="119">
        <f>_xlfn.XLOOKUP(G539,'🚛 FROTA'!B:B,'🚛 FROTA'!A:A,"")</f>
        <v>44</v>
      </c>
      <c r="I539" s="119"/>
      <c r="J539" s="119" t="str">
        <f>IF(G539="","",_xlfn.XLOOKUP(G539,'🚛 FROTA'!B:B,'🚛 FROTA'!E:E,""))</f>
        <v>Express Delivery</v>
      </c>
      <c r="K539" s="119" t="str">
        <f>IF(G539="","",_xlfn.XLOOKUP(G539,'🚛 FROTA'!B:B,'🚛 FROTA'!K:K,""))</f>
        <v>Carroceria</v>
      </c>
      <c r="L539" s="143" t="s">
        <v>604</v>
      </c>
      <c r="M539" s="143" t="s">
        <v>1474</v>
      </c>
      <c r="N539" s="145">
        <v>46219</v>
      </c>
      <c r="O539" s="143">
        <v>4</v>
      </c>
      <c r="P539" s="143">
        <v>4</v>
      </c>
      <c r="Q539" s="167">
        <v>376</v>
      </c>
      <c r="R539" s="143" t="s">
        <v>554</v>
      </c>
      <c r="S539" s="122" t="s">
        <v>560</v>
      </c>
      <c r="T539" s="120" t="s">
        <v>446</v>
      </c>
      <c r="U539" s="121" t="s">
        <v>555</v>
      </c>
      <c r="V539" s="119" t="s">
        <v>573</v>
      </c>
      <c r="W539" s="119" t="s">
        <v>574</v>
      </c>
      <c r="X539" s="123" t="s">
        <v>1472</v>
      </c>
      <c r="Y539" s="119" t="s">
        <v>576</v>
      </c>
      <c r="Z539" s="124">
        <v>46031</v>
      </c>
      <c r="AA539" s="133" t="s">
        <v>659</v>
      </c>
      <c r="AB539" s="122">
        <v>2</v>
      </c>
      <c r="AC539" s="131" t="s">
        <v>578</v>
      </c>
      <c r="AD539" s="131" t="s">
        <v>607</v>
      </c>
      <c r="AE539" s="131" t="s">
        <v>608</v>
      </c>
      <c r="AF539" s="131" t="s">
        <v>581</v>
      </c>
      <c r="AG539" s="125" t="s">
        <v>582</v>
      </c>
      <c r="AH539" s="128">
        <f ca="1">IF(OR(R539="A VISTA", R539="C. CRÉDITO", R539="ADIANTAMENTO"), N539, IF(R539="Faturado", _xlfn.MINIFS(N:N, C:C, C539)-30, ""))</f>
        <v>46098</v>
      </c>
      <c r="AI539" s="129" t="s">
        <v>609</v>
      </c>
      <c r="AJ539" s="129"/>
      <c r="AK539" s="129"/>
      <c r="AL539" s="129"/>
      <c r="AM539" s="129"/>
    </row>
    <row r="540" spans="1:39" ht="18" customHeight="1" x14ac:dyDescent="0.25">
      <c r="A540" s="117">
        <v>539</v>
      </c>
      <c r="B540" s="117"/>
      <c r="C540" s="118" t="s">
        <v>1473</v>
      </c>
      <c r="D540" s="146">
        <f t="array" aca="1" ref="D540" ca="1">IF(C540="","",SUM(--(_xlfn.UNIQUE(_xlfn._xlws.FILTER($M$2:$M$1011&amp;"",($C$2:$C$1011=C540)*($M$2:$M$1011&lt;&gt;"")))&lt;&gt;"")))</f>
        <v>1</v>
      </c>
      <c r="E540" s="166">
        <f t="shared" ca="1" si="36"/>
        <v>1504</v>
      </c>
      <c r="F540" s="143">
        <v>1</v>
      </c>
      <c r="G540" s="143" t="s">
        <v>172</v>
      </c>
      <c r="H540" s="119">
        <f>_xlfn.XLOOKUP(G540,'🚛 FROTA'!B:B,'🚛 FROTA'!A:A,"")</f>
        <v>45</v>
      </c>
      <c r="I540" s="119"/>
      <c r="J540" s="119" t="str">
        <f>IF(G540="","",_xlfn.XLOOKUP(G540,'🚛 FROTA'!B:B,'🚛 FROTA'!E:E,""))</f>
        <v>Express Delivery</v>
      </c>
      <c r="K540" s="119" t="str">
        <f>IF(G540="","",_xlfn.XLOOKUP(G540,'🚛 FROTA'!B:B,'🚛 FROTA'!K:K,""))</f>
        <v>Carroceria</v>
      </c>
      <c r="L540" s="143" t="s">
        <v>604</v>
      </c>
      <c r="M540" s="143" t="s">
        <v>1474</v>
      </c>
      <c r="N540" s="145">
        <v>46219</v>
      </c>
      <c r="O540" s="143">
        <v>4</v>
      </c>
      <c r="P540" s="143">
        <v>4</v>
      </c>
      <c r="Q540" s="167">
        <v>376</v>
      </c>
      <c r="R540" s="143" t="s">
        <v>554</v>
      </c>
      <c r="S540" s="122" t="s">
        <v>560</v>
      </c>
      <c r="T540" s="120" t="s">
        <v>446</v>
      </c>
      <c r="U540" s="121" t="s">
        <v>555</v>
      </c>
      <c r="V540" s="119" t="s">
        <v>573</v>
      </c>
      <c r="W540" s="119" t="s">
        <v>574</v>
      </c>
      <c r="X540" s="123" t="s">
        <v>1472</v>
      </c>
      <c r="Y540" s="119" t="s">
        <v>576</v>
      </c>
      <c r="Z540" s="124">
        <v>50792</v>
      </c>
      <c r="AA540" s="133" t="s">
        <v>659</v>
      </c>
      <c r="AB540" s="122">
        <v>2</v>
      </c>
      <c r="AC540" s="131" t="s">
        <v>578</v>
      </c>
      <c r="AD540" s="131" t="s">
        <v>607</v>
      </c>
      <c r="AE540" s="131" t="s">
        <v>608</v>
      </c>
      <c r="AF540" s="131" t="s">
        <v>581</v>
      </c>
      <c r="AG540" s="125" t="s">
        <v>582</v>
      </c>
      <c r="AH540" s="128">
        <f ca="1">IF(OR(R540="A VISTA", R540="C. CRÉDITO", R540="ADIANTAMENTO"), N540, IF(R540="Faturado", _xlfn.MINIFS(N:N, C:C, C540)-30, ""))</f>
        <v>46098</v>
      </c>
      <c r="AI540" s="129" t="s">
        <v>609</v>
      </c>
      <c r="AJ540" s="129"/>
      <c r="AK540" s="129"/>
      <c r="AL540" s="129"/>
      <c r="AM540" s="129"/>
    </row>
    <row r="541" spans="1:39" ht="18" customHeight="1" x14ac:dyDescent="0.25">
      <c r="A541" s="117">
        <v>540</v>
      </c>
      <c r="B541" s="117"/>
      <c r="C541" s="118" t="s">
        <v>1475</v>
      </c>
      <c r="D541" s="146">
        <f t="array" aca="1" ref="D541" ca="1">IF(C541="","",SUM(--(_xlfn.UNIQUE(_xlfn._xlws.FILTER($M$2:$M$1011&amp;"",($C$2:$C$1011=C541)*($M$2:$M$1011&lt;&gt;"")))&lt;&gt;"")))</f>
        <v>1</v>
      </c>
      <c r="E541" s="166">
        <f t="shared" ca="1" si="36"/>
        <v>1504</v>
      </c>
      <c r="F541" s="143">
        <v>1</v>
      </c>
      <c r="G541" s="143" t="s">
        <v>165</v>
      </c>
      <c r="H541" s="119">
        <f>_xlfn.XLOOKUP(G541,'🚛 FROTA'!B:B,'🚛 FROTA'!A:A,"")</f>
        <v>40</v>
      </c>
      <c r="I541" s="119"/>
      <c r="J541" s="119" t="str">
        <f>IF(G541="","",_xlfn.XLOOKUP(G541,'🚛 FROTA'!B:B,'🚛 FROTA'!E:E,""))</f>
        <v>Express Delivery</v>
      </c>
      <c r="K541" s="119" t="str">
        <f>IF(G541="","",_xlfn.XLOOKUP(G541,'🚛 FROTA'!B:B,'🚛 FROTA'!K:K,""))</f>
        <v>Carroceria Cabinado</v>
      </c>
      <c r="L541" s="143" t="s">
        <v>604</v>
      </c>
      <c r="M541" s="143" t="s">
        <v>1474</v>
      </c>
      <c r="N541" s="145">
        <v>46219</v>
      </c>
      <c r="O541" s="143">
        <v>4</v>
      </c>
      <c r="P541" s="143">
        <v>4</v>
      </c>
      <c r="Q541" s="167">
        <v>376</v>
      </c>
      <c r="R541" s="143" t="s">
        <v>554</v>
      </c>
      <c r="S541" s="122" t="s">
        <v>560</v>
      </c>
      <c r="T541" s="120" t="s">
        <v>446</v>
      </c>
      <c r="U541" s="121" t="s">
        <v>555</v>
      </c>
      <c r="V541" s="119" t="s">
        <v>573</v>
      </c>
      <c r="W541" s="119" t="s">
        <v>574</v>
      </c>
      <c r="X541" s="123" t="s">
        <v>1472</v>
      </c>
      <c r="Y541" s="119" t="s">
        <v>576</v>
      </c>
      <c r="Z541" s="124">
        <v>60227</v>
      </c>
      <c r="AA541" s="133" t="s">
        <v>659</v>
      </c>
      <c r="AB541" s="122">
        <v>2</v>
      </c>
      <c r="AC541" s="131" t="s">
        <v>578</v>
      </c>
      <c r="AD541" s="131" t="s">
        <v>607</v>
      </c>
      <c r="AE541" s="131" t="s">
        <v>608</v>
      </c>
      <c r="AF541" s="131" t="s">
        <v>581</v>
      </c>
      <c r="AG541" s="125" t="s">
        <v>582</v>
      </c>
      <c r="AH541" s="128">
        <f ca="1">IF(OR(R541="A VISTA", R541="C. CRÉDITO", R541="ADIANTAMENTO"), N541, IF(R541="Faturado", _xlfn.MINIFS(N:N, C:C, C541)-30, ""))</f>
        <v>46098</v>
      </c>
      <c r="AI541" s="129" t="s">
        <v>609</v>
      </c>
      <c r="AJ541" s="129"/>
      <c r="AK541" s="129"/>
      <c r="AL541" s="129"/>
      <c r="AM541" s="129"/>
    </row>
    <row r="542" spans="1:39" ht="18" hidden="1" customHeight="1" x14ac:dyDescent="0.25">
      <c r="A542" s="117">
        <v>541</v>
      </c>
      <c r="B542" s="117" t="s">
        <v>1496</v>
      </c>
      <c r="C542" s="136" t="str">
        <f t="array" aca="1" ref="C542" ca="1">IF(F542="", "", IF(B542&lt;&gt;"x", C541, "OS-" &amp; YEAR(TODAY()) &amp; "-" &amp; TEXT(MAX(IFERROR(VALUE(RIGHT($C$1:C541, 4)), 0)) + 1, "0000")))</f>
        <v>OS-2026-0198</v>
      </c>
      <c r="D542" s="146">
        <f t="array" aca="1" ref="D542" ca="1">IF(C542="","",SUM(--(_xlfn.UNIQUE(_xlfn._xlws.FILTER($M$2:$M$1011&amp;"",($C$2:$C$1011=C542)*($M$2:$M$1011&lt;&gt;"")))&lt;&gt;"")))</f>
        <v>1</v>
      </c>
      <c r="E542" s="166">
        <f ca="1">IF(C542="", "", SUMIF(C:C, C542, Q:Q))</f>
        <v>300</v>
      </c>
      <c r="F542" s="144">
        <v>3</v>
      </c>
      <c r="G542" s="143" t="s">
        <v>166</v>
      </c>
      <c r="H542" s="119">
        <f>IF(G542="","",_xlfn.XLOOKUP(G542,'🚛 FROTA'!B:B,'🚛 FROTA'!A:A,""))</f>
        <v>41</v>
      </c>
      <c r="I542" s="119"/>
      <c r="J542" s="119" t="str">
        <f>IF(G542="","",_xlfn.XLOOKUP(G542,'🚛 FROTA'!B:B,'🚛 FROTA'!E:E,""))</f>
        <v>Express Delivery</v>
      </c>
      <c r="K542" s="119" t="str">
        <f>IF(G542="","",_xlfn.XLOOKUP(G542,'🚛 FROTA'!B:B,'🚛 FROTA'!K:K,""))</f>
        <v>Carroceria Cabinado</v>
      </c>
      <c r="L542" s="143" t="s">
        <v>1255</v>
      </c>
      <c r="M542" s="144">
        <v>41</v>
      </c>
      <c r="N542" s="145">
        <v>46125</v>
      </c>
      <c r="O542" s="144">
        <v>1</v>
      </c>
      <c r="P542" s="144">
        <v>1</v>
      </c>
      <c r="Q542" s="165">
        <v>300</v>
      </c>
      <c r="R542" s="144" t="s">
        <v>554</v>
      </c>
      <c r="S542" s="122" t="s">
        <v>534</v>
      </c>
      <c r="T542" s="120" t="s">
        <v>522</v>
      </c>
      <c r="U542" s="121" t="s">
        <v>555</v>
      </c>
      <c r="V542" s="117" t="s">
        <v>568</v>
      </c>
      <c r="W542" s="117" t="s">
        <v>1519</v>
      </c>
      <c r="X542" s="117" t="s">
        <v>1520</v>
      </c>
      <c r="Y542" s="117"/>
      <c r="Z542" s="137">
        <v>89928</v>
      </c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  <c r="AM542" s="117"/>
    </row>
    <row r="543" spans="1:39" ht="18" hidden="1" customHeight="1" x14ac:dyDescent="0.25">
      <c r="A543" s="117">
        <v>542</v>
      </c>
      <c r="B543" s="117" t="s">
        <v>1496</v>
      </c>
      <c r="C543" s="136" t="str">
        <f t="array" aca="1" ref="C543" ca="1">IF(F543="", "", IF(B543&lt;&gt;"x", C542, "OS-" &amp; YEAR(TODAY()) &amp; "-" &amp; TEXT(MAX(IFERROR(VALUE(RIGHT($C$1:C542, 4)), 0)) + 1, "0000")))</f>
        <v>OS-2026-0199</v>
      </c>
      <c r="D543" s="146">
        <f t="array" aca="1" ref="D543" ca="1">IF(C543="","",SUM(--(_xlfn.UNIQUE(_xlfn._xlws.FILTER($M$2:$M$1011&amp;"",($C$2:$C$1011=C543)*($M$2:$M$1011&lt;&gt;"")))&lt;&gt;"")))</f>
        <v>1</v>
      </c>
      <c r="E543" s="166">
        <f ca="1">IF(C543="", "", SUMIF(C:C, C543, Q:Q))</f>
        <v>170</v>
      </c>
      <c r="F543" s="144">
        <v>3</v>
      </c>
      <c r="G543" s="143" t="s">
        <v>119</v>
      </c>
      <c r="H543" s="119">
        <f>IF(G543="","",_xlfn.XLOOKUP(G543,'🚛 FROTA'!B:B,'🚛 FROTA'!A:A,""))</f>
        <v>17</v>
      </c>
      <c r="I543" s="119"/>
      <c r="J543" s="119" t="str">
        <f>IF(G543="","",_xlfn.XLOOKUP(G543,'🚛 FROTA'!B:B,'🚛 FROTA'!E:E,""))</f>
        <v>CAT 416F2</v>
      </c>
      <c r="K543" s="119">
        <f>IF(G543="","",_xlfn.XLOOKUP(G543,'🚛 FROTA'!B:B,'🚛 FROTA'!K:K,""))</f>
        <v>0</v>
      </c>
      <c r="L543" s="144" t="s">
        <v>1521</v>
      </c>
      <c r="M543" s="144">
        <v>50</v>
      </c>
      <c r="N543" s="145">
        <v>46129</v>
      </c>
      <c r="O543" s="144">
        <v>1</v>
      </c>
      <c r="P543" s="144">
        <v>1</v>
      </c>
      <c r="Q543" s="165">
        <v>170</v>
      </c>
      <c r="R543" s="144" t="s">
        <v>554</v>
      </c>
      <c r="S543" s="122" t="s">
        <v>534</v>
      </c>
      <c r="T543" s="120" t="s">
        <v>446</v>
      </c>
      <c r="U543" s="121" t="s">
        <v>555</v>
      </c>
      <c r="V543" s="119" t="s">
        <v>573</v>
      </c>
      <c r="W543" s="117" t="s">
        <v>1522</v>
      </c>
      <c r="X543" s="117" t="s">
        <v>1523</v>
      </c>
      <c r="Y543" s="119" t="s">
        <v>576</v>
      </c>
      <c r="Z543" s="124">
        <v>3962</v>
      </c>
      <c r="AA543" s="122" t="s">
        <v>577</v>
      </c>
      <c r="AB543" s="122">
        <v>2</v>
      </c>
      <c r="AC543" s="131" t="s">
        <v>613</v>
      </c>
      <c r="AD543" s="131"/>
      <c r="AE543" s="131" t="s">
        <v>1352</v>
      </c>
      <c r="AF543" s="131"/>
      <c r="AG543" s="125" t="s">
        <v>587</v>
      </c>
      <c r="AH543" s="128">
        <f ca="1">IF(OR(R543="A VISTA", R543="C. CRÉDITO", R543="ADIANTAMENTO"), N543, IF(R543="Faturado", _xlfn.MINIFS(N:N, C:C, C543)-30, ""))</f>
        <v>46099</v>
      </c>
      <c r="AI543" s="117"/>
      <c r="AJ543" s="117"/>
      <c r="AK543" s="117"/>
      <c r="AL543" s="117"/>
      <c r="AM543" s="117"/>
    </row>
    <row r="544" spans="1:39" ht="18" hidden="1" customHeight="1" x14ac:dyDescent="0.25">
      <c r="A544" s="117">
        <v>543</v>
      </c>
      <c r="B544" s="117"/>
      <c r="C544" s="118" t="s">
        <v>1359</v>
      </c>
      <c r="D544" s="146">
        <f t="array" aca="1" ref="D544" ca="1">IF(C544="","",SUM(--(_xlfn.UNIQUE(_xlfn._xlws.FILTER($M$2:$M$1011&amp;"",($C$2:$C$1011=C544)*($M$2:$M$1011&lt;&gt;"")))&lt;&gt;"")))</f>
        <v>1</v>
      </c>
      <c r="E544" s="166">
        <f ca="1">SUMIF(C:C, C544, Q:Q)</f>
        <v>8375</v>
      </c>
      <c r="F544" s="143">
        <v>3</v>
      </c>
      <c r="G544" s="143" t="s">
        <v>166</v>
      </c>
      <c r="H544" s="119">
        <f>_xlfn.XLOOKUP(G544,'🚛 FROTA'!B:B,'🚛 FROTA'!A:A,"")</f>
        <v>41</v>
      </c>
      <c r="I544" s="119"/>
      <c r="J544" s="119" t="str">
        <f>IF(G544="","",_xlfn.XLOOKUP(G544,'🚛 FROTA'!B:B,'🚛 FROTA'!E:E,""))</f>
        <v>Express Delivery</v>
      </c>
      <c r="K544" s="119" t="str">
        <f>IF(G544="","",_xlfn.XLOOKUP(G544,'🚛 FROTA'!B:B,'🚛 FROTA'!K:K,""))</f>
        <v>Carroceria Cabinado</v>
      </c>
      <c r="L544" s="143" t="s">
        <v>876</v>
      </c>
      <c r="M544" s="143">
        <v>58</v>
      </c>
      <c r="N544" s="145">
        <v>46227</v>
      </c>
      <c r="O544" s="143">
        <v>4</v>
      </c>
      <c r="P544" s="143">
        <v>4</v>
      </c>
      <c r="Q544" s="167">
        <v>1675</v>
      </c>
      <c r="R544" s="143" t="s">
        <v>554</v>
      </c>
      <c r="S544" s="122" t="s">
        <v>534</v>
      </c>
      <c r="T544" s="120" t="s">
        <v>446</v>
      </c>
      <c r="U544" s="121" t="s">
        <v>555</v>
      </c>
      <c r="V544" s="119" t="s">
        <v>634</v>
      </c>
      <c r="W544" s="119" t="s">
        <v>1360</v>
      </c>
      <c r="X544" s="123" t="s">
        <v>1361</v>
      </c>
      <c r="Y544" s="119"/>
      <c r="Z544" s="124">
        <v>85050</v>
      </c>
      <c r="AA544" s="125"/>
      <c r="AB544" s="126"/>
      <c r="AC544" s="127"/>
      <c r="AD544" s="127"/>
      <c r="AE544" s="127"/>
      <c r="AF544" s="127"/>
      <c r="AG544" s="125"/>
      <c r="AH544" s="128">
        <f ca="1">IF(OR(R544="A VISTA", R544="C. CRÉDITO", R544="ADIANTAMENTO"), N544, IF(R544="Faturado", _xlfn.MINIFS(N:N, C:C, C544)-30, ""))</f>
        <v>46050</v>
      </c>
      <c r="AI544" s="129" t="s">
        <v>880</v>
      </c>
      <c r="AJ544" s="129"/>
      <c r="AK544" s="129"/>
      <c r="AL544" s="129"/>
      <c r="AM544" s="129"/>
    </row>
    <row r="545" spans="1:39" ht="18" hidden="1" customHeight="1" x14ac:dyDescent="0.25">
      <c r="A545" s="117">
        <v>544</v>
      </c>
      <c r="B545" s="117" t="s">
        <v>1496</v>
      </c>
      <c r="C545" s="136" t="s">
        <v>1510</v>
      </c>
      <c r="D545" s="146">
        <f t="array" aca="1" ref="D545" ca="1">IF(C545="","",SUM(--(_xlfn.UNIQUE(_xlfn._xlws.FILTER($M$2:$M$1011&amp;"",($C$2:$C$1011=C545)*($M$2:$M$1011&lt;&gt;"")))&lt;&gt;"")))</f>
        <v>1</v>
      </c>
      <c r="E545" s="166">
        <f t="shared" ref="E545:E576" ca="1" si="38">IF(C545="", "", SUMIF(C:C, C545, Q:Q))</f>
        <v>3148</v>
      </c>
      <c r="F545" s="144">
        <v>3</v>
      </c>
      <c r="G545" s="143" t="s">
        <v>155</v>
      </c>
      <c r="H545" s="119">
        <f>IF(G545="","",_xlfn.XLOOKUP(G545,'🚛 FROTA'!B:B,'🚛 FROTA'!A:A,""))</f>
        <v>34</v>
      </c>
      <c r="I545" s="119"/>
      <c r="J545" s="119" t="str">
        <f>IF(G545="","",_xlfn.XLOOKUP(G545,'🚛 FROTA'!B:B,'🚛 FROTA'!E:E,""))</f>
        <v>9.170 Delivery</v>
      </c>
      <c r="K545" s="119" t="str">
        <f>IF(G545="","",_xlfn.XLOOKUP(G545,'🚛 FROTA'!B:B,'🚛 FROTA'!K:K,""))</f>
        <v>Basculante</v>
      </c>
      <c r="L545" s="144" t="s">
        <v>1511</v>
      </c>
      <c r="M545" s="144">
        <v>2919</v>
      </c>
      <c r="N545" s="145">
        <v>46160</v>
      </c>
      <c r="O545" s="144">
        <v>1</v>
      </c>
      <c r="P545" s="144">
        <v>2</v>
      </c>
      <c r="Q545" s="165">
        <v>1574</v>
      </c>
      <c r="R545" s="144" t="s">
        <v>554</v>
      </c>
      <c r="S545" s="122" t="s">
        <v>534</v>
      </c>
      <c r="T545" s="120" t="s">
        <v>446</v>
      </c>
      <c r="U545" s="121" t="s">
        <v>555</v>
      </c>
      <c r="V545" s="117" t="s">
        <v>1412</v>
      </c>
      <c r="W545" s="117" t="s">
        <v>1512</v>
      </c>
      <c r="X545" s="117" t="s">
        <v>1513</v>
      </c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  <c r="AM545" s="117"/>
    </row>
    <row r="546" spans="1:39" ht="18" customHeight="1" x14ac:dyDescent="0.25">
      <c r="A546" s="117">
        <v>545</v>
      </c>
      <c r="B546" s="117" t="s">
        <v>1496</v>
      </c>
      <c r="C546" s="118" t="s">
        <v>1490</v>
      </c>
      <c r="D546" s="146">
        <f t="array" aca="1" ref="D546" ca="1">IF(C546="","",SUM(--(_xlfn.UNIQUE(_xlfn._xlws.FILTER($M$2:$M$1011&amp;"",($C$2:$C$1011=C546)*($M$2:$M$1011&lt;&gt;"")))&lt;&gt;"")))</f>
        <v>1</v>
      </c>
      <c r="E546" s="166">
        <f t="shared" ca="1" si="38"/>
        <v>1900</v>
      </c>
      <c r="F546" s="143">
        <v>1</v>
      </c>
      <c r="G546" s="143" t="s">
        <v>119</v>
      </c>
      <c r="H546" s="119">
        <f>_xlfn.XLOOKUP(G546,'🚛 FROTA'!B:B,'🚛 FROTA'!A:A,"")</f>
        <v>17</v>
      </c>
      <c r="I546" s="119"/>
      <c r="J546" s="119" t="str">
        <f>IF(G546="","",_xlfn.XLOOKUP(G546,'🚛 FROTA'!B:B,'🚛 FROTA'!E:E,""))</f>
        <v>CAT 416F2</v>
      </c>
      <c r="K546" s="119"/>
      <c r="L546" s="143" t="s">
        <v>1491</v>
      </c>
      <c r="M546" s="143">
        <v>13227</v>
      </c>
      <c r="N546" s="145">
        <v>46233</v>
      </c>
      <c r="O546" s="143">
        <v>4</v>
      </c>
      <c r="P546" s="143">
        <v>4</v>
      </c>
      <c r="Q546" s="167">
        <v>475</v>
      </c>
      <c r="R546" s="143" t="s">
        <v>554</v>
      </c>
      <c r="S546" s="122" t="s">
        <v>560</v>
      </c>
      <c r="T546" s="120" t="s">
        <v>446</v>
      </c>
      <c r="U546" s="121" t="s">
        <v>555</v>
      </c>
      <c r="V546" s="119" t="s">
        <v>573</v>
      </c>
      <c r="W546" s="119" t="s">
        <v>574</v>
      </c>
      <c r="X546" s="123" t="s">
        <v>1492</v>
      </c>
      <c r="Y546" s="119" t="s">
        <v>576</v>
      </c>
      <c r="Z546" s="124">
        <v>3962</v>
      </c>
      <c r="AA546" s="122" t="s">
        <v>577</v>
      </c>
      <c r="AB546" s="122">
        <v>2</v>
      </c>
      <c r="AC546" s="131" t="s">
        <v>1493</v>
      </c>
      <c r="AD546" s="131" t="s">
        <v>1494</v>
      </c>
      <c r="AE546" s="131" t="s">
        <v>1495</v>
      </c>
      <c r="AF546" s="131" t="s">
        <v>581</v>
      </c>
      <c r="AG546" s="125" t="s">
        <v>582</v>
      </c>
      <c r="AH546" s="128">
        <f ca="1">IF(OR(R546="A VISTA", R546="C. CRÉDITO", R546="ADIANTAMENTO"), N546, IF(R546="Faturado", _xlfn.MINIFS(N:N, C:C, C546)-23, ""))</f>
        <v>46119</v>
      </c>
      <c r="AI546" s="129"/>
      <c r="AJ546" s="129"/>
      <c r="AK546" s="129"/>
      <c r="AL546" s="129"/>
      <c r="AM546" s="129"/>
    </row>
    <row r="547" spans="1:39" ht="18" hidden="1" customHeight="1" x14ac:dyDescent="0.25">
      <c r="A547" s="117">
        <v>546</v>
      </c>
      <c r="B547" s="117"/>
      <c r="C547" s="136" t="s">
        <v>1497</v>
      </c>
      <c r="D547" s="146">
        <f t="array" aca="1" ref="D547" ca="1">IF(C547="","",SUM(--(_xlfn.UNIQUE(_xlfn._xlws.FILTER($M$2:$M$1011&amp;"",($C$2:$C$1011=C547)*($M$2:$M$1011&lt;&gt;"")))&lt;&gt;"")))</f>
        <v>2</v>
      </c>
      <c r="E547" s="166">
        <f t="shared" ca="1" si="38"/>
        <v>1628</v>
      </c>
      <c r="F547" s="144">
        <v>3</v>
      </c>
      <c r="G547" s="143" t="s">
        <v>85</v>
      </c>
      <c r="H547" s="119">
        <f>IF(G547="","",_xlfn.XLOOKUP(G547,'🚛 FROTA'!B:B,'🚛 FROTA'!A:A,""))</f>
        <v>6</v>
      </c>
      <c r="I547" s="119"/>
      <c r="J547" s="119" t="str">
        <f>IF(G547="","",_xlfn.XLOOKUP(G547,'🚛 FROTA'!B:B,'🚛 FROTA'!E:E,""))</f>
        <v>13.180 Constellation</v>
      </c>
      <c r="K547" s="119" t="str">
        <f>IF(G547="","",_xlfn.XLOOKUP(G547,'🚛 FROTA'!B:B,'🚛 FROTA'!K:K,""))</f>
        <v>Munck</v>
      </c>
      <c r="L547" s="144" t="s">
        <v>1524</v>
      </c>
      <c r="M547" s="144">
        <v>11222</v>
      </c>
      <c r="N547" s="145">
        <v>46161</v>
      </c>
      <c r="O547" s="144">
        <v>1</v>
      </c>
      <c r="P547" s="144">
        <v>1</v>
      </c>
      <c r="Q547" s="165">
        <v>400</v>
      </c>
      <c r="R547" s="144" t="s">
        <v>554</v>
      </c>
      <c r="S547" s="117" t="s">
        <v>534</v>
      </c>
      <c r="T547" s="141" t="s">
        <v>446</v>
      </c>
      <c r="U547" s="142" t="s">
        <v>555</v>
      </c>
      <c r="V547" s="117" t="s">
        <v>785</v>
      </c>
      <c r="W547" s="117" t="s">
        <v>1525</v>
      </c>
      <c r="X547" s="117" t="s">
        <v>1525</v>
      </c>
      <c r="Y547" s="117"/>
      <c r="Z547" s="137">
        <v>325592</v>
      </c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  <c r="AM547" s="117"/>
    </row>
    <row r="548" spans="1:39" ht="18" hidden="1" customHeight="1" x14ac:dyDescent="0.25">
      <c r="A548" s="117">
        <v>547</v>
      </c>
      <c r="B548" s="117"/>
      <c r="C548" s="136" t="s">
        <v>1526</v>
      </c>
      <c r="D548" s="146">
        <f t="array" aca="1" ref="D548" ca="1">IF(C548="","",SUM(--(_xlfn.UNIQUE(_xlfn._xlws.FILTER($M$2:$M$1011&amp;"",($C$2:$C$1011=C548)*($M$2:$M$1011&lt;&gt;"")))&lt;&gt;"")))</f>
        <v>2</v>
      </c>
      <c r="E548" s="166">
        <f t="shared" ca="1" si="38"/>
        <v>2505</v>
      </c>
      <c r="F548" s="144">
        <v>3</v>
      </c>
      <c r="G548" s="143" t="s">
        <v>166</v>
      </c>
      <c r="H548" s="119">
        <f>IF(G548="","",_xlfn.XLOOKUP(G548,'🚛 FROTA'!B:B,'🚛 FROTA'!A:A,""))</f>
        <v>41</v>
      </c>
      <c r="I548" s="119"/>
      <c r="J548" s="119" t="str">
        <f>IF(G548="","",_xlfn.XLOOKUP(G548,'🚛 FROTA'!B:B,'🚛 FROTA'!E:E,""))</f>
        <v>Express Delivery</v>
      </c>
      <c r="K548" s="119" t="str">
        <f>IF(G548="","",_xlfn.XLOOKUP(G548,'🚛 FROTA'!B:B,'🚛 FROTA'!K:K,""))</f>
        <v>Carroceria Cabinado</v>
      </c>
      <c r="L548" s="144" t="s">
        <v>1527</v>
      </c>
      <c r="M548" s="144">
        <v>5376</v>
      </c>
      <c r="N548" s="145">
        <v>46127</v>
      </c>
      <c r="O548" s="144">
        <v>1</v>
      </c>
      <c r="P548" s="144">
        <v>4</v>
      </c>
      <c r="Q548" s="165">
        <f>371.25+(0.75/2)</f>
        <v>371.625</v>
      </c>
      <c r="R548" s="144" t="s">
        <v>554</v>
      </c>
      <c r="S548" s="117" t="s">
        <v>534</v>
      </c>
      <c r="T548" s="141" t="s">
        <v>522</v>
      </c>
      <c r="U548" s="142" t="s">
        <v>555</v>
      </c>
      <c r="V548" s="117" t="s">
        <v>634</v>
      </c>
      <c r="W548" s="117" t="s">
        <v>1528</v>
      </c>
      <c r="X548" s="117" t="s">
        <v>1528</v>
      </c>
      <c r="Y548" s="117"/>
      <c r="Z548" s="137">
        <v>91769</v>
      </c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  <c r="AM548" s="117"/>
    </row>
    <row r="549" spans="1:39" ht="18" hidden="1" customHeight="1" x14ac:dyDescent="0.25">
      <c r="A549" s="117">
        <v>548</v>
      </c>
      <c r="B549" s="117"/>
      <c r="C549" s="136" t="str">
        <f t="array" aca="1" ref="C549" ca="1">IF(F549="", "", IF(B549&lt;&gt;"x", C548, "OS-" &amp; YEAR(TODAY()) &amp; "-" &amp; TEXT(MAX(IFERROR(VALUE(RIGHT($C$1:C548, 4)), 0)) + 1, "0000")))</f>
        <v>OS-2026-0201</v>
      </c>
      <c r="D549" s="146">
        <f t="array" aca="1" ref="D549" ca="1">IF(C549="","",SUM(--(_xlfn.UNIQUE(_xlfn._xlws.FILTER($M$2:$M$1011&amp;"",($C$2:$C$1011=C549)*($M$2:$M$1011&lt;&gt;"")))&lt;&gt;"")))</f>
        <v>2</v>
      </c>
      <c r="E549" s="166">
        <f t="shared" ca="1" si="38"/>
        <v>2505</v>
      </c>
      <c r="F549" s="144">
        <v>3</v>
      </c>
      <c r="G549" s="143" t="s">
        <v>166</v>
      </c>
      <c r="H549" s="119">
        <f>IF(G549="","",_xlfn.XLOOKUP(G549,'🚛 FROTA'!B:B,'🚛 FROTA'!A:A,""))</f>
        <v>41</v>
      </c>
      <c r="I549" s="119"/>
      <c r="J549" s="119" t="str">
        <f>IF(G549="","",_xlfn.XLOOKUP(G549,'🚛 FROTA'!B:B,'🚛 FROTA'!E:E,""))</f>
        <v>Express Delivery</v>
      </c>
      <c r="K549" s="119" t="str">
        <f>IF(G549="","",_xlfn.XLOOKUP(G549,'🚛 FROTA'!B:B,'🚛 FROTA'!K:K,""))</f>
        <v>Carroceria Cabinado</v>
      </c>
      <c r="L549" s="144" t="s">
        <v>1527</v>
      </c>
      <c r="M549" s="144">
        <v>5425</v>
      </c>
      <c r="N549" s="145">
        <v>46127</v>
      </c>
      <c r="O549" s="144">
        <v>1</v>
      </c>
      <c r="P549" s="144">
        <v>4</v>
      </c>
      <c r="Q549" s="165">
        <f>255+(0.75/2)</f>
        <v>255.375</v>
      </c>
      <c r="R549" s="144" t="s">
        <v>554</v>
      </c>
      <c r="S549" s="117" t="s">
        <v>560</v>
      </c>
      <c r="T549" s="141" t="s">
        <v>522</v>
      </c>
      <c r="U549" s="142" t="s">
        <v>555</v>
      </c>
      <c r="V549" s="117" t="s">
        <v>634</v>
      </c>
      <c r="W549" s="117" t="s">
        <v>1529</v>
      </c>
      <c r="X549" s="117" t="s">
        <v>1529</v>
      </c>
      <c r="Y549" s="117"/>
      <c r="Z549" s="137">
        <v>91769</v>
      </c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  <c r="AM549" s="117"/>
    </row>
    <row r="550" spans="1:39" ht="18" hidden="1" customHeight="1" x14ac:dyDescent="0.25">
      <c r="A550" s="117">
        <v>549</v>
      </c>
      <c r="B550" s="117"/>
      <c r="C550" s="136" t="s">
        <v>1526</v>
      </c>
      <c r="D550" s="146">
        <f t="array" aca="1" ref="D550" ca="1">IF(C550="","",SUM(--(_xlfn.UNIQUE(_xlfn._xlws.FILTER($M$2:$M$1011&amp;"",($C$2:$C$1011=C550)*($M$2:$M$1011&lt;&gt;"")))&lt;&gt;"")))</f>
        <v>2</v>
      </c>
      <c r="E550" s="166">
        <f t="shared" ca="1" si="38"/>
        <v>2505</v>
      </c>
      <c r="F550" s="144">
        <v>3</v>
      </c>
      <c r="G550" s="143" t="s">
        <v>166</v>
      </c>
      <c r="H550" s="119">
        <f>IF(G550="","",_xlfn.XLOOKUP(G550,'🚛 FROTA'!B:B,'🚛 FROTA'!A:A,""))</f>
        <v>41</v>
      </c>
      <c r="I550" s="119"/>
      <c r="J550" s="119" t="str">
        <f>IF(G550="","",_xlfn.XLOOKUP(G550,'🚛 FROTA'!B:B,'🚛 FROTA'!E:E,""))</f>
        <v>Express Delivery</v>
      </c>
      <c r="K550" s="119" t="str">
        <f>IF(G550="","",_xlfn.XLOOKUP(G550,'🚛 FROTA'!B:B,'🚛 FROTA'!K:K,""))</f>
        <v>Carroceria Cabinado</v>
      </c>
      <c r="L550" s="144" t="s">
        <v>1527</v>
      </c>
      <c r="M550" s="144">
        <v>5376</v>
      </c>
      <c r="N550" s="145">
        <v>46157</v>
      </c>
      <c r="O550" s="144">
        <v>2</v>
      </c>
      <c r="P550" s="144">
        <v>4</v>
      </c>
      <c r="Q550" s="165">
        <v>371</v>
      </c>
      <c r="R550" s="144" t="s">
        <v>554</v>
      </c>
      <c r="S550" s="117" t="s">
        <v>534</v>
      </c>
      <c r="T550" s="141" t="s">
        <v>446</v>
      </c>
      <c r="U550" s="142" t="s">
        <v>555</v>
      </c>
      <c r="V550" s="117" t="s">
        <v>634</v>
      </c>
      <c r="W550" s="117" t="s">
        <v>1528</v>
      </c>
      <c r="X550" s="117" t="s">
        <v>1528</v>
      </c>
      <c r="Y550" s="117"/>
      <c r="Z550" s="137">
        <v>91769</v>
      </c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</row>
    <row r="551" spans="1:39" ht="18" hidden="1" customHeight="1" x14ac:dyDescent="0.25">
      <c r="A551" s="117">
        <v>550</v>
      </c>
      <c r="B551" s="117"/>
      <c r="C551" s="136" t="str">
        <f t="array" aca="1" ref="C551" ca="1">IF(F551="", "", IF(B551&lt;&gt;"x", C550, "OS-" &amp; YEAR(TODAY()) &amp; "-" &amp; TEXT(MAX(IFERROR(VALUE(RIGHT($C$1:C550, 4)), 0)) + 1, "0000")))</f>
        <v>OS-2026-0201</v>
      </c>
      <c r="D551" s="146">
        <f t="array" aca="1" ref="D551" ca="1">IF(C551="","",SUM(--(_xlfn.UNIQUE(_xlfn._xlws.FILTER($M$2:$M$1011&amp;"",($C$2:$C$1011=C551)*($M$2:$M$1011&lt;&gt;"")))&lt;&gt;"")))</f>
        <v>2</v>
      </c>
      <c r="E551" s="166">
        <f t="shared" ca="1" si="38"/>
        <v>2505</v>
      </c>
      <c r="F551" s="144">
        <v>3</v>
      </c>
      <c r="G551" s="143" t="s">
        <v>166</v>
      </c>
      <c r="H551" s="119">
        <f>IF(G551="","",_xlfn.XLOOKUP(G551,'🚛 FROTA'!B:B,'🚛 FROTA'!A:A,""))</f>
        <v>41</v>
      </c>
      <c r="I551" s="119"/>
      <c r="J551" s="119" t="str">
        <f>IF(G551="","",_xlfn.XLOOKUP(G551,'🚛 FROTA'!B:B,'🚛 FROTA'!E:E,""))</f>
        <v>Express Delivery</v>
      </c>
      <c r="K551" s="119" t="str">
        <f>IF(G551="","",_xlfn.XLOOKUP(G551,'🚛 FROTA'!B:B,'🚛 FROTA'!K:K,""))</f>
        <v>Carroceria Cabinado</v>
      </c>
      <c r="L551" s="144" t="s">
        <v>1527</v>
      </c>
      <c r="M551" s="144">
        <v>5425</v>
      </c>
      <c r="N551" s="145">
        <v>46157</v>
      </c>
      <c r="O551" s="144">
        <v>2</v>
      </c>
      <c r="P551" s="144">
        <v>4</v>
      </c>
      <c r="Q551" s="165">
        <v>255</v>
      </c>
      <c r="R551" s="144" t="s">
        <v>554</v>
      </c>
      <c r="S551" s="117" t="s">
        <v>560</v>
      </c>
      <c r="T551" s="141" t="s">
        <v>446</v>
      </c>
      <c r="U551" s="142" t="s">
        <v>555</v>
      </c>
      <c r="V551" s="117" t="s">
        <v>634</v>
      </c>
      <c r="W551" s="117" t="s">
        <v>1529</v>
      </c>
      <c r="X551" s="117" t="s">
        <v>1529</v>
      </c>
      <c r="Y551" s="117"/>
      <c r="Z551" s="137">
        <v>91769</v>
      </c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</row>
    <row r="552" spans="1:39" ht="18" hidden="1" customHeight="1" x14ac:dyDescent="0.25">
      <c r="A552" s="117">
        <v>551</v>
      </c>
      <c r="B552" s="117"/>
      <c r="C552" s="136" t="s">
        <v>1526</v>
      </c>
      <c r="D552" s="146">
        <f t="array" aca="1" ref="D552" ca="1">IF(C552="","",SUM(--(_xlfn.UNIQUE(_xlfn._xlws.FILTER($M$2:$M$1011&amp;"",($C$2:$C$1011=C552)*($M$2:$M$1011&lt;&gt;"")))&lt;&gt;"")))</f>
        <v>2</v>
      </c>
      <c r="E552" s="166">
        <f t="shared" ca="1" si="38"/>
        <v>2505</v>
      </c>
      <c r="F552" s="144">
        <v>3</v>
      </c>
      <c r="G552" s="143" t="s">
        <v>166</v>
      </c>
      <c r="H552" s="119">
        <f>IF(G552="","",_xlfn.XLOOKUP(G552,'🚛 FROTA'!B:B,'🚛 FROTA'!A:A,""))</f>
        <v>41</v>
      </c>
      <c r="I552" s="119"/>
      <c r="J552" s="119" t="str">
        <f>IF(G552="","",_xlfn.XLOOKUP(G552,'🚛 FROTA'!B:B,'🚛 FROTA'!E:E,""))</f>
        <v>Express Delivery</v>
      </c>
      <c r="K552" s="119" t="str">
        <f>IF(G552="","",_xlfn.XLOOKUP(G552,'🚛 FROTA'!B:B,'🚛 FROTA'!K:K,""))</f>
        <v>Carroceria Cabinado</v>
      </c>
      <c r="L552" s="144" t="s">
        <v>1527</v>
      </c>
      <c r="M552" s="144">
        <v>5376</v>
      </c>
      <c r="N552" s="145">
        <v>46187</v>
      </c>
      <c r="O552" s="144">
        <v>3</v>
      </c>
      <c r="P552" s="144">
        <v>4</v>
      </c>
      <c r="Q552" s="165">
        <v>371</v>
      </c>
      <c r="R552" s="144" t="s">
        <v>554</v>
      </c>
      <c r="S552" s="117" t="s">
        <v>534</v>
      </c>
      <c r="T552" s="141" t="s">
        <v>446</v>
      </c>
      <c r="U552" s="142" t="s">
        <v>555</v>
      </c>
      <c r="V552" s="117" t="s">
        <v>634</v>
      </c>
      <c r="W552" s="117" t="s">
        <v>1528</v>
      </c>
      <c r="X552" s="117" t="s">
        <v>1528</v>
      </c>
      <c r="Y552" s="117"/>
      <c r="Z552" s="137">
        <v>91769</v>
      </c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  <c r="AM552" s="117"/>
    </row>
    <row r="553" spans="1:39" ht="18" hidden="1" customHeight="1" x14ac:dyDescent="0.25">
      <c r="A553" s="117">
        <v>552</v>
      </c>
      <c r="B553" s="117"/>
      <c r="C553" s="136" t="str">
        <f t="array" aca="1" ref="C553" ca="1">IF(F553="", "", IF(B553&lt;&gt;"x", C552, "OS-" &amp; YEAR(TODAY()) &amp; "-" &amp; TEXT(MAX(IFERROR(VALUE(RIGHT($C$1:C552, 4)), 0)) + 1, "0000")))</f>
        <v>OS-2026-0201</v>
      </c>
      <c r="D553" s="146">
        <f t="array" aca="1" ref="D553" ca="1">IF(C553="","",SUM(--(_xlfn.UNIQUE(_xlfn._xlws.FILTER($M$2:$M$1011&amp;"",($C$2:$C$1011=C553)*($M$2:$M$1011&lt;&gt;"")))&lt;&gt;"")))</f>
        <v>2</v>
      </c>
      <c r="E553" s="166">
        <f t="shared" ca="1" si="38"/>
        <v>2505</v>
      </c>
      <c r="F553" s="144">
        <v>3</v>
      </c>
      <c r="G553" s="143" t="s">
        <v>166</v>
      </c>
      <c r="H553" s="119">
        <f>IF(G553="","",_xlfn.XLOOKUP(G553,'🚛 FROTA'!B:B,'🚛 FROTA'!A:A,""))</f>
        <v>41</v>
      </c>
      <c r="I553" s="119"/>
      <c r="J553" s="119" t="str">
        <f>IF(G553="","",_xlfn.XLOOKUP(G553,'🚛 FROTA'!B:B,'🚛 FROTA'!E:E,""))</f>
        <v>Express Delivery</v>
      </c>
      <c r="K553" s="119" t="str">
        <f>IF(G553="","",_xlfn.XLOOKUP(G553,'🚛 FROTA'!B:B,'🚛 FROTA'!K:K,""))</f>
        <v>Carroceria Cabinado</v>
      </c>
      <c r="L553" s="144" t="s">
        <v>1527</v>
      </c>
      <c r="M553" s="144">
        <v>5425</v>
      </c>
      <c r="N553" s="145">
        <v>46187</v>
      </c>
      <c r="O553" s="144">
        <v>3</v>
      </c>
      <c r="P553" s="144">
        <v>4</v>
      </c>
      <c r="Q553" s="165">
        <v>255</v>
      </c>
      <c r="R553" s="144" t="s">
        <v>554</v>
      </c>
      <c r="S553" s="117" t="s">
        <v>560</v>
      </c>
      <c r="T553" s="141" t="s">
        <v>446</v>
      </c>
      <c r="U553" s="142" t="s">
        <v>555</v>
      </c>
      <c r="V553" s="117" t="s">
        <v>634</v>
      </c>
      <c r="W553" s="117" t="s">
        <v>1529</v>
      </c>
      <c r="X553" s="117" t="s">
        <v>1529</v>
      </c>
      <c r="Y553" s="117"/>
      <c r="Z553" s="137">
        <v>91769</v>
      </c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  <c r="AM553" s="117"/>
    </row>
    <row r="554" spans="1:39" ht="18" hidden="1" customHeight="1" x14ac:dyDescent="0.25">
      <c r="A554" s="117">
        <v>553</v>
      </c>
      <c r="B554" s="117"/>
      <c r="C554" s="136" t="s">
        <v>1526</v>
      </c>
      <c r="D554" s="146">
        <f t="array" aca="1" ref="D554" ca="1">IF(C554="","",SUM(--(_xlfn.UNIQUE(_xlfn._xlws.FILTER($M$2:$M$1011&amp;"",($C$2:$C$1011=C554)*($M$2:$M$1011&lt;&gt;"")))&lt;&gt;"")))</f>
        <v>2</v>
      </c>
      <c r="E554" s="166">
        <f t="shared" ca="1" si="38"/>
        <v>2505</v>
      </c>
      <c r="F554" s="144">
        <v>3</v>
      </c>
      <c r="G554" s="143" t="s">
        <v>166</v>
      </c>
      <c r="H554" s="119">
        <f>IF(G554="","",_xlfn.XLOOKUP(G554,'🚛 FROTA'!B:B,'🚛 FROTA'!A:A,""))</f>
        <v>41</v>
      </c>
      <c r="I554" s="119"/>
      <c r="J554" s="119" t="str">
        <f>IF(G554="","",_xlfn.XLOOKUP(G554,'🚛 FROTA'!B:B,'🚛 FROTA'!E:E,""))</f>
        <v>Express Delivery</v>
      </c>
      <c r="K554" s="119" t="str">
        <f>IF(G554="","",_xlfn.XLOOKUP(G554,'🚛 FROTA'!B:B,'🚛 FROTA'!K:K,""))</f>
        <v>Carroceria Cabinado</v>
      </c>
      <c r="L554" s="144" t="s">
        <v>1527</v>
      </c>
      <c r="M554" s="144">
        <v>5376</v>
      </c>
      <c r="N554" s="145">
        <v>46187</v>
      </c>
      <c r="O554" s="144">
        <v>4</v>
      </c>
      <c r="P554" s="144">
        <v>4</v>
      </c>
      <c r="Q554" s="165">
        <v>371</v>
      </c>
      <c r="R554" s="144" t="s">
        <v>554</v>
      </c>
      <c r="S554" s="117" t="s">
        <v>534</v>
      </c>
      <c r="T554" s="141" t="s">
        <v>446</v>
      </c>
      <c r="U554" s="142" t="s">
        <v>555</v>
      </c>
      <c r="V554" s="117" t="s">
        <v>634</v>
      </c>
      <c r="W554" s="117" t="s">
        <v>1528</v>
      </c>
      <c r="X554" s="117" t="s">
        <v>1528</v>
      </c>
      <c r="Y554" s="117"/>
      <c r="Z554" s="137">
        <v>91769</v>
      </c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  <c r="AM554" s="117"/>
    </row>
    <row r="555" spans="1:39" ht="18" hidden="1" customHeight="1" x14ac:dyDescent="0.25">
      <c r="A555" s="117">
        <v>554</v>
      </c>
      <c r="B555" s="117" t="s">
        <v>1496</v>
      </c>
      <c r="C555" s="136" t="s">
        <v>1526</v>
      </c>
      <c r="D555" s="146">
        <f t="array" aca="1" ref="D555" ca="1">IF(C555="","",SUM(--(_xlfn.UNIQUE(_xlfn._xlws.FILTER($M$2:$M$1011&amp;"",($C$2:$C$1011=C555)*($M$2:$M$1011&lt;&gt;"")))&lt;&gt;"")))</f>
        <v>2</v>
      </c>
      <c r="E555" s="166">
        <f t="shared" ca="1" si="38"/>
        <v>2505</v>
      </c>
      <c r="F555" s="144">
        <v>3</v>
      </c>
      <c r="G555" s="143" t="s">
        <v>166</v>
      </c>
      <c r="H555" s="119">
        <f>IF(G555="","",_xlfn.XLOOKUP(G555,'🚛 FROTA'!B:B,'🚛 FROTA'!A:A,""))</f>
        <v>41</v>
      </c>
      <c r="I555" s="119"/>
      <c r="J555" s="119" t="str">
        <f>IF(G555="","",_xlfn.XLOOKUP(G555,'🚛 FROTA'!B:B,'🚛 FROTA'!E:E,""))</f>
        <v>Express Delivery</v>
      </c>
      <c r="K555" s="119" t="str">
        <f>IF(G555="","",_xlfn.XLOOKUP(G555,'🚛 FROTA'!B:B,'🚛 FROTA'!K:K,""))</f>
        <v>Carroceria Cabinado</v>
      </c>
      <c r="L555" s="144" t="s">
        <v>1527</v>
      </c>
      <c r="M555" s="144">
        <v>5425</v>
      </c>
      <c r="N555" s="145">
        <v>46187</v>
      </c>
      <c r="O555" s="144">
        <v>4</v>
      </c>
      <c r="P555" s="144">
        <v>4</v>
      </c>
      <c r="Q555" s="165">
        <v>255</v>
      </c>
      <c r="R555" s="144" t="s">
        <v>554</v>
      </c>
      <c r="S555" s="117" t="s">
        <v>560</v>
      </c>
      <c r="T555" s="141" t="s">
        <v>446</v>
      </c>
      <c r="U555" s="142" t="s">
        <v>555</v>
      </c>
      <c r="V555" s="117" t="s">
        <v>634</v>
      </c>
      <c r="W555" s="117" t="s">
        <v>1529</v>
      </c>
      <c r="X555" s="117" t="s">
        <v>1529</v>
      </c>
      <c r="Y555" s="117"/>
      <c r="Z555" s="137">
        <v>91769</v>
      </c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  <c r="AM555" s="117"/>
    </row>
    <row r="556" spans="1:39" ht="18" customHeight="1" x14ac:dyDescent="0.25">
      <c r="A556" s="117">
        <v>555</v>
      </c>
      <c r="B556" s="117"/>
      <c r="C556" s="136" t="s">
        <v>1530</v>
      </c>
      <c r="D556" s="146">
        <f t="array" aca="1" ref="D556" ca="1">IF(C556="","",SUM(--(_xlfn.UNIQUE(_xlfn._xlws.FILTER($M$2:$M$1011&amp;"",($C$2:$C$1011=C556)*($M$2:$M$1011&lt;&gt;"")))&lt;&gt;"")))</f>
        <v>1</v>
      </c>
      <c r="E556" s="166">
        <f t="shared" ca="1" si="38"/>
        <v>498.2</v>
      </c>
      <c r="F556" s="144">
        <v>3</v>
      </c>
      <c r="G556" s="143" t="s">
        <v>162</v>
      </c>
      <c r="H556" s="119">
        <f>IF(G556="","",_xlfn.XLOOKUP(G556,'🚛 FROTA'!B:B,'🚛 FROTA'!A:A,""))</f>
        <v>39</v>
      </c>
      <c r="I556" s="119"/>
      <c r="J556" s="119" t="str">
        <f>IF(G556="","",_xlfn.XLOOKUP(G556,'🚛 FROTA'!B:B,'🚛 FROTA'!E:E,""))</f>
        <v>Express Delivery</v>
      </c>
      <c r="K556" s="119" t="str">
        <f>IF(G556="","",_xlfn.XLOOKUP(G556,'🚛 FROTA'!B:B,'🚛 FROTA'!K:K,""))</f>
        <v>Carroceria Cabinado</v>
      </c>
      <c r="L556" s="144" t="s">
        <v>1531</v>
      </c>
      <c r="M556" s="144">
        <v>140426</v>
      </c>
      <c r="N556" s="145">
        <v>46127</v>
      </c>
      <c r="O556" s="144">
        <v>1</v>
      </c>
      <c r="P556" s="144">
        <v>5</v>
      </c>
      <c r="Q556" s="165">
        <f>498.2/5</f>
        <v>99.64</v>
      </c>
      <c r="R556" s="144" t="s">
        <v>724</v>
      </c>
      <c r="S556" s="117" t="s">
        <v>560</v>
      </c>
      <c r="T556" s="141" t="s">
        <v>522</v>
      </c>
      <c r="U556" s="142" t="s">
        <v>555</v>
      </c>
      <c r="V556" s="117" t="s">
        <v>573</v>
      </c>
      <c r="W556" s="117" t="s">
        <v>574</v>
      </c>
      <c r="X556" s="123" t="s">
        <v>1532</v>
      </c>
      <c r="Y556" s="117"/>
      <c r="Z556" s="137">
        <v>89516</v>
      </c>
      <c r="AA556" s="122" t="s">
        <v>577</v>
      </c>
      <c r="AB556" s="122">
        <v>2</v>
      </c>
      <c r="AC556" s="131" t="s">
        <v>578</v>
      </c>
      <c r="AD556" s="131" t="s">
        <v>1141</v>
      </c>
      <c r="AE556" s="131" t="s">
        <v>1142</v>
      </c>
      <c r="AF556" s="131" t="s">
        <v>1533</v>
      </c>
      <c r="AG556" s="125" t="s">
        <v>587</v>
      </c>
      <c r="AH556" s="148">
        <v>46126</v>
      </c>
      <c r="AI556" s="117" t="s">
        <v>1534</v>
      </c>
      <c r="AJ556" s="117"/>
      <c r="AK556" s="117"/>
      <c r="AL556" s="117"/>
      <c r="AM556" s="117"/>
    </row>
    <row r="557" spans="1:39" ht="18" customHeight="1" x14ac:dyDescent="0.25">
      <c r="A557" s="117">
        <v>556</v>
      </c>
      <c r="B557" s="117"/>
      <c r="C557" s="136" t="s">
        <v>1530</v>
      </c>
      <c r="D557" s="146">
        <f t="array" aca="1" ref="D557" ca="1">IF(C557="","",SUM(--(_xlfn.UNIQUE(_xlfn._xlws.FILTER($M$2:$M$1011&amp;"",($C$2:$C$1011=C557)*($M$2:$M$1011&lt;&gt;"")))&lt;&gt;"")))</f>
        <v>1</v>
      </c>
      <c r="E557" s="166">
        <f t="shared" ca="1" si="38"/>
        <v>498.2</v>
      </c>
      <c r="F557" s="144">
        <v>3</v>
      </c>
      <c r="G557" s="143" t="s">
        <v>162</v>
      </c>
      <c r="H557" s="119">
        <f>IF(G557="","",_xlfn.XLOOKUP(G557,'🚛 FROTA'!B:B,'🚛 FROTA'!A:A,""))</f>
        <v>39</v>
      </c>
      <c r="I557" s="119"/>
      <c r="J557" s="119" t="str">
        <f>IF(G557="","",_xlfn.XLOOKUP(G557,'🚛 FROTA'!B:B,'🚛 FROTA'!E:E,""))</f>
        <v>Express Delivery</v>
      </c>
      <c r="K557" s="119" t="str">
        <f>IF(G557="","",_xlfn.XLOOKUP(G557,'🚛 FROTA'!B:B,'🚛 FROTA'!K:K,""))</f>
        <v>Carroceria Cabinado</v>
      </c>
      <c r="L557" s="144" t="s">
        <v>1531</v>
      </c>
      <c r="M557" s="144">
        <v>140426</v>
      </c>
      <c r="N557" s="145">
        <v>46157</v>
      </c>
      <c r="O557" s="144">
        <v>2</v>
      </c>
      <c r="P557" s="144">
        <v>5</v>
      </c>
      <c r="Q557" s="165">
        <f>498.2/5</f>
        <v>99.64</v>
      </c>
      <c r="R557" s="144" t="s">
        <v>724</v>
      </c>
      <c r="S557" s="117" t="s">
        <v>560</v>
      </c>
      <c r="T557" s="141" t="s">
        <v>446</v>
      </c>
      <c r="U557" s="142" t="s">
        <v>555</v>
      </c>
      <c r="V557" s="117" t="s">
        <v>573</v>
      </c>
      <c r="W557" s="117" t="s">
        <v>574</v>
      </c>
      <c r="X557" s="123" t="s">
        <v>1532</v>
      </c>
      <c r="Y557" s="117"/>
      <c r="Z557" s="137">
        <v>89516</v>
      </c>
      <c r="AA557" s="122" t="s">
        <v>577</v>
      </c>
      <c r="AB557" s="122">
        <v>2</v>
      </c>
      <c r="AC557" s="131" t="s">
        <v>578</v>
      </c>
      <c r="AD557" s="131" t="s">
        <v>1141</v>
      </c>
      <c r="AE557" s="131" t="s">
        <v>1142</v>
      </c>
      <c r="AF557" s="131" t="s">
        <v>1533</v>
      </c>
      <c r="AG557" s="125" t="s">
        <v>587</v>
      </c>
      <c r="AH557" s="148">
        <v>46126</v>
      </c>
      <c r="AI557" s="117" t="s">
        <v>1534</v>
      </c>
      <c r="AJ557" s="117"/>
      <c r="AK557" s="117"/>
      <c r="AL557" s="117"/>
      <c r="AM557" s="117"/>
    </row>
    <row r="558" spans="1:39" ht="18" customHeight="1" x14ac:dyDescent="0.25">
      <c r="A558" s="117">
        <v>557</v>
      </c>
      <c r="B558" s="117"/>
      <c r="C558" s="136" t="s">
        <v>1530</v>
      </c>
      <c r="D558" s="146">
        <f t="array" aca="1" ref="D558" ca="1">IF(C558="","",SUM(--(_xlfn.UNIQUE(_xlfn._xlws.FILTER($M$2:$M$1011&amp;"",($C$2:$C$1011=C558)*($M$2:$M$1011&lt;&gt;"")))&lt;&gt;"")))</f>
        <v>1</v>
      </c>
      <c r="E558" s="166">
        <f t="shared" ca="1" si="38"/>
        <v>498.2</v>
      </c>
      <c r="F558" s="144">
        <v>3</v>
      </c>
      <c r="G558" s="143" t="s">
        <v>162</v>
      </c>
      <c r="H558" s="119">
        <f>IF(G558="","",_xlfn.XLOOKUP(G558,'🚛 FROTA'!B:B,'🚛 FROTA'!A:A,""))</f>
        <v>39</v>
      </c>
      <c r="I558" s="119"/>
      <c r="J558" s="119" t="str">
        <f>IF(G558="","",_xlfn.XLOOKUP(G558,'🚛 FROTA'!B:B,'🚛 FROTA'!E:E,""))</f>
        <v>Express Delivery</v>
      </c>
      <c r="K558" s="119" t="str">
        <f>IF(G558="","",_xlfn.XLOOKUP(G558,'🚛 FROTA'!B:B,'🚛 FROTA'!K:K,""))</f>
        <v>Carroceria Cabinado</v>
      </c>
      <c r="L558" s="144" t="s">
        <v>1531</v>
      </c>
      <c r="M558" s="144">
        <v>140426</v>
      </c>
      <c r="N558" s="145">
        <v>46188</v>
      </c>
      <c r="O558" s="144">
        <v>3</v>
      </c>
      <c r="P558" s="144">
        <v>5</v>
      </c>
      <c r="Q558" s="165">
        <f>498.2/5</f>
        <v>99.64</v>
      </c>
      <c r="R558" s="144" t="s">
        <v>724</v>
      </c>
      <c r="S558" s="117" t="s">
        <v>560</v>
      </c>
      <c r="T558" s="141" t="s">
        <v>446</v>
      </c>
      <c r="U558" s="142" t="s">
        <v>555</v>
      </c>
      <c r="V558" s="117" t="s">
        <v>573</v>
      </c>
      <c r="W558" s="117" t="s">
        <v>574</v>
      </c>
      <c r="X558" s="123" t="s">
        <v>1532</v>
      </c>
      <c r="Y558" s="117"/>
      <c r="Z558" s="137">
        <v>89516</v>
      </c>
      <c r="AA558" s="122" t="s">
        <v>577</v>
      </c>
      <c r="AB558" s="122">
        <v>2</v>
      </c>
      <c r="AC558" s="131" t="s">
        <v>578</v>
      </c>
      <c r="AD558" s="131" t="s">
        <v>1141</v>
      </c>
      <c r="AE558" s="131" t="s">
        <v>1142</v>
      </c>
      <c r="AF558" s="131" t="s">
        <v>1533</v>
      </c>
      <c r="AG558" s="125" t="s">
        <v>587</v>
      </c>
      <c r="AH558" s="148">
        <v>46126</v>
      </c>
      <c r="AI558" s="117" t="s">
        <v>1534</v>
      </c>
      <c r="AJ558" s="117"/>
      <c r="AK558" s="117"/>
      <c r="AL558" s="117"/>
      <c r="AM558" s="117"/>
    </row>
    <row r="559" spans="1:39" ht="18" customHeight="1" x14ac:dyDescent="0.25">
      <c r="A559" s="117">
        <v>558</v>
      </c>
      <c r="B559" s="117"/>
      <c r="C559" s="136" t="s">
        <v>1530</v>
      </c>
      <c r="D559" s="146">
        <f t="array" aca="1" ref="D559" ca="1">IF(C559="","",SUM(--(_xlfn.UNIQUE(_xlfn._xlws.FILTER($M$2:$M$1011&amp;"",($C$2:$C$1011=C559)*($M$2:$M$1011&lt;&gt;"")))&lt;&gt;"")))</f>
        <v>1</v>
      </c>
      <c r="E559" s="166">
        <f t="shared" ca="1" si="38"/>
        <v>498.2</v>
      </c>
      <c r="F559" s="144">
        <v>3</v>
      </c>
      <c r="G559" s="143" t="s">
        <v>162</v>
      </c>
      <c r="H559" s="119">
        <f>IF(G559="","",_xlfn.XLOOKUP(G559,'🚛 FROTA'!B:B,'🚛 FROTA'!A:A,""))</f>
        <v>39</v>
      </c>
      <c r="I559" s="119"/>
      <c r="J559" s="119" t="str">
        <f>IF(G559="","",_xlfn.XLOOKUP(G559,'🚛 FROTA'!B:B,'🚛 FROTA'!E:E,""))</f>
        <v>Express Delivery</v>
      </c>
      <c r="K559" s="119" t="str">
        <f>IF(G559="","",_xlfn.XLOOKUP(G559,'🚛 FROTA'!B:B,'🚛 FROTA'!K:K,""))</f>
        <v>Carroceria Cabinado</v>
      </c>
      <c r="L559" s="144" t="s">
        <v>1531</v>
      </c>
      <c r="M559" s="144">
        <v>140426</v>
      </c>
      <c r="N559" s="145">
        <v>46218</v>
      </c>
      <c r="O559" s="144">
        <v>4</v>
      </c>
      <c r="P559" s="144">
        <v>5</v>
      </c>
      <c r="Q559" s="165">
        <f>498.2/5</f>
        <v>99.64</v>
      </c>
      <c r="R559" s="144" t="s">
        <v>724</v>
      </c>
      <c r="S559" s="117" t="s">
        <v>560</v>
      </c>
      <c r="T559" s="141" t="s">
        <v>446</v>
      </c>
      <c r="U559" s="142" t="s">
        <v>555</v>
      </c>
      <c r="V559" s="117" t="s">
        <v>573</v>
      </c>
      <c r="W559" s="117" t="s">
        <v>574</v>
      </c>
      <c r="X559" s="123" t="s">
        <v>1532</v>
      </c>
      <c r="Y559" s="117"/>
      <c r="Z559" s="137">
        <v>89516</v>
      </c>
      <c r="AA559" s="122" t="s">
        <v>577</v>
      </c>
      <c r="AB559" s="122">
        <v>2</v>
      </c>
      <c r="AC559" s="131" t="s">
        <v>578</v>
      </c>
      <c r="AD559" s="131" t="s">
        <v>1141</v>
      </c>
      <c r="AE559" s="131" t="s">
        <v>1142</v>
      </c>
      <c r="AF559" s="131" t="s">
        <v>1533</v>
      </c>
      <c r="AG559" s="125" t="s">
        <v>587</v>
      </c>
      <c r="AH559" s="148">
        <v>46126</v>
      </c>
      <c r="AI559" s="117" t="s">
        <v>1534</v>
      </c>
      <c r="AJ559" s="117"/>
      <c r="AK559" s="117"/>
      <c r="AL559" s="117"/>
      <c r="AM559" s="117"/>
    </row>
    <row r="560" spans="1:39" ht="18" customHeight="1" x14ac:dyDescent="0.25">
      <c r="A560" s="117">
        <v>559</v>
      </c>
      <c r="B560" s="117"/>
      <c r="C560" s="136" t="s">
        <v>1530</v>
      </c>
      <c r="D560" s="146">
        <f t="array" aca="1" ref="D560" ca="1">IF(C560="","",SUM(--(_xlfn.UNIQUE(_xlfn._xlws.FILTER($M$2:$M$1011&amp;"",($C$2:$C$1011=C560)*($M$2:$M$1011&lt;&gt;"")))&lt;&gt;"")))</f>
        <v>1</v>
      </c>
      <c r="E560" s="166">
        <f t="shared" ca="1" si="38"/>
        <v>498.2</v>
      </c>
      <c r="F560" s="144">
        <v>3</v>
      </c>
      <c r="G560" s="143" t="s">
        <v>162</v>
      </c>
      <c r="H560" s="119">
        <f>IF(G560="","",_xlfn.XLOOKUP(G560,'🚛 FROTA'!B:B,'🚛 FROTA'!A:A,""))</f>
        <v>39</v>
      </c>
      <c r="I560" s="119"/>
      <c r="J560" s="119" t="str">
        <f>IF(G560="","",_xlfn.XLOOKUP(G560,'🚛 FROTA'!B:B,'🚛 FROTA'!E:E,""))</f>
        <v>Express Delivery</v>
      </c>
      <c r="K560" s="119" t="str">
        <f>IF(G560="","",_xlfn.XLOOKUP(G560,'🚛 FROTA'!B:B,'🚛 FROTA'!K:K,""))</f>
        <v>Carroceria Cabinado</v>
      </c>
      <c r="L560" s="144" t="s">
        <v>1531</v>
      </c>
      <c r="M560" s="144">
        <v>140426</v>
      </c>
      <c r="N560" s="145">
        <v>46249</v>
      </c>
      <c r="O560" s="144">
        <v>5</v>
      </c>
      <c r="P560" s="144">
        <v>5</v>
      </c>
      <c r="Q560" s="165">
        <f>498.2/5</f>
        <v>99.64</v>
      </c>
      <c r="R560" s="144" t="s">
        <v>724</v>
      </c>
      <c r="S560" s="117" t="s">
        <v>560</v>
      </c>
      <c r="T560" s="141" t="s">
        <v>446</v>
      </c>
      <c r="U560" s="142" t="s">
        <v>555</v>
      </c>
      <c r="V560" s="117" t="s">
        <v>573</v>
      </c>
      <c r="W560" s="117" t="s">
        <v>574</v>
      </c>
      <c r="X560" s="123" t="s">
        <v>1532</v>
      </c>
      <c r="Y560" s="117"/>
      <c r="Z560" s="137">
        <v>89516</v>
      </c>
      <c r="AA560" s="122" t="s">
        <v>577</v>
      </c>
      <c r="AB560" s="122">
        <v>2</v>
      </c>
      <c r="AC560" s="131" t="s">
        <v>578</v>
      </c>
      <c r="AD560" s="131" t="s">
        <v>1141</v>
      </c>
      <c r="AE560" s="131" t="s">
        <v>1142</v>
      </c>
      <c r="AF560" s="131" t="s">
        <v>1533</v>
      </c>
      <c r="AG560" s="125" t="s">
        <v>587</v>
      </c>
      <c r="AH560" s="148">
        <v>46126</v>
      </c>
      <c r="AI560" s="117" t="s">
        <v>1534</v>
      </c>
      <c r="AJ560" s="117"/>
      <c r="AK560" s="117"/>
      <c r="AL560" s="117"/>
      <c r="AM560" s="117"/>
    </row>
    <row r="561" spans="1:39" ht="18" hidden="1" customHeight="1" x14ac:dyDescent="0.25">
      <c r="A561" s="117">
        <v>560</v>
      </c>
      <c r="B561" s="117"/>
      <c r="C561" s="136" t="str">
        <f t="array" aca="1" ref="C561" ca="1">IF(F561="", "", IF(B561&lt;&gt;"x", C560, "OS-" &amp; YEAR(TODAY()) &amp; "-" &amp; TEXT(MAX(IFERROR(VALUE(RIGHT($C$1:C560, 4)), 0)) + 1, "0000")))</f>
        <v/>
      </c>
      <c r="D561" s="146" t="str">
        <f t="array" aca="1" ref="D561" ca="1">IF(C561="","",SUM(--(_xlfn.UNIQUE(_xlfn._xlws.FILTER($M$2:$M$1011&amp;"",($C$2:$C$1011=C561)*($M$2:$M$1011&lt;&gt;"")))&lt;&gt;"")))</f>
        <v/>
      </c>
      <c r="E561" s="166" t="str">
        <f t="shared" ca="1" si="38"/>
        <v/>
      </c>
      <c r="H561" s="119" t="str">
        <f>IF(G561="","",_xlfn.XLOOKUP(G561,'🚛 FROTA'!B:B,'🚛 FROTA'!A:A,""))</f>
        <v/>
      </c>
      <c r="I561" s="119"/>
      <c r="J561" s="119" t="str">
        <f>IF(G561="","",_xlfn.XLOOKUP(G561,'🚛 FROTA'!B:B,'🚛 FROTA'!E:E,""))</f>
        <v/>
      </c>
      <c r="K561" s="119" t="str">
        <f>IF(G561="","",_xlfn.XLOOKUP(G561,'🚛 FROTA'!B:B,'🚛 FROTA'!K:K,""))</f>
        <v/>
      </c>
      <c r="N561" s="145"/>
      <c r="S561" s="117"/>
      <c r="T561" s="141"/>
      <c r="U561" s="142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  <c r="AM561" s="117"/>
    </row>
    <row r="562" spans="1:39" ht="18" hidden="1" customHeight="1" x14ac:dyDescent="0.25">
      <c r="A562" s="117">
        <v>561</v>
      </c>
      <c r="B562" s="117"/>
      <c r="C562" s="136" t="str">
        <f t="array" aca="1" ref="C562" ca="1">IF(F562="", "", IF(B562&lt;&gt;"x", C561, "OS-" &amp; YEAR(TODAY()) &amp; "-" &amp; TEXT(MAX(IFERROR(VALUE(RIGHT($C$1:C561, 4)), 0)) + 1, "0000")))</f>
        <v/>
      </c>
      <c r="D562" s="146" t="str">
        <f t="array" aca="1" ref="D562" ca="1">IF(C562="","",SUM(--(_xlfn.UNIQUE(_xlfn._xlws.FILTER($M$2:$M$1011&amp;"",($C$2:$C$1011=C562)*($M$2:$M$1011&lt;&gt;"")))&lt;&gt;"")))</f>
        <v/>
      </c>
      <c r="E562" s="166" t="str">
        <f t="shared" ca="1" si="38"/>
        <v/>
      </c>
      <c r="H562" s="119" t="str">
        <f>IF(G562="","",_xlfn.XLOOKUP(G562,'🚛 FROTA'!B:B,'🚛 FROTA'!A:A,""))</f>
        <v/>
      </c>
      <c r="I562" s="119"/>
      <c r="J562" s="119" t="str">
        <f>IF(G562="","",_xlfn.XLOOKUP(G562,'🚛 FROTA'!B:B,'🚛 FROTA'!E:E,""))</f>
        <v/>
      </c>
      <c r="K562" s="119" t="str">
        <f>IF(G562="","",_xlfn.XLOOKUP(G562,'🚛 FROTA'!B:B,'🚛 FROTA'!K:K,""))</f>
        <v/>
      </c>
      <c r="N562" s="145"/>
      <c r="S562" s="117"/>
      <c r="T562" s="141"/>
      <c r="U562" s="142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  <c r="AM562" s="117"/>
    </row>
    <row r="563" spans="1:39" ht="18" hidden="1" customHeight="1" x14ac:dyDescent="0.25">
      <c r="A563" s="117">
        <v>562</v>
      </c>
      <c r="B563" s="117"/>
      <c r="C563" s="136" t="str">
        <f t="array" aca="1" ref="C563" ca="1">IF(F563="", "", IF(B563&lt;&gt;"x", C562, "OS-" &amp; YEAR(TODAY()) &amp; "-" &amp; TEXT(MAX(IFERROR(VALUE(RIGHT($C$1:C562, 4)), 0)) + 1, "0000")))</f>
        <v/>
      </c>
      <c r="D563" s="146" t="str">
        <f t="array" aca="1" ref="D563" ca="1">IF(C563="","",SUM(--(_xlfn.UNIQUE(_xlfn._xlws.FILTER($M$2:$M$1011&amp;"",($C$2:$C$1011=C563)*($M$2:$M$1011&lt;&gt;"")))&lt;&gt;"")))</f>
        <v/>
      </c>
      <c r="E563" s="166" t="str">
        <f t="shared" ca="1" si="38"/>
        <v/>
      </c>
      <c r="H563" s="119" t="str">
        <f>IF(G563="","",_xlfn.XLOOKUP(G563,'🚛 FROTA'!B:B,'🚛 FROTA'!A:A,""))</f>
        <v/>
      </c>
      <c r="I563" s="119"/>
      <c r="J563" s="119" t="str">
        <f>IF(G563="","",_xlfn.XLOOKUP(G563,'🚛 FROTA'!B:B,'🚛 FROTA'!E:E,""))</f>
        <v/>
      </c>
      <c r="K563" s="119" t="str">
        <f>IF(G563="","",_xlfn.XLOOKUP(G563,'🚛 FROTA'!B:B,'🚛 FROTA'!K:K,""))</f>
        <v/>
      </c>
      <c r="N563" s="145"/>
      <c r="S563" s="117"/>
      <c r="T563" s="141"/>
      <c r="U563" s="142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  <c r="AM563" s="117"/>
    </row>
    <row r="564" spans="1:39" ht="18" hidden="1" customHeight="1" x14ac:dyDescent="0.25">
      <c r="A564" s="117">
        <v>563</v>
      </c>
      <c r="B564" s="117"/>
      <c r="C564" s="136" t="str">
        <f t="array" aca="1" ref="C564" ca="1">IF(F564="", "", IF(B564&lt;&gt;"x", C563, "OS-" &amp; YEAR(TODAY()) &amp; "-" &amp; TEXT(MAX(IFERROR(VALUE(RIGHT($C$1:C563, 4)), 0)) + 1, "0000")))</f>
        <v/>
      </c>
      <c r="D564" s="146" t="str">
        <f t="array" aca="1" ref="D564" ca="1">IF(C564="","",SUM(--(_xlfn.UNIQUE(_xlfn._xlws.FILTER($M$2:$M$1011&amp;"",($C$2:$C$1011=C564)*($M$2:$M$1011&lt;&gt;"")))&lt;&gt;"")))</f>
        <v/>
      </c>
      <c r="E564" s="166" t="str">
        <f t="shared" ca="1" si="38"/>
        <v/>
      </c>
      <c r="H564" s="119" t="str">
        <f>IF(G564="","",_xlfn.XLOOKUP(G564,'🚛 FROTA'!B:B,'🚛 FROTA'!A:A,""))</f>
        <v/>
      </c>
      <c r="I564" s="119"/>
      <c r="J564" s="119" t="str">
        <f>IF(G564="","",_xlfn.XLOOKUP(G564,'🚛 FROTA'!B:B,'🚛 FROTA'!E:E,""))</f>
        <v/>
      </c>
      <c r="K564" s="119" t="str">
        <f>IF(G564="","",_xlfn.XLOOKUP(G564,'🚛 FROTA'!B:B,'🚛 FROTA'!K:K,""))</f>
        <v/>
      </c>
      <c r="N564" s="145"/>
      <c r="S564" s="117"/>
      <c r="T564" s="141"/>
      <c r="U564" s="142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  <c r="AM564" s="117"/>
    </row>
    <row r="565" spans="1:39" ht="18" hidden="1" customHeight="1" x14ac:dyDescent="0.25">
      <c r="A565" s="117">
        <v>564</v>
      </c>
      <c r="B565" s="117"/>
      <c r="C565" s="136" t="str">
        <f t="array" aca="1" ref="C565" ca="1">IF(F565="", "", IF(B565&lt;&gt;"x", C564, "OS-" &amp; YEAR(TODAY()) &amp; "-" &amp; TEXT(MAX(IFERROR(VALUE(RIGHT($C$1:C564, 4)), 0)) + 1, "0000")))</f>
        <v/>
      </c>
      <c r="D565" s="146" t="str">
        <f t="array" aca="1" ref="D565" ca="1">IF(C565="","",SUM(--(_xlfn.UNIQUE(_xlfn._xlws.FILTER($M$2:$M$1011&amp;"",($C$2:$C$1011=C565)*($M$2:$M$1011&lt;&gt;"")))&lt;&gt;"")))</f>
        <v/>
      </c>
      <c r="E565" s="166" t="str">
        <f t="shared" ca="1" si="38"/>
        <v/>
      </c>
      <c r="H565" s="119" t="str">
        <f>IF(G565="","",_xlfn.XLOOKUP(G565,'🚛 FROTA'!B:B,'🚛 FROTA'!A:A,""))</f>
        <v/>
      </c>
      <c r="I565" s="119"/>
      <c r="J565" s="119" t="str">
        <f>IF(G565="","",_xlfn.XLOOKUP(G565,'🚛 FROTA'!B:B,'🚛 FROTA'!E:E,""))</f>
        <v/>
      </c>
      <c r="K565" s="119" t="str">
        <f>IF(G565="","",_xlfn.XLOOKUP(G565,'🚛 FROTA'!B:B,'🚛 FROTA'!K:K,""))</f>
        <v/>
      </c>
      <c r="N565" s="145"/>
      <c r="S565" s="117"/>
      <c r="T565" s="141"/>
      <c r="U565" s="142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  <c r="AM565" s="117"/>
    </row>
    <row r="566" spans="1:39" ht="18" hidden="1" customHeight="1" x14ac:dyDescent="0.25">
      <c r="A566" s="117">
        <v>565</v>
      </c>
      <c r="B566" s="117"/>
      <c r="C566" s="136" t="str">
        <f t="array" aca="1" ref="C566" ca="1">IF(F566="", "", IF(B566&lt;&gt;"x", C565, "OS-" &amp; YEAR(TODAY()) &amp; "-" &amp; TEXT(MAX(IFERROR(VALUE(RIGHT($C$1:C565, 4)), 0)) + 1, "0000")))</f>
        <v/>
      </c>
      <c r="D566" s="146" t="str">
        <f t="array" aca="1" ref="D566" ca="1">IF(C566="","",SUM(--(_xlfn.UNIQUE(_xlfn._xlws.FILTER($M$2:$M$1011&amp;"",($C$2:$C$1011=C566)*($M$2:$M$1011&lt;&gt;"")))&lt;&gt;"")))</f>
        <v/>
      </c>
      <c r="E566" s="166" t="str">
        <f t="shared" ca="1" si="38"/>
        <v/>
      </c>
      <c r="H566" s="119" t="str">
        <f>IF(G566="","",_xlfn.XLOOKUP(G566,'🚛 FROTA'!B:B,'🚛 FROTA'!A:A,""))</f>
        <v/>
      </c>
      <c r="I566" s="119"/>
      <c r="J566" s="119" t="str">
        <f>IF(G566="","",_xlfn.XLOOKUP(G566,'🚛 FROTA'!B:B,'🚛 FROTA'!E:E,""))</f>
        <v/>
      </c>
      <c r="K566" s="119" t="str">
        <f>IF(G566="","",_xlfn.XLOOKUP(G566,'🚛 FROTA'!B:B,'🚛 FROTA'!K:K,""))</f>
        <v/>
      </c>
      <c r="N566" s="145"/>
      <c r="S566" s="117"/>
      <c r="T566" s="141"/>
      <c r="U566" s="142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  <c r="AM566" s="117"/>
    </row>
    <row r="567" spans="1:39" ht="18" hidden="1" customHeight="1" x14ac:dyDescent="0.25">
      <c r="A567" s="117">
        <v>566</v>
      </c>
      <c r="B567" s="117"/>
      <c r="C567" s="136" t="str">
        <f t="array" aca="1" ref="C567" ca="1">IF(F567="", "", IF(B567&lt;&gt;"x", C566, "OS-" &amp; YEAR(TODAY()) &amp; "-" &amp; TEXT(MAX(IFERROR(VALUE(RIGHT($C$1:C566, 4)), 0)) + 1, "0000")))</f>
        <v/>
      </c>
      <c r="D567" s="146" t="str">
        <f t="array" aca="1" ref="D567" ca="1">IF(C567="","",SUM(--(_xlfn.UNIQUE(_xlfn._xlws.FILTER($M$2:$M$1011&amp;"",($C$2:$C$1011=C567)*($M$2:$M$1011&lt;&gt;"")))&lt;&gt;"")))</f>
        <v/>
      </c>
      <c r="E567" s="166" t="str">
        <f t="shared" ca="1" si="38"/>
        <v/>
      </c>
      <c r="H567" s="119" t="str">
        <f>IF(G567="","",_xlfn.XLOOKUP(G567,'🚛 FROTA'!B:B,'🚛 FROTA'!A:A,""))</f>
        <v/>
      </c>
      <c r="I567" s="119"/>
      <c r="J567" s="119" t="str">
        <f>IF(G567="","",_xlfn.XLOOKUP(G567,'🚛 FROTA'!B:B,'🚛 FROTA'!E:E,""))</f>
        <v/>
      </c>
      <c r="K567" s="119" t="str">
        <f>IF(G567="","",_xlfn.XLOOKUP(G567,'🚛 FROTA'!B:B,'🚛 FROTA'!K:K,""))</f>
        <v/>
      </c>
      <c r="N567" s="145"/>
      <c r="S567" s="117"/>
      <c r="T567" s="141"/>
      <c r="U567" s="142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</row>
    <row r="568" spans="1:39" ht="18" hidden="1" customHeight="1" x14ac:dyDescent="0.25">
      <c r="A568" s="117">
        <v>567</v>
      </c>
      <c r="B568" s="117"/>
      <c r="C568" s="136" t="str">
        <f t="array" aca="1" ref="C568" ca="1">IF(F568="", "", IF(B568&lt;&gt;"x", C567, "OS-" &amp; YEAR(TODAY()) &amp; "-" &amp; TEXT(MAX(IFERROR(VALUE(RIGHT($C$1:C567, 4)), 0)) + 1, "0000")))</f>
        <v/>
      </c>
      <c r="D568" s="146" t="str">
        <f t="array" aca="1" ref="D568" ca="1">IF(C568="","",SUM(--(_xlfn.UNIQUE(_xlfn._xlws.FILTER($M$2:$M$1011&amp;"",($C$2:$C$1011=C568)*($M$2:$M$1011&lt;&gt;"")))&lt;&gt;"")))</f>
        <v/>
      </c>
      <c r="E568" s="166" t="str">
        <f t="shared" ca="1" si="38"/>
        <v/>
      </c>
      <c r="H568" s="119" t="str">
        <f>IF(G568="","",_xlfn.XLOOKUP(G568,'🚛 FROTA'!B:B,'🚛 FROTA'!A:A,""))</f>
        <v/>
      </c>
      <c r="I568" s="119"/>
      <c r="J568" s="119" t="str">
        <f>IF(G568="","",_xlfn.XLOOKUP(G568,'🚛 FROTA'!B:B,'🚛 FROTA'!E:E,""))</f>
        <v/>
      </c>
      <c r="K568" s="119" t="str">
        <f>IF(G568="","",_xlfn.XLOOKUP(G568,'🚛 FROTA'!B:B,'🚛 FROTA'!K:K,""))</f>
        <v/>
      </c>
      <c r="N568" s="145"/>
      <c r="S568" s="117"/>
      <c r="T568" s="141"/>
      <c r="U568" s="142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  <c r="AM568" s="117"/>
    </row>
    <row r="569" spans="1:39" ht="18" hidden="1" customHeight="1" x14ac:dyDescent="0.25">
      <c r="A569" s="117">
        <v>568</v>
      </c>
      <c r="B569" s="117"/>
      <c r="C569" s="136" t="str">
        <f t="array" aca="1" ref="C569" ca="1">IF(F569="", "", IF(B569&lt;&gt;"x", C568, "OS-" &amp; YEAR(TODAY()) &amp; "-" &amp; TEXT(MAX(IFERROR(VALUE(RIGHT($C$1:C568, 4)), 0)) + 1, "0000")))</f>
        <v/>
      </c>
      <c r="D569" s="146" t="str">
        <f t="array" aca="1" ref="D569" ca="1">IF(C569="","",SUM(--(_xlfn.UNIQUE(_xlfn._xlws.FILTER($M$2:$M$1011&amp;"",($C$2:$C$1011=C569)*($M$2:$M$1011&lt;&gt;"")))&lt;&gt;"")))</f>
        <v/>
      </c>
      <c r="E569" s="166" t="str">
        <f t="shared" ca="1" si="38"/>
        <v/>
      </c>
      <c r="H569" s="119" t="str">
        <f>IF(G569="","",_xlfn.XLOOKUP(G569,'🚛 FROTA'!B:B,'🚛 FROTA'!A:A,""))</f>
        <v/>
      </c>
      <c r="I569" s="119"/>
      <c r="J569" s="119" t="str">
        <f>IF(G569="","",_xlfn.XLOOKUP(G569,'🚛 FROTA'!B:B,'🚛 FROTA'!E:E,""))</f>
        <v/>
      </c>
      <c r="K569" s="119" t="str">
        <f>IF(G569="","",_xlfn.XLOOKUP(G569,'🚛 FROTA'!B:B,'🚛 FROTA'!K:K,""))</f>
        <v/>
      </c>
      <c r="N569" s="145"/>
      <c r="S569" s="117"/>
      <c r="T569" s="141"/>
      <c r="U569" s="142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  <c r="AM569" s="117"/>
    </row>
    <row r="570" spans="1:39" ht="18" hidden="1" customHeight="1" x14ac:dyDescent="0.25">
      <c r="A570" s="117">
        <v>569</v>
      </c>
      <c r="B570" s="117"/>
      <c r="C570" s="136" t="str">
        <f t="array" aca="1" ref="C570" ca="1">IF(F570="", "", IF(B570&lt;&gt;"x", C569, "OS-" &amp; YEAR(TODAY()) &amp; "-" &amp; TEXT(MAX(IFERROR(VALUE(RIGHT($C$1:C569, 4)), 0)) + 1, "0000")))</f>
        <v/>
      </c>
      <c r="D570" s="146" t="str">
        <f t="array" aca="1" ref="D570" ca="1">IF(C570="","",SUM(--(_xlfn.UNIQUE(_xlfn._xlws.FILTER($M$2:$M$1011&amp;"",($C$2:$C$1011=C570)*($M$2:$M$1011&lt;&gt;"")))&lt;&gt;"")))</f>
        <v/>
      </c>
      <c r="E570" s="166" t="str">
        <f t="shared" ca="1" si="38"/>
        <v/>
      </c>
      <c r="H570" s="119" t="str">
        <f>IF(G570="","",_xlfn.XLOOKUP(G570,'🚛 FROTA'!B:B,'🚛 FROTA'!A:A,""))</f>
        <v/>
      </c>
      <c r="I570" s="119"/>
      <c r="J570" s="119" t="str">
        <f>IF(G570="","",_xlfn.XLOOKUP(G570,'🚛 FROTA'!B:B,'🚛 FROTA'!E:E,""))</f>
        <v/>
      </c>
      <c r="K570" s="119" t="str">
        <f>IF(G570="","",_xlfn.XLOOKUP(G570,'🚛 FROTA'!B:B,'🚛 FROTA'!K:K,""))</f>
        <v/>
      </c>
      <c r="N570" s="145"/>
      <c r="S570" s="117"/>
      <c r="T570" s="141"/>
      <c r="U570" s="142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</row>
    <row r="571" spans="1:39" ht="18" hidden="1" customHeight="1" x14ac:dyDescent="0.25">
      <c r="A571" s="117">
        <v>570</v>
      </c>
      <c r="B571" s="117"/>
      <c r="C571" s="136" t="str">
        <f t="array" aca="1" ref="C571" ca="1">IF(F571="", "", IF(B571&lt;&gt;"x", C570, "OS-" &amp; YEAR(TODAY()) &amp; "-" &amp; TEXT(MAX(IFERROR(VALUE(RIGHT($C$1:C570, 4)), 0)) + 1, "0000")))</f>
        <v/>
      </c>
      <c r="D571" s="146" t="str">
        <f t="array" aca="1" ref="D571" ca="1">IF(C571="","",SUM(--(_xlfn.UNIQUE(_xlfn._xlws.FILTER($M$2:$M$1011&amp;"",($C$2:$C$1011=C571)*($M$2:$M$1011&lt;&gt;"")))&lt;&gt;"")))</f>
        <v/>
      </c>
      <c r="E571" s="166" t="str">
        <f t="shared" ca="1" si="38"/>
        <v/>
      </c>
      <c r="H571" s="119" t="str">
        <f>IF(G571="","",_xlfn.XLOOKUP(G571,'🚛 FROTA'!B:B,'🚛 FROTA'!A:A,""))</f>
        <v/>
      </c>
      <c r="I571" s="119"/>
      <c r="J571" s="119" t="str">
        <f>IF(G571="","",_xlfn.XLOOKUP(G571,'🚛 FROTA'!B:B,'🚛 FROTA'!E:E,""))</f>
        <v/>
      </c>
      <c r="K571" s="119" t="str">
        <f>IF(G571="","",_xlfn.XLOOKUP(G571,'🚛 FROTA'!B:B,'🚛 FROTA'!K:K,""))</f>
        <v/>
      </c>
      <c r="N571" s="145"/>
      <c r="S571" s="117"/>
      <c r="T571" s="141"/>
      <c r="U571" s="142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  <c r="AM571" s="117"/>
    </row>
    <row r="572" spans="1:39" ht="18" hidden="1" customHeight="1" x14ac:dyDescent="0.25">
      <c r="A572" s="117">
        <v>571</v>
      </c>
      <c r="B572" s="117"/>
      <c r="C572" s="136" t="str">
        <f t="array" aca="1" ref="C572" ca="1">IF(F572="", "", IF(B572&lt;&gt;"x", C571, "OS-" &amp; YEAR(TODAY()) &amp; "-" &amp; TEXT(MAX(IFERROR(VALUE(RIGHT($C$1:C571, 4)), 0)) + 1, "0000")))</f>
        <v/>
      </c>
      <c r="D572" s="146" t="str">
        <f t="array" aca="1" ref="D572" ca="1">IF(C572="","",SUM(--(_xlfn.UNIQUE(_xlfn._xlws.FILTER($M$2:$M$1011&amp;"",($C$2:$C$1011=C572)*($M$2:$M$1011&lt;&gt;"")))&lt;&gt;"")))</f>
        <v/>
      </c>
      <c r="E572" s="166" t="str">
        <f t="shared" ca="1" si="38"/>
        <v/>
      </c>
      <c r="H572" s="119" t="str">
        <f>IF(G572="","",_xlfn.XLOOKUP(G572,'🚛 FROTA'!B:B,'🚛 FROTA'!A:A,""))</f>
        <v/>
      </c>
      <c r="I572" s="119"/>
      <c r="J572" s="119" t="str">
        <f>IF(G572="","",_xlfn.XLOOKUP(G572,'🚛 FROTA'!B:B,'🚛 FROTA'!E:E,""))</f>
        <v/>
      </c>
      <c r="K572" s="119" t="str">
        <f>IF(G572="","",_xlfn.XLOOKUP(G572,'🚛 FROTA'!B:B,'🚛 FROTA'!K:K,""))</f>
        <v/>
      </c>
      <c r="N572" s="145"/>
      <c r="S572" s="117"/>
      <c r="T572" s="141"/>
      <c r="U572" s="142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  <c r="AM572" s="117"/>
    </row>
    <row r="573" spans="1:39" ht="18" hidden="1" customHeight="1" x14ac:dyDescent="0.25">
      <c r="A573" s="117">
        <v>572</v>
      </c>
      <c r="B573" s="117"/>
      <c r="C573" s="136" t="str">
        <f t="array" aca="1" ref="C573" ca="1">IF(F573="", "", IF(B573&lt;&gt;"x", C572, "OS-" &amp; YEAR(TODAY()) &amp; "-" &amp; TEXT(MAX(IFERROR(VALUE(RIGHT($C$1:C572, 4)), 0)) + 1, "0000")))</f>
        <v/>
      </c>
      <c r="D573" s="146" t="str">
        <f t="array" aca="1" ref="D573" ca="1">IF(C573="","",SUM(--(_xlfn.UNIQUE(_xlfn._xlws.FILTER($M$2:$M$1011&amp;"",($C$2:$C$1011=C573)*($M$2:$M$1011&lt;&gt;"")))&lt;&gt;"")))</f>
        <v/>
      </c>
      <c r="E573" s="166" t="str">
        <f t="shared" ca="1" si="38"/>
        <v/>
      </c>
      <c r="H573" s="119" t="str">
        <f>IF(G573="","",_xlfn.XLOOKUP(G573,'🚛 FROTA'!B:B,'🚛 FROTA'!A:A,""))</f>
        <v/>
      </c>
      <c r="I573" s="119"/>
      <c r="J573" s="119" t="str">
        <f>IF(G573="","",_xlfn.XLOOKUP(G573,'🚛 FROTA'!B:B,'🚛 FROTA'!E:E,""))</f>
        <v/>
      </c>
      <c r="K573" s="119" t="str">
        <f>IF(G573="","",_xlfn.XLOOKUP(G573,'🚛 FROTA'!B:B,'🚛 FROTA'!K:K,""))</f>
        <v/>
      </c>
      <c r="N573" s="145"/>
      <c r="S573" s="117"/>
      <c r="T573" s="141"/>
      <c r="U573" s="142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  <c r="AM573" s="117"/>
    </row>
    <row r="574" spans="1:39" ht="18" hidden="1" customHeight="1" x14ac:dyDescent="0.25">
      <c r="A574" s="117">
        <v>573</v>
      </c>
      <c r="B574" s="117"/>
      <c r="C574" s="136" t="str">
        <f t="array" aca="1" ref="C574" ca="1">IF(F574="", "", IF(B574&lt;&gt;"x", C573, "OS-" &amp; YEAR(TODAY()) &amp; "-" &amp; TEXT(MAX(IFERROR(VALUE(RIGHT($C$1:C573, 4)), 0)) + 1, "0000")))</f>
        <v/>
      </c>
      <c r="D574" s="146" t="str">
        <f t="array" aca="1" ref="D574" ca="1">IF(C574="","",SUM(--(_xlfn.UNIQUE(_xlfn._xlws.FILTER($M$2:$M$1011&amp;"",($C$2:$C$1011=C574)*($M$2:$M$1011&lt;&gt;"")))&lt;&gt;"")))</f>
        <v/>
      </c>
      <c r="E574" s="166" t="str">
        <f t="shared" ca="1" si="38"/>
        <v/>
      </c>
      <c r="H574" s="119" t="str">
        <f>IF(G574="","",_xlfn.XLOOKUP(G574,'🚛 FROTA'!B:B,'🚛 FROTA'!A:A,""))</f>
        <v/>
      </c>
      <c r="I574" s="119"/>
      <c r="J574" s="119" t="str">
        <f>IF(G574="","",_xlfn.XLOOKUP(G574,'🚛 FROTA'!B:B,'🚛 FROTA'!E:E,""))</f>
        <v/>
      </c>
      <c r="K574" s="119" t="str">
        <f>IF(G574="","",_xlfn.XLOOKUP(G574,'🚛 FROTA'!B:B,'🚛 FROTA'!K:K,""))</f>
        <v/>
      </c>
      <c r="N574" s="145"/>
      <c r="S574" s="117"/>
      <c r="T574" s="141"/>
      <c r="U574" s="142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  <c r="AM574" s="117"/>
    </row>
    <row r="575" spans="1:39" ht="18" hidden="1" customHeight="1" x14ac:dyDescent="0.25">
      <c r="A575" s="117">
        <v>574</v>
      </c>
      <c r="B575" s="117"/>
      <c r="C575" s="136" t="str">
        <f t="array" aca="1" ref="C575" ca="1">IF(F575="", "", IF(B575&lt;&gt;"x", C574, "OS-" &amp; YEAR(TODAY()) &amp; "-" &amp; TEXT(MAX(IFERROR(VALUE(RIGHT($C$1:C574, 4)), 0)) + 1, "0000")))</f>
        <v/>
      </c>
      <c r="D575" s="146" t="str">
        <f t="array" aca="1" ref="D575" ca="1">IF(C575="","",SUM(--(_xlfn.UNIQUE(_xlfn._xlws.FILTER($M$2:$M$1011&amp;"",($C$2:$C$1011=C575)*($M$2:$M$1011&lt;&gt;"")))&lt;&gt;"")))</f>
        <v/>
      </c>
      <c r="E575" s="166" t="str">
        <f t="shared" ca="1" si="38"/>
        <v/>
      </c>
      <c r="H575" s="119" t="str">
        <f>IF(G575="","",_xlfn.XLOOKUP(G575,'🚛 FROTA'!B:B,'🚛 FROTA'!A:A,""))</f>
        <v/>
      </c>
      <c r="I575" s="119"/>
      <c r="J575" s="119" t="str">
        <f>IF(G575="","",_xlfn.XLOOKUP(G575,'🚛 FROTA'!B:B,'🚛 FROTA'!E:E,""))</f>
        <v/>
      </c>
      <c r="K575" s="119" t="str">
        <f>IF(G575="","",_xlfn.XLOOKUP(G575,'🚛 FROTA'!B:B,'🚛 FROTA'!K:K,""))</f>
        <v/>
      </c>
      <c r="N575" s="145"/>
      <c r="S575" s="117"/>
      <c r="T575" s="141"/>
      <c r="U575" s="142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  <c r="AM575" s="117"/>
    </row>
    <row r="576" spans="1:39" ht="18" hidden="1" customHeight="1" x14ac:dyDescent="0.25">
      <c r="A576" s="117">
        <v>575</v>
      </c>
      <c r="B576" s="117"/>
      <c r="C576" s="136" t="str">
        <f t="array" aca="1" ref="C576" ca="1">IF(F576="", "", IF(B576&lt;&gt;"x", C575, "OS-" &amp; YEAR(TODAY()) &amp; "-" &amp; TEXT(MAX(IFERROR(VALUE(RIGHT($C$1:C575, 4)), 0)) + 1, "0000")))</f>
        <v/>
      </c>
      <c r="D576" s="146" t="str">
        <f t="array" aca="1" ref="D576" ca="1">IF(C576="","",SUM(--(_xlfn.UNIQUE(_xlfn._xlws.FILTER($M$2:$M$1011&amp;"",($C$2:$C$1011=C576)*($M$2:$M$1011&lt;&gt;"")))&lt;&gt;"")))</f>
        <v/>
      </c>
      <c r="E576" s="166" t="str">
        <f t="shared" ca="1" si="38"/>
        <v/>
      </c>
      <c r="H576" s="119" t="str">
        <f>IF(G576="","",_xlfn.XLOOKUP(G576,'🚛 FROTA'!B:B,'🚛 FROTA'!A:A,""))</f>
        <v/>
      </c>
      <c r="I576" s="119"/>
      <c r="J576" s="119" t="str">
        <f>IF(G576="","",_xlfn.XLOOKUP(G576,'🚛 FROTA'!B:B,'🚛 FROTA'!E:E,""))</f>
        <v/>
      </c>
      <c r="K576" s="119" t="str">
        <f>IF(G576="","",_xlfn.XLOOKUP(G576,'🚛 FROTA'!B:B,'🚛 FROTA'!K:K,""))</f>
        <v/>
      </c>
      <c r="N576" s="145"/>
      <c r="S576" s="117"/>
      <c r="T576" s="141"/>
      <c r="U576" s="142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  <c r="AM576" s="117"/>
    </row>
    <row r="577" spans="1:39" ht="18" hidden="1" customHeight="1" x14ac:dyDescent="0.25">
      <c r="A577" s="117">
        <v>576</v>
      </c>
      <c r="B577" s="117"/>
      <c r="C577" s="136" t="str">
        <f t="array" aca="1" ref="C577" ca="1">IF(F577="", "", IF(B577&lt;&gt;"x", C576, "OS-" &amp; YEAR(TODAY()) &amp; "-" &amp; TEXT(MAX(IFERROR(VALUE(RIGHT($C$1:C576, 4)), 0)) + 1, "0000")))</f>
        <v/>
      </c>
      <c r="D577" s="146" t="str">
        <f t="array" aca="1" ref="D577" ca="1">IF(C577="","",SUM(--(_xlfn.UNIQUE(_xlfn._xlws.FILTER($M$2:$M$1011&amp;"",($C$2:$C$1011=C577)*($M$2:$M$1011&lt;&gt;"")))&lt;&gt;"")))</f>
        <v/>
      </c>
      <c r="E577" s="166" t="str">
        <f t="shared" ref="E577:E612" ca="1" si="39">IF(C577="", "", SUMIF(C:C, C577, Q:Q))</f>
        <v/>
      </c>
      <c r="H577" s="119" t="str">
        <f>IF(G577="","",_xlfn.XLOOKUP(G577,'🚛 FROTA'!B:B,'🚛 FROTA'!A:A,""))</f>
        <v/>
      </c>
      <c r="I577" s="119"/>
      <c r="J577" s="119" t="str">
        <f>IF(G577="","",_xlfn.XLOOKUP(G577,'🚛 FROTA'!B:B,'🚛 FROTA'!E:E,""))</f>
        <v/>
      </c>
      <c r="K577" s="119" t="str">
        <f>IF(G577="","",_xlfn.XLOOKUP(G577,'🚛 FROTA'!B:B,'🚛 FROTA'!K:K,""))</f>
        <v/>
      </c>
      <c r="N577" s="145"/>
      <c r="S577" s="117"/>
      <c r="T577" s="141"/>
      <c r="U577" s="142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  <c r="AM577" s="117"/>
    </row>
    <row r="578" spans="1:39" ht="18" hidden="1" customHeight="1" x14ac:dyDescent="0.25">
      <c r="A578" s="117">
        <v>577</v>
      </c>
      <c r="B578" s="117"/>
      <c r="C578" s="136" t="str">
        <f t="array" aca="1" ref="C578" ca="1">IF(F578="", "", IF(B578&lt;&gt;"x", C577, "OS-" &amp; YEAR(TODAY()) &amp; "-" &amp; TEXT(MAX(IFERROR(VALUE(RIGHT($C$1:C577, 4)), 0)) + 1, "0000")))</f>
        <v/>
      </c>
      <c r="D578" s="146" t="str">
        <f t="array" aca="1" ref="D578" ca="1">IF(C578="","",SUM(--(_xlfn.UNIQUE(_xlfn._xlws.FILTER($M$2:$M$1011&amp;"",($C$2:$C$1011=C578)*($M$2:$M$1011&lt;&gt;"")))&lt;&gt;"")))</f>
        <v/>
      </c>
      <c r="E578" s="166" t="str">
        <f t="shared" ca="1" si="39"/>
        <v/>
      </c>
      <c r="H578" s="119" t="str">
        <f>IF(G578="","",_xlfn.XLOOKUP(G578,'🚛 FROTA'!B:B,'🚛 FROTA'!A:A,""))</f>
        <v/>
      </c>
      <c r="I578" s="119"/>
      <c r="J578" s="119" t="str">
        <f>IF(G578="","",_xlfn.XLOOKUP(G578,'🚛 FROTA'!B:B,'🚛 FROTA'!E:E,""))</f>
        <v/>
      </c>
      <c r="K578" s="119" t="str">
        <f>IF(G578="","",_xlfn.XLOOKUP(G578,'🚛 FROTA'!B:B,'🚛 FROTA'!K:K,""))</f>
        <v/>
      </c>
      <c r="N578" s="145"/>
      <c r="S578" s="117"/>
      <c r="T578" s="141"/>
      <c r="U578" s="142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  <c r="AM578" s="117"/>
    </row>
    <row r="579" spans="1:39" ht="18" hidden="1" customHeight="1" x14ac:dyDescent="0.25">
      <c r="A579" s="117">
        <v>578</v>
      </c>
      <c r="B579" s="117"/>
      <c r="C579" s="136" t="str">
        <f t="array" aca="1" ref="C579" ca="1">IF(F579="", "", IF(B579&lt;&gt;"x", C578, "OS-" &amp; YEAR(TODAY()) &amp; "-" &amp; TEXT(MAX(IFERROR(VALUE(RIGHT($C$1:C578, 4)), 0)) + 1, "0000")))</f>
        <v/>
      </c>
      <c r="D579" s="146" t="str">
        <f t="array" aca="1" ref="D579" ca="1">IF(C579="","",SUM(--(_xlfn.UNIQUE(_xlfn._xlws.FILTER($M$2:$M$1011&amp;"",($C$2:$C$1011=C579)*($M$2:$M$1011&lt;&gt;"")))&lt;&gt;"")))</f>
        <v/>
      </c>
      <c r="E579" s="166" t="str">
        <f t="shared" ca="1" si="39"/>
        <v/>
      </c>
      <c r="H579" s="119" t="str">
        <f>IF(G579="","",_xlfn.XLOOKUP(G579,'🚛 FROTA'!B:B,'🚛 FROTA'!A:A,""))</f>
        <v/>
      </c>
      <c r="I579" s="119"/>
      <c r="J579" s="119" t="str">
        <f>IF(G579="","",_xlfn.XLOOKUP(G579,'🚛 FROTA'!B:B,'🚛 FROTA'!E:E,""))</f>
        <v/>
      </c>
      <c r="K579" s="119" t="str">
        <f>IF(G579="","",_xlfn.XLOOKUP(G579,'🚛 FROTA'!B:B,'🚛 FROTA'!K:K,""))</f>
        <v/>
      </c>
      <c r="N579" s="145"/>
      <c r="S579" s="117"/>
      <c r="T579" s="141"/>
      <c r="U579" s="142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  <c r="AM579" s="117"/>
    </row>
    <row r="580" spans="1:39" ht="18" hidden="1" customHeight="1" x14ac:dyDescent="0.25">
      <c r="A580" s="117">
        <v>579</v>
      </c>
      <c r="B580" s="117"/>
      <c r="C580" s="136" t="str">
        <f t="array" aca="1" ref="C580" ca="1">IF(F580="", "", IF(B580&lt;&gt;"x", C579, "OS-" &amp; YEAR(TODAY()) &amp; "-" &amp; TEXT(MAX(IFERROR(VALUE(RIGHT($C$1:C579, 4)), 0)) + 1, "0000")))</f>
        <v/>
      </c>
      <c r="D580" s="146" t="str">
        <f t="array" aca="1" ref="D580" ca="1">IF(C580="","",SUM(--(_xlfn.UNIQUE(_xlfn._xlws.FILTER($M$2:$M$1011&amp;"",($C$2:$C$1011=C580)*($M$2:$M$1011&lt;&gt;"")))&lt;&gt;"")))</f>
        <v/>
      </c>
      <c r="E580" s="166" t="str">
        <f t="shared" ca="1" si="39"/>
        <v/>
      </c>
      <c r="H580" s="119" t="str">
        <f>IF(G580="","",_xlfn.XLOOKUP(G580,'🚛 FROTA'!B:B,'🚛 FROTA'!A:A,""))</f>
        <v/>
      </c>
      <c r="I580" s="119"/>
      <c r="J580" s="119" t="str">
        <f>IF(G580="","",_xlfn.XLOOKUP(G580,'🚛 FROTA'!B:B,'🚛 FROTA'!E:E,""))</f>
        <v/>
      </c>
      <c r="K580" s="119" t="str">
        <f>IF(G580="","",_xlfn.XLOOKUP(G580,'🚛 FROTA'!B:B,'🚛 FROTA'!K:K,""))</f>
        <v/>
      </c>
      <c r="N580" s="145"/>
      <c r="S580" s="117"/>
      <c r="T580" s="141"/>
      <c r="U580" s="142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  <c r="AM580" s="117"/>
    </row>
    <row r="581" spans="1:39" ht="18" hidden="1" customHeight="1" x14ac:dyDescent="0.25">
      <c r="A581" s="117">
        <v>580</v>
      </c>
      <c r="B581" s="117"/>
      <c r="C581" s="136" t="str">
        <f t="array" aca="1" ref="C581" ca="1">IF(F581="", "", IF(B581&lt;&gt;"x", C580, "OS-" &amp; YEAR(TODAY()) &amp; "-" &amp; TEXT(MAX(IFERROR(VALUE(RIGHT($C$1:C580, 4)), 0)) + 1, "0000")))</f>
        <v/>
      </c>
      <c r="D581" s="146" t="str">
        <f t="array" aca="1" ref="D581" ca="1">IF(C581="","",SUM(--(_xlfn.UNIQUE(_xlfn._xlws.FILTER($M$2:$M$1011&amp;"",($C$2:$C$1011=C581)*($M$2:$M$1011&lt;&gt;"")))&lt;&gt;"")))</f>
        <v/>
      </c>
      <c r="E581" s="166" t="str">
        <f t="shared" ca="1" si="39"/>
        <v/>
      </c>
      <c r="H581" s="119" t="str">
        <f>IF(G581="","",_xlfn.XLOOKUP(G581,'🚛 FROTA'!B:B,'🚛 FROTA'!A:A,""))</f>
        <v/>
      </c>
      <c r="I581" s="119"/>
      <c r="J581" s="119" t="str">
        <f>IF(G581="","",_xlfn.XLOOKUP(G581,'🚛 FROTA'!B:B,'🚛 FROTA'!E:E,""))</f>
        <v/>
      </c>
      <c r="K581" s="119" t="str">
        <f>IF(G581="","",_xlfn.XLOOKUP(G581,'🚛 FROTA'!B:B,'🚛 FROTA'!K:K,""))</f>
        <v/>
      </c>
      <c r="N581" s="145"/>
      <c r="S581" s="117"/>
      <c r="T581" s="141"/>
      <c r="U581" s="142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  <c r="AM581" s="117"/>
    </row>
    <row r="582" spans="1:39" ht="18" hidden="1" customHeight="1" x14ac:dyDescent="0.25">
      <c r="A582" s="117">
        <v>581</v>
      </c>
      <c r="B582" s="117"/>
      <c r="C582" s="136" t="str">
        <f t="array" aca="1" ref="C582" ca="1">IF(F582="", "", IF(B582&lt;&gt;"x", C581, "OS-" &amp; YEAR(TODAY()) &amp; "-" &amp; TEXT(MAX(IFERROR(VALUE(RIGHT($C$1:C581, 4)), 0)) + 1, "0000")))</f>
        <v/>
      </c>
      <c r="D582" s="146" t="str">
        <f t="array" aca="1" ref="D582" ca="1">IF(C582="","",SUM(--(_xlfn.UNIQUE(_xlfn._xlws.FILTER($M$2:$M$1011&amp;"",($C$2:$C$1011=C582)*($M$2:$M$1011&lt;&gt;"")))&lt;&gt;"")))</f>
        <v/>
      </c>
      <c r="E582" s="166" t="str">
        <f t="shared" ca="1" si="39"/>
        <v/>
      </c>
      <c r="H582" s="119" t="str">
        <f>IF(G582="","",_xlfn.XLOOKUP(G582,'🚛 FROTA'!B:B,'🚛 FROTA'!A:A,""))</f>
        <v/>
      </c>
      <c r="I582" s="119"/>
      <c r="J582" s="119" t="str">
        <f>IF(G582="","",_xlfn.XLOOKUP(G582,'🚛 FROTA'!B:B,'🚛 FROTA'!E:E,""))</f>
        <v/>
      </c>
      <c r="K582" s="119" t="str">
        <f>IF(G582="","",_xlfn.XLOOKUP(G582,'🚛 FROTA'!B:B,'🚛 FROTA'!K:K,""))</f>
        <v/>
      </c>
      <c r="N582" s="145"/>
      <c r="S582" s="117"/>
      <c r="T582" s="141"/>
      <c r="U582" s="142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</row>
    <row r="583" spans="1:39" ht="18" hidden="1" customHeight="1" x14ac:dyDescent="0.25">
      <c r="A583" s="117">
        <v>582</v>
      </c>
      <c r="B583" s="117"/>
      <c r="C583" s="136" t="str">
        <f t="array" aca="1" ref="C583" ca="1">IF(F583="", "", IF(B583&lt;&gt;"x", C582, "OS-" &amp; YEAR(TODAY()) &amp; "-" &amp; TEXT(MAX(IFERROR(VALUE(RIGHT($C$1:C582, 4)), 0)) + 1, "0000")))</f>
        <v/>
      </c>
      <c r="D583" s="146" t="str">
        <f t="array" aca="1" ref="D583" ca="1">IF(C583="","",SUM(--(_xlfn.UNIQUE(_xlfn._xlws.FILTER($M$2:$M$1011&amp;"",($C$2:$C$1011=C583)*($M$2:$M$1011&lt;&gt;"")))&lt;&gt;"")))</f>
        <v/>
      </c>
      <c r="E583" s="166" t="str">
        <f t="shared" ca="1" si="39"/>
        <v/>
      </c>
      <c r="H583" s="119" t="str">
        <f>IF(G583="","",_xlfn.XLOOKUP(G583,'🚛 FROTA'!B:B,'🚛 FROTA'!A:A,""))</f>
        <v/>
      </c>
      <c r="I583" s="119"/>
      <c r="J583" s="119" t="str">
        <f>IF(G583="","",_xlfn.XLOOKUP(G583,'🚛 FROTA'!B:B,'🚛 FROTA'!E:E,""))</f>
        <v/>
      </c>
      <c r="K583" s="119" t="str">
        <f>IF(G583="","",_xlfn.XLOOKUP(G583,'🚛 FROTA'!B:B,'🚛 FROTA'!K:K,""))</f>
        <v/>
      </c>
      <c r="N583" s="145"/>
      <c r="S583" s="117"/>
      <c r="T583" s="141"/>
      <c r="U583" s="142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  <c r="AM583" s="117"/>
    </row>
    <row r="584" spans="1:39" ht="18" hidden="1" customHeight="1" x14ac:dyDescent="0.25">
      <c r="A584" s="117">
        <v>583</v>
      </c>
      <c r="B584" s="117"/>
      <c r="C584" s="136" t="str">
        <f t="array" aca="1" ref="C584" ca="1">IF(F584="", "", IF(B584&lt;&gt;"x", C583, "OS-" &amp; YEAR(TODAY()) &amp; "-" &amp; TEXT(MAX(IFERROR(VALUE(RIGHT($C$1:C583, 4)), 0)) + 1, "0000")))</f>
        <v/>
      </c>
      <c r="D584" s="146" t="str">
        <f t="array" aca="1" ref="D584" ca="1">IF(C584="","",SUM(--(_xlfn.UNIQUE(_xlfn._xlws.FILTER($M$2:$M$1011&amp;"",($C$2:$C$1011=C584)*($M$2:$M$1011&lt;&gt;"")))&lt;&gt;"")))</f>
        <v/>
      </c>
      <c r="E584" s="166" t="str">
        <f t="shared" ca="1" si="39"/>
        <v/>
      </c>
      <c r="H584" s="119" t="str">
        <f>IF(G584="","",_xlfn.XLOOKUP(G584,'🚛 FROTA'!B:B,'🚛 FROTA'!A:A,""))</f>
        <v/>
      </c>
      <c r="I584" s="119"/>
      <c r="J584" s="119" t="str">
        <f>IF(G584="","",_xlfn.XLOOKUP(G584,'🚛 FROTA'!B:B,'🚛 FROTA'!E:E,""))</f>
        <v/>
      </c>
      <c r="K584" s="119" t="str">
        <f>IF(G584="","",_xlfn.XLOOKUP(G584,'🚛 FROTA'!B:B,'🚛 FROTA'!K:K,""))</f>
        <v/>
      </c>
      <c r="N584" s="145"/>
      <c r="S584" s="117"/>
      <c r="T584" s="141"/>
      <c r="U584" s="142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</row>
    <row r="585" spans="1:39" ht="18" hidden="1" customHeight="1" x14ac:dyDescent="0.25">
      <c r="A585" s="117">
        <v>584</v>
      </c>
      <c r="B585" s="117"/>
      <c r="C585" s="136" t="str">
        <f t="array" aca="1" ref="C585" ca="1">IF(F585="", "", IF(B585&lt;&gt;"x", C584, "OS-" &amp; YEAR(TODAY()) &amp; "-" &amp; TEXT(MAX(IFERROR(VALUE(RIGHT($C$1:C584, 4)), 0)) + 1, "0000")))</f>
        <v/>
      </c>
      <c r="D585" s="146" t="str">
        <f t="array" aca="1" ref="D585" ca="1">IF(C585="","",SUM(--(_xlfn.UNIQUE(_xlfn._xlws.FILTER($M$2:$M$1011&amp;"",($C$2:$C$1011=C585)*($M$2:$M$1011&lt;&gt;"")))&lt;&gt;"")))</f>
        <v/>
      </c>
      <c r="E585" s="166" t="str">
        <f t="shared" ca="1" si="39"/>
        <v/>
      </c>
      <c r="H585" s="119" t="str">
        <f>IF(G585="","",_xlfn.XLOOKUP(G585,'🚛 FROTA'!B:B,'🚛 FROTA'!A:A,""))</f>
        <v/>
      </c>
      <c r="I585" s="119"/>
      <c r="J585" s="119" t="str">
        <f>IF(G585="","",_xlfn.XLOOKUP(G585,'🚛 FROTA'!B:B,'🚛 FROTA'!E:E,""))</f>
        <v/>
      </c>
      <c r="K585" s="119" t="str">
        <f>IF(G585="","",_xlfn.XLOOKUP(G585,'🚛 FROTA'!B:B,'🚛 FROTA'!K:K,""))</f>
        <v/>
      </c>
      <c r="N585" s="145"/>
      <c r="S585" s="117"/>
      <c r="T585" s="141"/>
      <c r="U585" s="142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</row>
    <row r="586" spans="1:39" ht="18" hidden="1" customHeight="1" x14ac:dyDescent="0.25">
      <c r="A586" s="117">
        <v>585</v>
      </c>
      <c r="B586" s="117"/>
      <c r="C586" s="136" t="str">
        <f t="array" aca="1" ref="C586" ca="1">IF(F586="", "", IF(B586&lt;&gt;"x", C585, "OS-" &amp; YEAR(TODAY()) &amp; "-" &amp; TEXT(MAX(IFERROR(VALUE(RIGHT($C$1:C585, 4)), 0)) + 1, "0000")))</f>
        <v/>
      </c>
      <c r="D586" s="146" t="str">
        <f t="array" aca="1" ref="D586" ca="1">IF(C586="","",SUM(--(_xlfn.UNIQUE(_xlfn._xlws.FILTER($M$2:$M$1011&amp;"",($C$2:$C$1011=C586)*($M$2:$M$1011&lt;&gt;"")))&lt;&gt;"")))</f>
        <v/>
      </c>
      <c r="E586" s="166" t="str">
        <f t="shared" ca="1" si="39"/>
        <v/>
      </c>
      <c r="H586" s="119" t="str">
        <f>IF(G586="","",_xlfn.XLOOKUP(G586,'🚛 FROTA'!B:B,'🚛 FROTA'!A:A,""))</f>
        <v/>
      </c>
      <c r="I586" s="119"/>
      <c r="J586" s="119" t="str">
        <f>IF(G586="","",_xlfn.XLOOKUP(G586,'🚛 FROTA'!B:B,'🚛 FROTA'!E:E,""))</f>
        <v/>
      </c>
      <c r="K586" s="119" t="str">
        <f>IF(G586="","",_xlfn.XLOOKUP(G586,'🚛 FROTA'!B:B,'🚛 FROTA'!K:K,""))</f>
        <v/>
      </c>
      <c r="N586" s="145"/>
      <c r="S586" s="117"/>
      <c r="T586" s="141"/>
      <c r="U586" s="142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</row>
    <row r="587" spans="1:39" ht="18" hidden="1" customHeight="1" x14ac:dyDescent="0.25">
      <c r="A587" s="117">
        <v>586</v>
      </c>
      <c r="B587" s="117"/>
      <c r="C587" s="136" t="str">
        <f t="array" aca="1" ref="C587" ca="1">IF(F587="", "", IF(B587&lt;&gt;"x", C586, "OS-" &amp; YEAR(TODAY()) &amp; "-" &amp; TEXT(MAX(IFERROR(VALUE(RIGHT($C$1:C586, 4)), 0)) + 1, "0000")))</f>
        <v/>
      </c>
      <c r="D587" s="146" t="str">
        <f t="array" aca="1" ref="D587" ca="1">IF(C587="","",SUM(--(_xlfn.UNIQUE(_xlfn._xlws.FILTER($M$2:$M$1011&amp;"",($C$2:$C$1011=C587)*($M$2:$M$1011&lt;&gt;"")))&lt;&gt;"")))</f>
        <v/>
      </c>
      <c r="E587" s="166" t="str">
        <f t="shared" ca="1" si="39"/>
        <v/>
      </c>
      <c r="H587" s="119" t="str">
        <f>IF(G587="","",_xlfn.XLOOKUP(G587,'🚛 FROTA'!B:B,'🚛 FROTA'!A:A,""))</f>
        <v/>
      </c>
      <c r="I587" s="119"/>
      <c r="J587" s="119" t="str">
        <f>IF(G587="","",_xlfn.XLOOKUP(G587,'🚛 FROTA'!B:B,'🚛 FROTA'!E:E,""))</f>
        <v/>
      </c>
      <c r="K587" s="119" t="str">
        <f>IF(G587="","",_xlfn.XLOOKUP(G587,'🚛 FROTA'!B:B,'🚛 FROTA'!K:K,""))</f>
        <v/>
      </c>
      <c r="N587" s="145"/>
      <c r="S587" s="117"/>
      <c r="T587" s="141"/>
      <c r="U587" s="142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  <c r="AM587" s="117"/>
    </row>
    <row r="588" spans="1:39" ht="18" hidden="1" customHeight="1" x14ac:dyDescent="0.25">
      <c r="A588" s="117">
        <v>587</v>
      </c>
      <c r="B588" s="117"/>
      <c r="C588" s="136" t="str">
        <f t="array" aca="1" ref="C588" ca="1">IF(F588="", "", IF(B588&lt;&gt;"x", C587, "OS-" &amp; YEAR(TODAY()) &amp; "-" &amp; TEXT(MAX(IFERROR(VALUE(RIGHT($C$1:C587, 4)), 0)) + 1, "0000")))</f>
        <v/>
      </c>
      <c r="D588" s="146" t="str">
        <f t="array" aca="1" ref="D588" ca="1">IF(C588="","",SUM(--(_xlfn.UNIQUE(_xlfn._xlws.FILTER($M$2:$M$1011&amp;"",($C$2:$C$1011=C588)*($M$2:$M$1011&lt;&gt;"")))&lt;&gt;"")))</f>
        <v/>
      </c>
      <c r="E588" s="166" t="str">
        <f t="shared" ca="1" si="39"/>
        <v/>
      </c>
      <c r="H588" s="119" t="str">
        <f>IF(G588="","",_xlfn.XLOOKUP(G588,'🚛 FROTA'!B:B,'🚛 FROTA'!A:A,""))</f>
        <v/>
      </c>
      <c r="I588" s="119"/>
      <c r="J588" s="119" t="str">
        <f>IF(G588="","",_xlfn.XLOOKUP(G588,'🚛 FROTA'!B:B,'🚛 FROTA'!E:E,""))</f>
        <v/>
      </c>
      <c r="K588" s="119" t="str">
        <f>IF(G588="","",_xlfn.XLOOKUP(G588,'🚛 FROTA'!B:B,'🚛 FROTA'!K:K,""))</f>
        <v/>
      </c>
      <c r="N588" s="145"/>
      <c r="S588" s="117"/>
      <c r="T588" s="141"/>
      <c r="U588" s="142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  <c r="AM588" s="117"/>
    </row>
    <row r="589" spans="1:39" ht="18" hidden="1" customHeight="1" x14ac:dyDescent="0.25">
      <c r="A589" s="117">
        <v>588</v>
      </c>
      <c r="B589" s="117"/>
      <c r="C589" s="136" t="str">
        <f t="array" aca="1" ref="C589" ca="1">IF(F589="", "", IF(B589&lt;&gt;"x", C588, "OS-" &amp; YEAR(TODAY()) &amp; "-" &amp; TEXT(MAX(IFERROR(VALUE(RIGHT($C$1:C588, 4)), 0)) + 1, "0000")))</f>
        <v/>
      </c>
      <c r="D589" s="146" t="str">
        <f t="array" aca="1" ref="D589" ca="1">IF(C589="","",SUM(--(_xlfn.UNIQUE(_xlfn._xlws.FILTER($M$2:$M$1011&amp;"",($C$2:$C$1011=C589)*($M$2:$M$1011&lt;&gt;"")))&lt;&gt;"")))</f>
        <v/>
      </c>
      <c r="E589" s="166" t="str">
        <f t="shared" ca="1" si="39"/>
        <v/>
      </c>
      <c r="H589" s="119" t="str">
        <f>IF(G589="","",_xlfn.XLOOKUP(G589,'🚛 FROTA'!B:B,'🚛 FROTA'!A:A,""))</f>
        <v/>
      </c>
      <c r="I589" s="119"/>
      <c r="J589" s="119" t="str">
        <f>IF(G589="","",_xlfn.XLOOKUP(G589,'🚛 FROTA'!B:B,'🚛 FROTA'!E:E,""))</f>
        <v/>
      </c>
      <c r="K589" s="119" t="str">
        <f>IF(G589="","",_xlfn.XLOOKUP(G589,'🚛 FROTA'!B:B,'🚛 FROTA'!K:K,""))</f>
        <v/>
      </c>
      <c r="N589" s="145"/>
      <c r="S589" s="117"/>
      <c r="T589" s="141"/>
      <c r="U589" s="142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  <c r="AM589" s="117"/>
    </row>
    <row r="590" spans="1:39" ht="18" hidden="1" customHeight="1" x14ac:dyDescent="0.25">
      <c r="A590" s="117">
        <v>589</v>
      </c>
      <c r="B590" s="117"/>
      <c r="C590" s="136" t="str">
        <f t="array" aca="1" ref="C590" ca="1">IF(F590="", "", IF(B590&lt;&gt;"x", C589, "OS-" &amp; YEAR(TODAY()) &amp; "-" &amp; TEXT(MAX(IFERROR(VALUE(RIGHT($C$1:C589, 4)), 0)) + 1, "0000")))</f>
        <v/>
      </c>
      <c r="D590" s="146" t="str">
        <f t="array" aca="1" ref="D590" ca="1">IF(C590="","",SUM(--(_xlfn.UNIQUE(_xlfn._xlws.FILTER($M$2:$M$1011&amp;"",($C$2:$C$1011=C590)*($M$2:$M$1011&lt;&gt;"")))&lt;&gt;"")))</f>
        <v/>
      </c>
      <c r="E590" s="166" t="str">
        <f t="shared" ca="1" si="39"/>
        <v/>
      </c>
      <c r="H590" s="119" t="str">
        <f>IF(G590="","",_xlfn.XLOOKUP(G590,'🚛 FROTA'!B:B,'🚛 FROTA'!A:A,""))</f>
        <v/>
      </c>
      <c r="I590" s="119"/>
      <c r="J590" s="119" t="str">
        <f>IF(G590="","",_xlfn.XLOOKUP(G590,'🚛 FROTA'!B:B,'🚛 FROTA'!E:E,""))</f>
        <v/>
      </c>
      <c r="K590" s="119" t="str">
        <f>IF(G590="","",_xlfn.XLOOKUP(G590,'🚛 FROTA'!B:B,'🚛 FROTA'!K:K,""))</f>
        <v/>
      </c>
      <c r="N590" s="145"/>
      <c r="S590" s="117"/>
      <c r="T590" s="141"/>
      <c r="U590" s="142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  <c r="AM590" s="117"/>
    </row>
    <row r="591" spans="1:39" ht="18" hidden="1" customHeight="1" x14ac:dyDescent="0.25">
      <c r="A591" s="117">
        <v>590</v>
      </c>
      <c r="B591" s="117"/>
      <c r="C591" s="136" t="str">
        <f t="array" aca="1" ref="C591" ca="1">IF(F591="", "", IF(B591&lt;&gt;"x", C590, "OS-" &amp; YEAR(TODAY()) &amp; "-" &amp; TEXT(MAX(IFERROR(VALUE(RIGHT($C$1:C590, 4)), 0)) + 1, "0000")))</f>
        <v/>
      </c>
      <c r="D591" s="146" t="str">
        <f t="array" aca="1" ref="D591" ca="1">IF(C591="","",SUM(--(_xlfn.UNIQUE(_xlfn._xlws.FILTER($M$2:$M$1011&amp;"",($C$2:$C$1011=C591)*($M$2:$M$1011&lt;&gt;"")))&lt;&gt;"")))</f>
        <v/>
      </c>
      <c r="E591" s="166" t="str">
        <f t="shared" ca="1" si="39"/>
        <v/>
      </c>
      <c r="H591" s="119" t="str">
        <f>IF(G591="","",_xlfn.XLOOKUP(G591,'🚛 FROTA'!B:B,'🚛 FROTA'!A:A,""))</f>
        <v/>
      </c>
      <c r="I591" s="119"/>
      <c r="J591" s="119" t="str">
        <f>IF(G591="","",_xlfn.XLOOKUP(G591,'🚛 FROTA'!B:B,'🚛 FROTA'!E:E,""))</f>
        <v/>
      </c>
      <c r="K591" s="119" t="str">
        <f>IF(G591="","",_xlfn.XLOOKUP(G591,'🚛 FROTA'!B:B,'🚛 FROTA'!K:K,""))</f>
        <v/>
      </c>
      <c r="N591" s="145"/>
      <c r="S591" s="117"/>
      <c r="T591" s="141"/>
      <c r="U591" s="142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  <c r="AM591" s="117"/>
    </row>
    <row r="592" spans="1:39" ht="18" hidden="1" customHeight="1" x14ac:dyDescent="0.25">
      <c r="A592" s="117">
        <v>591</v>
      </c>
      <c r="B592" s="117"/>
      <c r="C592" s="136" t="str">
        <f t="array" aca="1" ref="C592" ca="1">IF(F592="", "", IF(B592&lt;&gt;"x", C591, "OS-" &amp; YEAR(TODAY()) &amp; "-" &amp; TEXT(MAX(IFERROR(VALUE(RIGHT($C$1:C591, 4)), 0)) + 1, "0000")))</f>
        <v/>
      </c>
      <c r="D592" s="146" t="str">
        <f t="array" aca="1" ref="D592" ca="1">IF(C592="","",SUM(--(_xlfn.UNIQUE(_xlfn._xlws.FILTER($M$2:$M$1011&amp;"",($C$2:$C$1011=C592)*($M$2:$M$1011&lt;&gt;"")))&lt;&gt;"")))</f>
        <v/>
      </c>
      <c r="E592" s="166" t="str">
        <f t="shared" ca="1" si="39"/>
        <v/>
      </c>
      <c r="H592" s="119" t="str">
        <f>IF(G592="","",_xlfn.XLOOKUP(G592,'🚛 FROTA'!B:B,'🚛 FROTA'!A:A,""))</f>
        <v/>
      </c>
      <c r="I592" s="119"/>
      <c r="J592" s="119" t="str">
        <f>IF(G592="","",_xlfn.XLOOKUP(G592,'🚛 FROTA'!B:B,'🚛 FROTA'!E:E,""))</f>
        <v/>
      </c>
      <c r="K592" s="119" t="str">
        <f>IF(G592="","",_xlfn.XLOOKUP(G592,'🚛 FROTA'!B:B,'🚛 FROTA'!K:K,""))</f>
        <v/>
      </c>
      <c r="N592" s="145"/>
      <c r="S592" s="117"/>
      <c r="T592" s="141"/>
      <c r="U592" s="142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  <c r="AM592" s="117"/>
    </row>
    <row r="593" spans="1:39" ht="18" hidden="1" customHeight="1" x14ac:dyDescent="0.25">
      <c r="A593" s="117">
        <v>592</v>
      </c>
      <c r="B593" s="117"/>
      <c r="C593" s="136" t="str">
        <f t="array" aca="1" ref="C593" ca="1">IF(F593="", "", IF(B593&lt;&gt;"x", C592, "OS-" &amp; YEAR(TODAY()) &amp; "-" &amp; TEXT(MAX(IFERROR(VALUE(RIGHT($C$1:C592, 4)), 0)) + 1, "0000")))</f>
        <v/>
      </c>
      <c r="D593" s="146" t="str">
        <f t="array" aca="1" ref="D593" ca="1">IF(C593="","",SUM(--(_xlfn.UNIQUE(_xlfn._xlws.FILTER($M$2:$M$1011&amp;"",($C$2:$C$1011=C593)*($M$2:$M$1011&lt;&gt;"")))&lt;&gt;"")))</f>
        <v/>
      </c>
      <c r="E593" s="166" t="str">
        <f t="shared" ca="1" si="39"/>
        <v/>
      </c>
      <c r="H593" s="119" t="str">
        <f>IF(G593="","",_xlfn.XLOOKUP(G593,'🚛 FROTA'!B:B,'🚛 FROTA'!A:A,""))</f>
        <v/>
      </c>
      <c r="I593" s="119"/>
      <c r="J593" s="119" t="str">
        <f>IF(G593="","",_xlfn.XLOOKUP(G593,'🚛 FROTA'!B:B,'🚛 FROTA'!E:E,""))</f>
        <v/>
      </c>
      <c r="K593" s="119" t="str">
        <f>IF(G593="","",_xlfn.XLOOKUP(G593,'🚛 FROTA'!B:B,'🚛 FROTA'!K:K,""))</f>
        <v/>
      </c>
      <c r="N593" s="145"/>
      <c r="S593" s="117"/>
      <c r="T593" s="141"/>
      <c r="U593" s="142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  <c r="AM593" s="117"/>
    </row>
    <row r="594" spans="1:39" ht="18" hidden="1" customHeight="1" x14ac:dyDescent="0.25">
      <c r="A594" s="117">
        <v>593</v>
      </c>
      <c r="B594" s="117"/>
      <c r="C594" s="136" t="str">
        <f t="array" aca="1" ref="C594" ca="1">IF(F594="", "", IF(B594&lt;&gt;"x", C593, "OS-" &amp; YEAR(TODAY()) &amp; "-" &amp; TEXT(MAX(IFERROR(VALUE(RIGHT($C$1:C593, 4)), 0)) + 1, "0000")))</f>
        <v/>
      </c>
      <c r="D594" s="146" t="str">
        <f t="array" aca="1" ref="D594" ca="1">IF(C594="","",SUM(--(_xlfn.UNIQUE(_xlfn._xlws.FILTER($M$2:$M$1011&amp;"",($C$2:$C$1011=C594)*($M$2:$M$1011&lt;&gt;"")))&lt;&gt;"")))</f>
        <v/>
      </c>
      <c r="E594" s="166" t="str">
        <f t="shared" ca="1" si="39"/>
        <v/>
      </c>
      <c r="H594" s="119" t="str">
        <f>IF(G594="","",_xlfn.XLOOKUP(G594,'🚛 FROTA'!B:B,'🚛 FROTA'!A:A,""))</f>
        <v/>
      </c>
      <c r="I594" s="119"/>
      <c r="J594" s="119" t="str">
        <f>IF(G594="","",_xlfn.XLOOKUP(G594,'🚛 FROTA'!B:B,'🚛 FROTA'!E:E,""))</f>
        <v/>
      </c>
      <c r="K594" s="119" t="str">
        <f>IF(G594="","",_xlfn.XLOOKUP(G594,'🚛 FROTA'!B:B,'🚛 FROTA'!K:K,""))</f>
        <v/>
      </c>
      <c r="N594" s="145"/>
      <c r="S594" s="117"/>
      <c r="T594" s="141"/>
      <c r="U594" s="142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  <c r="AM594" s="117"/>
    </row>
    <row r="595" spans="1:39" ht="18" hidden="1" customHeight="1" x14ac:dyDescent="0.25">
      <c r="A595" s="117">
        <v>594</v>
      </c>
      <c r="B595" s="117"/>
      <c r="C595" s="136" t="str">
        <f t="array" aca="1" ref="C595" ca="1">IF(F595="", "", IF(B595&lt;&gt;"x", C594, "OS-" &amp; YEAR(TODAY()) &amp; "-" &amp; TEXT(MAX(IFERROR(VALUE(RIGHT($C$1:C594, 4)), 0)) + 1, "0000")))</f>
        <v/>
      </c>
      <c r="D595" s="146" t="str">
        <f t="array" aca="1" ref="D595" ca="1">IF(C595="","",SUM(--(_xlfn.UNIQUE(_xlfn._xlws.FILTER($M$2:$M$1011&amp;"",($C$2:$C$1011=C595)*($M$2:$M$1011&lt;&gt;"")))&lt;&gt;"")))</f>
        <v/>
      </c>
      <c r="E595" s="166" t="str">
        <f t="shared" ca="1" si="39"/>
        <v/>
      </c>
      <c r="H595" s="119" t="str">
        <f>IF(G595="","",_xlfn.XLOOKUP(G595,'🚛 FROTA'!B:B,'🚛 FROTA'!A:A,""))</f>
        <v/>
      </c>
      <c r="I595" s="119"/>
      <c r="J595" s="119" t="str">
        <f>IF(G595="","",_xlfn.XLOOKUP(G595,'🚛 FROTA'!B:B,'🚛 FROTA'!E:E,""))</f>
        <v/>
      </c>
      <c r="K595" s="119" t="str">
        <f>IF(G595="","",_xlfn.XLOOKUP(G595,'🚛 FROTA'!B:B,'🚛 FROTA'!K:K,""))</f>
        <v/>
      </c>
      <c r="N595" s="145"/>
      <c r="S595" s="117"/>
      <c r="T595" s="141"/>
      <c r="U595" s="142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  <c r="AM595" s="117"/>
    </row>
    <row r="596" spans="1:39" ht="18" hidden="1" customHeight="1" x14ac:dyDescent="0.25">
      <c r="A596" s="117">
        <v>595</v>
      </c>
      <c r="B596" s="117"/>
      <c r="C596" s="136" t="str">
        <f t="array" aca="1" ref="C596" ca="1">IF(F596="", "", IF(B596&lt;&gt;"x", C595, "OS-" &amp; YEAR(TODAY()) &amp; "-" &amp; TEXT(MAX(IFERROR(VALUE(RIGHT($C$1:C595, 4)), 0)) + 1, "0000")))</f>
        <v/>
      </c>
      <c r="D596" s="146" t="str">
        <f t="array" aca="1" ref="D596" ca="1">IF(C596="","",SUM(--(_xlfn.UNIQUE(_xlfn._xlws.FILTER($M$2:$M$1011&amp;"",($C$2:$C$1011=C596)*($M$2:$M$1011&lt;&gt;"")))&lt;&gt;"")))</f>
        <v/>
      </c>
      <c r="E596" s="166" t="str">
        <f t="shared" ca="1" si="39"/>
        <v/>
      </c>
      <c r="H596" s="119" t="str">
        <f>IF(G596="","",_xlfn.XLOOKUP(G596,'🚛 FROTA'!B:B,'🚛 FROTA'!A:A,""))</f>
        <v/>
      </c>
      <c r="I596" s="119"/>
      <c r="J596" s="119" t="str">
        <f>IF(G596="","",_xlfn.XLOOKUP(G596,'🚛 FROTA'!B:B,'🚛 FROTA'!E:E,""))</f>
        <v/>
      </c>
      <c r="K596" s="119" t="str">
        <f>IF(G596="","",_xlfn.XLOOKUP(G596,'🚛 FROTA'!B:B,'🚛 FROTA'!K:K,""))</f>
        <v/>
      </c>
      <c r="N596" s="145"/>
      <c r="S596" s="117"/>
      <c r="T596" s="141"/>
      <c r="U596" s="142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  <c r="AM596" s="117"/>
    </row>
    <row r="597" spans="1:39" ht="18" hidden="1" customHeight="1" x14ac:dyDescent="0.25">
      <c r="A597" s="117">
        <v>596</v>
      </c>
      <c r="B597" s="117"/>
      <c r="C597" s="136" t="str">
        <f t="array" aca="1" ref="C597" ca="1">IF(F597="", "", IF(B597&lt;&gt;"x", C596, "OS-" &amp; YEAR(TODAY()) &amp; "-" &amp; TEXT(MAX(IFERROR(VALUE(RIGHT($C$1:C596, 4)), 0)) + 1, "0000")))</f>
        <v/>
      </c>
      <c r="D597" s="146" t="str">
        <f t="array" aca="1" ref="D597" ca="1">IF(C597="","",SUM(--(_xlfn.UNIQUE(_xlfn._xlws.FILTER($M$2:$M$1011&amp;"",($C$2:$C$1011=C597)*($M$2:$M$1011&lt;&gt;"")))&lt;&gt;"")))</f>
        <v/>
      </c>
      <c r="E597" s="166" t="str">
        <f t="shared" ca="1" si="39"/>
        <v/>
      </c>
      <c r="H597" s="119" t="str">
        <f>IF(G597="","",_xlfn.XLOOKUP(G597,'🚛 FROTA'!B:B,'🚛 FROTA'!A:A,""))</f>
        <v/>
      </c>
      <c r="I597" s="119"/>
      <c r="J597" s="119" t="str">
        <f>IF(G597="","",_xlfn.XLOOKUP(G597,'🚛 FROTA'!B:B,'🚛 FROTA'!E:E,""))</f>
        <v/>
      </c>
      <c r="K597" s="119" t="str">
        <f>IF(G597="","",_xlfn.XLOOKUP(G597,'🚛 FROTA'!B:B,'🚛 FROTA'!K:K,""))</f>
        <v/>
      </c>
      <c r="N597" s="145"/>
      <c r="S597" s="117"/>
      <c r="T597" s="141"/>
      <c r="U597" s="142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  <c r="AM597" s="117"/>
    </row>
    <row r="598" spans="1:39" ht="18" hidden="1" customHeight="1" x14ac:dyDescent="0.25">
      <c r="A598" s="117">
        <v>597</v>
      </c>
      <c r="B598" s="117"/>
      <c r="C598" s="136" t="str">
        <f t="array" aca="1" ref="C598" ca="1">IF(F598="", "", IF(B598&lt;&gt;"x", C597, "OS-" &amp; YEAR(TODAY()) &amp; "-" &amp; TEXT(MAX(IFERROR(VALUE(RIGHT($C$1:C597, 4)), 0)) + 1, "0000")))</f>
        <v/>
      </c>
      <c r="D598" s="146" t="str">
        <f t="array" aca="1" ref="D598" ca="1">IF(C598="","",SUM(--(_xlfn.UNIQUE(_xlfn._xlws.FILTER($M$2:$M$1011&amp;"",($C$2:$C$1011=C598)*($M$2:$M$1011&lt;&gt;"")))&lt;&gt;"")))</f>
        <v/>
      </c>
      <c r="E598" s="166" t="str">
        <f t="shared" ca="1" si="39"/>
        <v/>
      </c>
      <c r="H598" s="119" t="str">
        <f>IF(G598="","",_xlfn.XLOOKUP(G598,'🚛 FROTA'!B:B,'🚛 FROTA'!A:A,""))</f>
        <v/>
      </c>
      <c r="I598" s="119"/>
      <c r="J598" s="119" t="str">
        <f>IF(G598="","",_xlfn.XLOOKUP(G598,'🚛 FROTA'!B:B,'🚛 FROTA'!E:E,""))</f>
        <v/>
      </c>
      <c r="K598" s="119" t="str">
        <f>IF(G598="","",_xlfn.XLOOKUP(G598,'🚛 FROTA'!B:B,'🚛 FROTA'!K:K,""))</f>
        <v/>
      </c>
      <c r="N598" s="145"/>
      <c r="S598" s="117"/>
      <c r="T598" s="141"/>
      <c r="U598" s="142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</row>
    <row r="599" spans="1:39" ht="18" hidden="1" customHeight="1" x14ac:dyDescent="0.25">
      <c r="A599" s="117">
        <v>598</v>
      </c>
      <c r="B599" s="117"/>
      <c r="C599" s="136" t="str">
        <f t="array" aca="1" ref="C599" ca="1">IF(F599="", "", IF(B599&lt;&gt;"x", C598, "OS-" &amp; YEAR(TODAY()) &amp; "-" &amp; TEXT(MAX(IFERROR(VALUE(RIGHT($C$1:C598, 4)), 0)) + 1, "0000")))</f>
        <v/>
      </c>
      <c r="D599" s="146" t="str">
        <f t="array" aca="1" ref="D599" ca="1">IF(C599="","",SUM(--(_xlfn.UNIQUE(_xlfn._xlws.FILTER($M$2:$M$1011&amp;"",($C$2:$C$1011=C599)*($M$2:$M$1011&lt;&gt;"")))&lt;&gt;"")))</f>
        <v/>
      </c>
      <c r="E599" s="166" t="str">
        <f t="shared" ca="1" si="39"/>
        <v/>
      </c>
      <c r="H599" s="119" t="str">
        <f>IF(G599="","",_xlfn.XLOOKUP(G599,'🚛 FROTA'!B:B,'🚛 FROTA'!A:A,""))</f>
        <v/>
      </c>
      <c r="I599" s="119"/>
      <c r="J599" s="119" t="str">
        <f>IF(G599="","",_xlfn.XLOOKUP(G599,'🚛 FROTA'!B:B,'🚛 FROTA'!E:E,""))</f>
        <v/>
      </c>
      <c r="K599" s="119" t="str">
        <f>IF(G599="","",_xlfn.XLOOKUP(G599,'🚛 FROTA'!B:B,'🚛 FROTA'!K:K,""))</f>
        <v/>
      </c>
      <c r="N599" s="145"/>
      <c r="S599" s="117"/>
      <c r="T599" s="141"/>
      <c r="U599" s="142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  <c r="AM599" s="117"/>
    </row>
    <row r="600" spans="1:39" ht="18" hidden="1" customHeight="1" x14ac:dyDescent="0.25">
      <c r="A600" s="117">
        <v>599</v>
      </c>
      <c r="B600" s="117"/>
      <c r="C600" s="136" t="str">
        <f t="array" aca="1" ref="C600" ca="1">IF(F600="", "", IF(B600&lt;&gt;"x", C599, "OS-" &amp; YEAR(TODAY()) &amp; "-" &amp; TEXT(MAX(IFERROR(VALUE(RIGHT($C$1:C599, 4)), 0)) + 1, "0000")))</f>
        <v/>
      </c>
      <c r="D600" s="146" t="str">
        <f t="array" aca="1" ref="D600" ca="1">IF(C600="","",SUM(--(_xlfn.UNIQUE(_xlfn._xlws.FILTER($M$2:$M$1011&amp;"",($C$2:$C$1011=C600)*($M$2:$M$1011&lt;&gt;"")))&lt;&gt;"")))</f>
        <v/>
      </c>
      <c r="E600" s="166" t="str">
        <f t="shared" ca="1" si="39"/>
        <v/>
      </c>
      <c r="H600" s="119" t="str">
        <f>IF(G600="","",_xlfn.XLOOKUP(G600,'🚛 FROTA'!B:B,'🚛 FROTA'!A:A,""))</f>
        <v/>
      </c>
      <c r="I600" s="119"/>
      <c r="J600" s="119" t="str">
        <f>IF(G600="","",_xlfn.XLOOKUP(G600,'🚛 FROTA'!B:B,'🚛 FROTA'!E:E,""))</f>
        <v/>
      </c>
      <c r="K600" s="119" t="str">
        <f>IF(G600="","",_xlfn.XLOOKUP(G600,'🚛 FROTA'!B:B,'🚛 FROTA'!K:K,""))</f>
        <v/>
      </c>
      <c r="N600" s="145"/>
      <c r="S600" s="117"/>
      <c r="T600" s="141"/>
      <c r="U600" s="142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  <c r="AM600" s="117"/>
    </row>
    <row r="601" spans="1:39" ht="18" hidden="1" customHeight="1" x14ac:dyDescent="0.25">
      <c r="A601" s="117">
        <v>600</v>
      </c>
      <c r="B601" s="117"/>
      <c r="C601" s="136" t="str">
        <f t="array" aca="1" ref="C601" ca="1">IF(F601="", "", IF(B601&lt;&gt;"x", C600, "OS-" &amp; YEAR(TODAY()) &amp; "-" &amp; TEXT(MAX(IFERROR(VALUE(RIGHT($C$1:C600, 4)), 0)) + 1, "0000")))</f>
        <v/>
      </c>
      <c r="D601" s="146" t="str">
        <f t="array" aca="1" ref="D601" ca="1">IF(C601="","",SUM(--(_xlfn.UNIQUE(_xlfn._xlws.FILTER($M$2:$M$1011&amp;"",($C$2:$C$1011=C601)*($M$2:$M$1011&lt;&gt;"")))&lt;&gt;"")))</f>
        <v/>
      </c>
      <c r="E601" s="166" t="str">
        <f t="shared" ca="1" si="39"/>
        <v/>
      </c>
      <c r="H601" s="119" t="str">
        <f>IF(G601="","",_xlfn.XLOOKUP(G601,'🚛 FROTA'!B:B,'🚛 FROTA'!A:A,""))</f>
        <v/>
      </c>
      <c r="I601" s="119"/>
      <c r="J601" s="119" t="str">
        <f>IF(G601="","",_xlfn.XLOOKUP(G601,'🚛 FROTA'!B:B,'🚛 FROTA'!E:E,""))</f>
        <v/>
      </c>
      <c r="K601" s="119" t="str">
        <f>IF(G601="","",_xlfn.XLOOKUP(G601,'🚛 FROTA'!B:B,'🚛 FROTA'!K:K,""))</f>
        <v/>
      </c>
      <c r="N601" s="145"/>
      <c r="S601" s="117"/>
      <c r="T601" s="141"/>
      <c r="U601" s="142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</row>
    <row r="602" spans="1:39" ht="18" hidden="1" customHeight="1" x14ac:dyDescent="0.25">
      <c r="A602" s="117">
        <v>601</v>
      </c>
      <c r="B602" s="117"/>
      <c r="C602" s="136" t="str">
        <f t="array" aca="1" ref="C602" ca="1">IF(F602="", "", IF(B602&lt;&gt;"x", C601, "OS-" &amp; YEAR(TODAY()) &amp; "-" &amp; TEXT(MAX(IFERROR(VALUE(RIGHT($C$1:C601, 4)), 0)) + 1, "0000")))</f>
        <v/>
      </c>
      <c r="D602" s="146" t="str">
        <f t="array" aca="1" ref="D602" ca="1">IF(C602="","",SUM(--(_xlfn.UNIQUE(_xlfn._xlws.FILTER($M$2:$M$1011&amp;"",($C$2:$C$1011=C602)*($M$2:$M$1011&lt;&gt;"")))&lt;&gt;"")))</f>
        <v/>
      </c>
      <c r="E602" s="166" t="str">
        <f t="shared" ca="1" si="39"/>
        <v/>
      </c>
      <c r="H602" s="119" t="str">
        <f>IF(G602="","",_xlfn.XLOOKUP(G602,'🚛 FROTA'!B:B,'🚛 FROTA'!A:A,""))</f>
        <v/>
      </c>
      <c r="I602" s="119"/>
      <c r="J602" s="119" t="str">
        <f>IF(G602="","",_xlfn.XLOOKUP(G602,'🚛 FROTA'!B:B,'🚛 FROTA'!E:E,""))</f>
        <v/>
      </c>
      <c r="K602" s="119" t="str">
        <f>IF(G602="","",_xlfn.XLOOKUP(G602,'🚛 FROTA'!B:B,'🚛 FROTA'!K:K,""))</f>
        <v/>
      </c>
      <c r="N602" s="145"/>
      <c r="S602" s="117"/>
      <c r="T602" s="141"/>
      <c r="U602" s="142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  <c r="AM602" s="117"/>
    </row>
    <row r="603" spans="1:39" ht="18" hidden="1" customHeight="1" x14ac:dyDescent="0.25">
      <c r="A603" s="117">
        <v>602</v>
      </c>
      <c r="B603" s="117"/>
      <c r="C603" s="136" t="str">
        <f t="array" aca="1" ref="C603" ca="1">IF(F603="", "", IF(B603&lt;&gt;"x", C602, "OS-" &amp; YEAR(TODAY()) &amp; "-" &amp; TEXT(MAX(IFERROR(VALUE(RIGHT($C$1:C602, 4)), 0)) + 1, "0000")))</f>
        <v/>
      </c>
      <c r="D603" s="146" t="str">
        <f t="array" aca="1" ref="D603" ca="1">IF(C603="","",SUM(--(_xlfn.UNIQUE(_xlfn._xlws.FILTER($M$2:$M$1011&amp;"",($C$2:$C$1011=C603)*($M$2:$M$1011&lt;&gt;"")))&lt;&gt;"")))</f>
        <v/>
      </c>
      <c r="E603" s="166" t="str">
        <f t="shared" ca="1" si="39"/>
        <v/>
      </c>
      <c r="H603" s="119" t="str">
        <f>IF(G603="","",_xlfn.XLOOKUP(G603,'🚛 FROTA'!B:B,'🚛 FROTA'!A:A,""))</f>
        <v/>
      </c>
      <c r="I603" s="119"/>
      <c r="J603" s="119" t="str">
        <f>IF(G603="","",_xlfn.XLOOKUP(G603,'🚛 FROTA'!B:B,'🚛 FROTA'!E:E,""))</f>
        <v/>
      </c>
      <c r="K603" s="119" t="str">
        <f>IF(G603="","",_xlfn.XLOOKUP(G603,'🚛 FROTA'!B:B,'🚛 FROTA'!K:K,""))</f>
        <v/>
      </c>
      <c r="N603" s="145"/>
      <c r="S603" s="117"/>
      <c r="T603" s="141"/>
      <c r="U603" s="142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  <c r="AM603" s="117"/>
    </row>
    <row r="604" spans="1:39" ht="18" hidden="1" customHeight="1" x14ac:dyDescent="0.25">
      <c r="A604" s="117">
        <v>603</v>
      </c>
      <c r="B604" s="117"/>
      <c r="C604" s="136" t="str">
        <f t="array" aca="1" ref="C604" ca="1">IF(F604="", "", IF(B604&lt;&gt;"x", C603, "OS-" &amp; YEAR(TODAY()) &amp; "-" &amp; TEXT(MAX(IFERROR(VALUE(RIGHT($C$1:C603, 4)), 0)) + 1, "0000")))</f>
        <v/>
      </c>
      <c r="D604" s="146" t="str">
        <f t="array" aca="1" ref="D604" ca="1">IF(C604="","",SUM(--(_xlfn.UNIQUE(_xlfn._xlws.FILTER($M$2:$M$1011&amp;"",($C$2:$C$1011=C604)*($M$2:$M$1011&lt;&gt;"")))&lt;&gt;"")))</f>
        <v/>
      </c>
      <c r="E604" s="166" t="str">
        <f t="shared" ca="1" si="39"/>
        <v/>
      </c>
      <c r="H604" s="119" t="str">
        <f>IF(G604="","",_xlfn.XLOOKUP(G604,'🚛 FROTA'!B:B,'🚛 FROTA'!A:A,""))</f>
        <v/>
      </c>
      <c r="I604" s="119"/>
      <c r="J604" s="119" t="str">
        <f>IF(G604="","",_xlfn.XLOOKUP(G604,'🚛 FROTA'!B:B,'🚛 FROTA'!E:E,""))</f>
        <v/>
      </c>
      <c r="K604" s="119" t="str">
        <f>IF(G604="","",_xlfn.XLOOKUP(G604,'🚛 FROTA'!B:B,'🚛 FROTA'!K:K,""))</f>
        <v/>
      </c>
      <c r="N604" s="145"/>
      <c r="S604" s="117"/>
      <c r="T604" s="141"/>
      <c r="U604" s="142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  <c r="AM604" s="117"/>
    </row>
    <row r="605" spans="1:39" ht="18" hidden="1" customHeight="1" x14ac:dyDescent="0.25">
      <c r="A605" s="117">
        <v>604</v>
      </c>
      <c r="B605" s="117"/>
      <c r="C605" s="136" t="str">
        <f t="array" aca="1" ref="C605" ca="1">IF(F605="", "", IF(B605&lt;&gt;"x", C604, "OS-" &amp; YEAR(TODAY()) &amp; "-" &amp; TEXT(MAX(IFERROR(VALUE(RIGHT($C$1:C604, 4)), 0)) + 1, "0000")))</f>
        <v/>
      </c>
      <c r="D605" s="146" t="str">
        <f t="array" aca="1" ref="D605" ca="1">IF(C605="","",SUM(--(_xlfn.UNIQUE(_xlfn._xlws.FILTER($M$2:$M$1011&amp;"",($C$2:$C$1011=C605)*($M$2:$M$1011&lt;&gt;"")))&lt;&gt;"")))</f>
        <v/>
      </c>
      <c r="E605" s="166" t="str">
        <f t="shared" ca="1" si="39"/>
        <v/>
      </c>
      <c r="H605" s="119" t="str">
        <f>IF(G605="","",_xlfn.XLOOKUP(G605,'🚛 FROTA'!B:B,'🚛 FROTA'!A:A,""))</f>
        <v/>
      </c>
      <c r="I605" s="119"/>
      <c r="J605" s="119" t="str">
        <f>IF(G605="","",_xlfn.XLOOKUP(G605,'🚛 FROTA'!B:B,'🚛 FROTA'!E:E,""))</f>
        <v/>
      </c>
      <c r="K605" s="119" t="str">
        <f>IF(G605="","",_xlfn.XLOOKUP(G605,'🚛 FROTA'!B:B,'🚛 FROTA'!K:K,""))</f>
        <v/>
      </c>
      <c r="N605" s="145"/>
      <c r="S605" s="117"/>
      <c r="T605" s="141"/>
      <c r="U605" s="142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  <c r="AM605" s="117"/>
    </row>
    <row r="606" spans="1:39" ht="18" hidden="1" customHeight="1" x14ac:dyDescent="0.25">
      <c r="A606" s="117">
        <v>605</v>
      </c>
      <c r="B606" s="117"/>
      <c r="C606" s="136" t="str">
        <f t="array" aca="1" ref="C606" ca="1">IF(F606="", "", IF(B606&lt;&gt;"x", C605, "OS-" &amp; YEAR(TODAY()) &amp; "-" &amp; TEXT(MAX(IFERROR(VALUE(RIGHT($C$1:C605, 4)), 0)) + 1, "0000")))</f>
        <v/>
      </c>
      <c r="D606" s="146" t="str">
        <f t="array" aca="1" ref="D606" ca="1">IF(C606="","",SUM(--(_xlfn.UNIQUE(_xlfn._xlws.FILTER($M$2:$M$1011&amp;"",($C$2:$C$1011=C606)*($M$2:$M$1011&lt;&gt;"")))&lt;&gt;"")))</f>
        <v/>
      </c>
      <c r="E606" s="166" t="str">
        <f t="shared" ca="1" si="39"/>
        <v/>
      </c>
      <c r="H606" s="119" t="str">
        <f>IF(G606="","",_xlfn.XLOOKUP(G606,'🚛 FROTA'!B:B,'🚛 FROTA'!A:A,""))</f>
        <v/>
      </c>
      <c r="I606" s="119"/>
      <c r="J606" s="119" t="str">
        <f>IF(G606="","",_xlfn.XLOOKUP(G606,'🚛 FROTA'!B:B,'🚛 FROTA'!E:E,""))</f>
        <v/>
      </c>
      <c r="K606" s="119" t="str">
        <f>IF(G606="","",_xlfn.XLOOKUP(G606,'🚛 FROTA'!B:B,'🚛 FROTA'!K:K,""))</f>
        <v/>
      </c>
      <c r="N606" s="145"/>
      <c r="S606" s="117"/>
      <c r="T606" s="141"/>
      <c r="U606" s="142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  <c r="AM606" s="117"/>
    </row>
    <row r="607" spans="1:39" ht="18" hidden="1" customHeight="1" x14ac:dyDescent="0.25">
      <c r="A607" s="117">
        <v>606</v>
      </c>
      <c r="B607" s="117"/>
      <c r="C607" s="136" t="str">
        <f t="array" aca="1" ref="C607" ca="1">IF(F607="", "", IF(B607&lt;&gt;"x", C606, "OS-" &amp; YEAR(TODAY()) &amp; "-" &amp; TEXT(MAX(IFERROR(VALUE(RIGHT($C$1:C606, 4)), 0)) + 1, "0000")))</f>
        <v/>
      </c>
      <c r="D607" s="146" t="str">
        <f t="array" aca="1" ref="D607" ca="1">IF(C607="","",SUM(--(_xlfn.UNIQUE(_xlfn._xlws.FILTER($M$2:$M$1011&amp;"",($C$2:$C$1011=C607)*($M$2:$M$1011&lt;&gt;"")))&lt;&gt;"")))</f>
        <v/>
      </c>
      <c r="E607" s="166" t="str">
        <f t="shared" ca="1" si="39"/>
        <v/>
      </c>
      <c r="H607" s="119" t="str">
        <f>IF(G607="","",_xlfn.XLOOKUP(G607,'🚛 FROTA'!B:B,'🚛 FROTA'!A:A,""))</f>
        <v/>
      </c>
      <c r="I607" s="119"/>
      <c r="J607" s="119" t="str">
        <f>IF(G607="","",_xlfn.XLOOKUP(G607,'🚛 FROTA'!B:B,'🚛 FROTA'!E:E,""))</f>
        <v/>
      </c>
      <c r="K607" s="119" t="str">
        <f>IF(G607="","",_xlfn.XLOOKUP(G607,'🚛 FROTA'!B:B,'🚛 FROTA'!K:K,""))</f>
        <v/>
      </c>
      <c r="N607" s="145"/>
      <c r="S607" s="117"/>
      <c r="T607" s="141"/>
      <c r="U607" s="142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  <c r="AM607" s="117"/>
    </row>
    <row r="608" spans="1:39" ht="18" hidden="1" customHeight="1" x14ac:dyDescent="0.25">
      <c r="A608" s="117">
        <v>607</v>
      </c>
      <c r="B608" s="117"/>
      <c r="C608" s="136" t="str">
        <f t="array" aca="1" ref="C608" ca="1">IF(F608="", "", IF(B608&lt;&gt;"x", C607, "OS-" &amp; YEAR(TODAY()) &amp; "-" &amp; TEXT(MAX(IFERROR(VALUE(RIGHT($C$1:C607, 4)), 0)) + 1, "0000")))</f>
        <v/>
      </c>
      <c r="D608" s="146" t="str">
        <f t="array" aca="1" ref="D608" ca="1">IF(C608="","",SUM(--(_xlfn.UNIQUE(_xlfn._xlws.FILTER($M$2:$M$1011&amp;"",($C$2:$C$1011=C608)*($M$2:$M$1011&lt;&gt;"")))&lt;&gt;"")))</f>
        <v/>
      </c>
      <c r="E608" s="166" t="str">
        <f t="shared" ca="1" si="39"/>
        <v/>
      </c>
      <c r="H608" s="119" t="str">
        <f>IF(G608="","",_xlfn.XLOOKUP(G608,'🚛 FROTA'!B:B,'🚛 FROTA'!A:A,""))</f>
        <v/>
      </c>
      <c r="I608" s="119"/>
      <c r="J608" s="119" t="str">
        <f>IF(G608="","",_xlfn.XLOOKUP(G608,'🚛 FROTA'!B:B,'🚛 FROTA'!E:E,""))</f>
        <v/>
      </c>
      <c r="K608" s="119" t="str">
        <f>IF(G608="","",_xlfn.XLOOKUP(G608,'🚛 FROTA'!B:B,'🚛 FROTA'!K:K,""))</f>
        <v/>
      </c>
      <c r="N608" s="145"/>
      <c r="S608" s="117"/>
      <c r="T608" s="141"/>
      <c r="U608" s="142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  <c r="AM608" s="117"/>
    </row>
    <row r="609" spans="1:39" ht="18" hidden="1" customHeight="1" x14ac:dyDescent="0.25">
      <c r="A609" s="117">
        <v>608</v>
      </c>
      <c r="B609" s="117"/>
      <c r="C609" s="136" t="str">
        <f t="array" aca="1" ref="C609" ca="1">IF(F609="", "", IF(B609&lt;&gt;"x", C608, "OS-" &amp; YEAR(TODAY()) &amp; "-" &amp; TEXT(MAX(IFERROR(VALUE(RIGHT($C$1:C608, 4)), 0)) + 1, "0000")))</f>
        <v/>
      </c>
      <c r="D609" s="146" t="str">
        <f t="array" aca="1" ref="D609" ca="1">IF(C609="","",SUM(--(_xlfn.UNIQUE(_xlfn._xlws.FILTER($M$2:$M$1011&amp;"",($C$2:$C$1011=C609)*($M$2:$M$1011&lt;&gt;"")))&lt;&gt;"")))</f>
        <v/>
      </c>
      <c r="E609" s="166" t="str">
        <f t="shared" ca="1" si="39"/>
        <v/>
      </c>
      <c r="H609" s="119" t="str">
        <f>IF(G609="","",_xlfn.XLOOKUP(G609,'🚛 FROTA'!B:B,'🚛 FROTA'!A:A,""))</f>
        <v/>
      </c>
      <c r="I609" s="119"/>
      <c r="J609" s="119" t="str">
        <f>IF(G609="","",_xlfn.XLOOKUP(G609,'🚛 FROTA'!B:B,'🚛 FROTA'!E:E,""))</f>
        <v/>
      </c>
      <c r="K609" s="119" t="str">
        <f>IF(G609="","",_xlfn.XLOOKUP(G609,'🚛 FROTA'!B:B,'🚛 FROTA'!K:K,""))</f>
        <v/>
      </c>
      <c r="N609" s="145"/>
      <c r="S609" s="117"/>
      <c r="T609" s="141"/>
      <c r="U609" s="142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  <c r="AM609" s="117"/>
    </row>
    <row r="610" spans="1:39" ht="18" hidden="1" customHeight="1" x14ac:dyDescent="0.25">
      <c r="A610" s="117">
        <v>609</v>
      </c>
      <c r="B610" s="117"/>
      <c r="C610" s="136" t="str">
        <f t="array" aca="1" ref="C610" ca="1">IF(F610="", "", IF(B610&lt;&gt;"x", C609, "OS-" &amp; YEAR(TODAY()) &amp; "-" &amp; TEXT(MAX(IFERROR(VALUE(RIGHT($C$1:C609, 4)), 0)) + 1, "0000")))</f>
        <v/>
      </c>
      <c r="D610" s="146" t="str">
        <f t="array" aca="1" ref="D610" ca="1">IF(C610="","",SUM(--(_xlfn.UNIQUE(_xlfn._xlws.FILTER($M$2:$M$1011&amp;"",($C$2:$C$1011=C610)*($M$2:$M$1011&lt;&gt;"")))&lt;&gt;"")))</f>
        <v/>
      </c>
      <c r="E610" s="166" t="str">
        <f t="shared" ca="1" si="39"/>
        <v/>
      </c>
      <c r="H610" s="119" t="str">
        <f>IF(G610="","",_xlfn.XLOOKUP(G610,'🚛 FROTA'!B:B,'🚛 FROTA'!A:A,""))</f>
        <v/>
      </c>
      <c r="I610" s="119"/>
      <c r="J610" s="119" t="str">
        <f>IF(G610="","",_xlfn.XLOOKUP(G610,'🚛 FROTA'!B:B,'🚛 FROTA'!E:E,""))</f>
        <v/>
      </c>
      <c r="K610" s="119" t="str">
        <f>IF(G610="","",_xlfn.XLOOKUP(G610,'🚛 FROTA'!B:B,'🚛 FROTA'!K:K,""))</f>
        <v/>
      </c>
      <c r="N610" s="145"/>
      <c r="S610" s="117"/>
      <c r="T610" s="141"/>
      <c r="U610" s="142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  <c r="AM610" s="117"/>
    </row>
    <row r="611" spans="1:39" ht="18" hidden="1" customHeight="1" x14ac:dyDescent="0.25">
      <c r="A611" s="117">
        <v>610</v>
      </c>
      <c r="B611" s="117"/>
      <c r="C611" s="136" t="str">
        <f t="array" aca="1" ref="C611" ca="1">IF(F611="", "", IF(B611&lt;&gt;"x", C610, "OS-" &amp; YEAR(TODAY()) &amp; "-" &amp; TEXT(MAX(IFERROR(VALUE(RIGHT($C$1:C610, 4)), 0)) + 1, "0000")))</f>
        <v/>
      </c>
      <c r="D611" s="146" t="str">
        <f t="array" aca="1" ref="D611" ca="1">IF(C611="","",SUM(--(_xlfn.UNIQUE(_xlfn._xlws.FILTER($M$2:$M$1011&amp;"",($C$2:$C$1011=C611)*($M$2:$M$1011&lt;&gt;"")))&lt;&gt;"")))</f>
        <v/>
      </c>
      <c r="E611" s="166" t="str">
        <f t="shared" ca="1" si="39"/>
        <v/>
      </c>
      <c r="H611" s="119" t="str">
        <f>IF(G611="","",_xlfn.XLOOKUP(G611,'🚛 FROTA'!B:B,'🚛 FROTA'!A:A,""))</f>
        <v/>
      </c>
      <c r="I611" s="119"/>
      <c r="J611" s="119" t="str">
        <f>IF(G611="","",_xlfn.XLOOKUP(G611,'🚛 FROTA'!B:B,'🚛 FROTA'!E:E,""))</f>
        <v/>
      </c>
      <c r="K611" s="119" t="str">
        <f>IF(G611="","",_xlfn.XLOOKUP(G611,'🚛 FROTA'!B:B,'🚛 FROTA'!K:K,""))</f>
        <v/>
      </c>
      <c r="N611" s="145"/>
      <c r="S611" s="117"/>
      <c r="T611" s="141"/>
      <c r="U611" s="142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  <c r="AM611" s="117"/>
    </row>
    <row r="612" spans="1:39" ht="18" hidden="1" customHeight="1" x14ac:dyDescent="0.25">
      <c r="A612" s="117">
        <v>611</v>
      </c>
      <c r="B612" s="117"/>
      <c r="C612" s="136" t="str">
        <f t="array" aca="1" ref="C612" ca="1">IF(F612="", "", IF(B612&lt;&gt;"x", C611, "OS-" &amp; YEAR(TODAY()) &amp; "-" &amp; TEXT(MAX(IFERROR(VALUE(RIGHT($C$1:C611, 4)), 0)) + 1, "0000")))</f>
        <v/>
      </c>
      <c r="D612" s="146" t="str">
        <f t="array" aca="1" ref="D612" ca="1">IF(C612="","",SUM(--(_xlfn.UNIQUE(_xlfn._xlws.FILTER($M$2:$M$1011&amp;"",($C$2:$C$1011=C612)*($M$2:$M$1011&lt;&gt;"")))&lt;&gt;"")))</f>
        <v/>
      </c>
      <c r="E612" s="166" t="str">
        <f t="shared" ca="1" si="39"/>
        <v/>
      </c>
      <c r="H612" s="119" t="str">
        <f>IF(G612="","",_xlfn.XLOOKUP(G612,'🚛 FROTA'!B:B,'🚛 FROTA'!A:A,""))</f>
        <v/>
      </c>
      <c r="I612" s="119"/>
      <c r="J612" s="119" t="str">
        <f>IF(G612="","",_xlfn.XLOOKUP(G612,'🚛 FROTA'!B:B,'🚛 FROTA'!E:E,""))</f>
        <v/>
      </c>
      <c r="K612" s="119" t="str">
        <f>IF(G612="","",_xlfn.XLOOKUP(G612,'🚛 FROTA'!B:B,'🚛 FROTA'!K:K,""))</f>
        <v/>
      </c>
      <c r="N612" s="145"/>
      <c r="S612" s="117"/>
      <c r="T612" s="141"/>
      <c r="U612" s="142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  <c r="AM612" s="117"/>
    </row>
  </sheetData>
  <autoFilter ref="A1:AM612" xr:uid="{00000000-0009-0000-0000-000009000000}">
    <filterColumn colId="18">
      <filters>
        <filter val="Compra"/>
      </filters>
    </filterColumn>
    <filterColumn colId="21">
      <filters>
        <filter val="Pneu"/>
      </filters>
    </filterColumn>
  </autoFilter>
  <conditionalFormatting sqref="S2:S1048576">
    <cfRule type="cellIs" dxfId="10" priority="10" operator="equal">
      <formula>"Compra"</formula>
    </cfRule>
    <cfRule type="cellIs" dxfId="9" priority="11" operator="equal">
      <formula>"Serviço"</formula>
    </cfRule>
  </conditionalFormatting>
  <conditionalFormatting sqref="T2:T1048576">
    <cfRule type="cellIs" dxfId="8" priority="7" operator="equal">
      <formula>"Vencido"</formula>
    </cfRule>
    <cfRule type="cellIs" dxfId="7" priority="8" operator="equal">
      <formula>"Pendente"</formula>
    </cfRule>
    <cfRule type="cellIs" dxfId="6" priority="9" operator="equal">
      <formula>"Pago"</formula>
    </cfRule>
  </conditionalFormatting>
  <conditionalFormatting sqref="U2:U1048576">
    <cfRule type="cellIs" dxfId="5" priority="4" operator="equal">
      <formula>"Preditiva"</formula>
    </cfRule>
    <cfRule type="cellIs" dxfId="4" priority="5" operator="equal">
      <formula>"Corretiva"</formula>
    </cfRule>
    <cfRule type="cellIs" dxfId="3" priority="6" operator="equal">
      <formula>"Preventiva"</formula>
    </cfRule>
  </conditionalFormatting>
  <conditionalFormatting sqref="AG2:AG1048576">
    <cfRule type="cellIs" dxfId="2" priority="1" operator="equal">
      <formula>"Recapadora"</formula>
    </cfRule>
    <cfRule type="cellIs" dxfId="1" priority="2" operator="equal">
      <formula>"Borracharia"</formula>
    </cfRule>
    <cfRule type="cellIs" dxfId="0" priority="3" operator="equal">
      <formula>"Loja"</formula>
    </cfRule>
  </conditionalFormatting>
  <dataValidations count="5">
    <dataValidation type="list" showInputMessage="1" showErrorMessage="1" sqref="T2:T466 T469 T478:T480 T483:T612" xr:uid="{00000000-0002-0000-0900-000000000000}">
      <formula1>"Pago,Pendente,Cancelado,Vencido"</formula1>
    </dataValidation>
    <dataValidation type="list" showInputMessage="1" showErrorMessage="1" sqref="AG3:AG7 AG10 AG12 AG16:AG23 AG25:AG26 AG28 AG30 AG32:AG41 AG43 AG45:AG52 AG55 AG57 AG59:AG66 AG69 AG71:AG77 AG81:AG104 AG106:AG107 AG110:AG114 AG116 AG119:AG138 AG140:AG141 AG144:AG147 AG149 AG151:AG157 AG160:AG165 AG167:AG186 AG188:AG197 AG200:AG209 AG211:AG219 AG221:AG223 AG226:AG234 AG237:AG243 AG245:AG257 AG262 AG264:AG277 AG279:AG283 AG288 AG290:AG299 AG301:AG302 AG305:AG308 AG310:AG315 AG317:AG335 AG337:AG338 AG340 AG342:AG357 AG362:AG384 AG386:AG387 AG392:AG409 AG411 AG413:AG415 AG419:AG439 AG441:AG443 AG445:AG449 AG451:AG452 AG457:AG459 AG461:AG473 AG475 AG479:AG486 AG488 AG492 AG494:AG504 AG508:AG513 AG515 AG518:AG520 AG524:AG529 AG536 AG539:AG1048576" xr:uid="{00000000-0002-0000-0900-000001000000}">
      <formula1>"Loja,Borracharia,Ambos"</formula1>
    </dataValidation>
    <dataValidation type="list" showInputMessage="1" showErrorMessage="1" sqref="AG2 AG8:AG9 AG11 AG13:AG15 AG24 AG27 AG29 AG31 AG42 AG44 AG53:AG54 AG56 AG58 AG67:AG68 AG70 AG78:AG80 AG105 AG108:AG109 AG115 AG117:AG118 AG139 AG142:AG143 AG148 AG150 AG158:AG159 AG166 AG187 AG198:AG199 AG210 AG220 AG224:AG225 AG235:AG236 AG244 AG258:AG261 AG263 AG278 AG284:AG287 AG289 AG300 AG303:AG304 AG309 AG316 AG336 AG339 AG341 AG358:AG361 AG385 AG388:AG391 AG410 AG412 AG416:AG418 AG440 AG444 AG450 AG453:AG456 AG460 AG474 AG476:AG478 AG487 AG489:AG491 AG493 AG505:AG507 AG514 AG516:AG517 AG521:AG523 AG530:AG535 AG537:AG538" xr:uid="{00000000-0002-0000-0900-000002000000}">
      <formula1>"Loja,Borracharia,Recapadora"</formula1>
    </dataValidation>
    <dataValidation type="list" allowBlank="1" showInputMessage="1" showErrorMessage="1" sqref="U2:U612" xr:uid="{00000000-0002-0000-0900-000003000000}">
      <formula1>"Corretiva,Preventiva,Preditiva"</formula1>
    </dataValidation>
    <dataValidation type="list" allowBlank="1" showInputMessage="1" showErrorMessage="1" sqref="S2:S1048576" xr:uid="{00000000-0002-0000-0900-000004000000}">
      <formula1>"Compra,Serviço"</formula1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35"/>
  <sheetViews>
    <sheetView zoomScale="85" zoomScaleNormal="85" workbookViewId="0">
      <selection activeCell="A34" sqref="A34"/>
    </sheetView>
  </sheetViews>
  <sheetFormatPr defaultColWidth="8.85546875" defaultRowHeight="18" customHeight="1" x14ac:dyDescent="0.2"/>
  <cols>
    <col min="1" max="1" width="12.7109375" style="89" bestFit="1" customWidth="1"/>
    <col min="2" max="2" width="12.140625" style="89" bestFit="1" customWidth="1"/>
    <col min="3" max="3" width="14.28515625" style="89" bestFit="1" customWidth="1"/>
    <col min="4" max="4" width="9.7109375" style="89" bestFit="1" customWidth="1"/>
    <col min="5" max="5" width="13.7109375" style="89" bestFit="1" customWidth="1"/>
    <col min="6" max="6" width="21.28515625" style="89" bestFit="1" customWidth="1"/>
    <col min="7" max="7" width="14" style="89" bestFit="1" customWidth="1"/>
    <col min="8" max="8" width="15.7109375" style="89" bestFit="1" customWidth="1"/>
    <col min="9" max="9" width="12" style="89" bestFit="1" customWidth="1"/>
    <col min="10" max="10" width="21.140625" style="89" bestFit="1" customWidth="1"/>
    <col min="11" max="11" width="14.7109375" style="89" bestFit="1" customWidth="1"/>
    <col min="12" max="12" width="15.28515625" style="89" bestFit="1" customWidth="1"/>
    <col min="13" max="13" width="18.42578125" style="89" bestFit="1" customWidth="1"/>
    <col min="14" max="14" width="12.42578125" style="89" bestFit="1" customWidth="1"/>
    <col min="15" max="15" width="12.7109375" style="89" bestFit="1" customWidth="1"/>
    <col min="16" max="16" width="14.140625" style="107" bestFit="1" customWidth="1"/>
    <col min="17" max="17" width="14.28515625" style="89" bestFit="1" customWidth="1"/>
    <col min="18" max="18" width="13.85546875" style="89" bestFit="1" customWidth="1"/>
    <col min="19" max="19" width="20" style="89" bestFit="1" customWidth="1"/>
    <col min="20" max="20" width="13.28515625" style="89" bestFit="1" customWidth="1"/>
    <col min="21" max="21" width="17.28515625" style="89" bestFit="1" customWidth="1"/>
    <col min="22" max="23" width="13.5703125" style="89" bestFit="1" customWidth="1"/>
    <col min="24" max="24" width="15.42578125" style="89" bestFit="1" customWidth="1"/>
    <col min="25" max="25" width="18.85546875" style="41" bestFit="1" customWidth="1"/>
    <col min="26" max="26" width="8.85546875" style="89" customWidth="1"/>
    <col min="27" max="16384" width="8.85546875" style="89"/>
  </cols>
  <sheetData>
    <row r="1" spans="1:25" ht="18" customHeight="1" x14ac:dyDescent="0.2">
      <c r="A1" s="92" t="s">
        <v>1535</v>
      </c>
      <c r="B1" s="92" t="s">
        <v>46</v>
      </c>
      <c r="C1" s="92" t="s">
        <v>1536</v>
      </c>
      <c r="D1" s="92" t="s">
        <v>47</v>
      </c>
      <c r="E1" s="92" t="s">
        <v>49</v>
      </c>
      <c r="F1" s="92" t="s">
        <v>50</v>
      </c>
      <c r="G1" s="92" t="s">
        <v>54</v>
      </c>
      <c r="H1" s="4" t="s">
        <v>52</v>
      </c>
      <c r="I1" s="92" t="s">
        <v>48</v>
      </c>
      <c r="J1" s="92" t="s">
        <v>1537</v>
      </c>
      <c r="K1" s="92" t="s">
        <v>1538</v>
      </c>
      <c r="L1" s="92" t="s">
        <v>1539</v>
      </c>
      <c r="M1" s="92" t="s">
        <v>1540</v>
      </c>
      <c r="N1" s="92" t="s">
        <v>1541</v>
      </c>
      <c r="O1" s="92" t="s">
        <v>1542</v>
      </c>
      <c r="P1" s="92" t="s">
        <v>1543</v>
      </c>
      <c r="Q1" s="92" t="s">
        <v>1544</v>
      </c>
      <c r="R1" s="92" t="s">
        <v>1545</v>
      </c>
      <c r="S1" s="92" t="s">
        <v>1546</v>
      </c>
      <c r="T1" s="92" t="s">
        <v>1547</v>
      </c>
      <c r="U1" s="92" t="s">
        <v>1548</v>
      </c>
      <c r="V1" s="92" t="s">
        <v>1549</v>
      </c>
      <c r="W1" s="92" t="s">
        <v>1550</v>
      </c>
      <c r="X1" s="92" t="s">
        <v>59</v>
      </c>
      <c r="Y1" s="4" t="s">
        <v>292</v>
      </c>
    </row>
    <row r="2" spans="1:25" ht="18" customHeight="1" x14ac:dyDescent="0.2">
      <c r="A2" s="93">
        <v>1</v>
      </c>
      <c r="B2" s="93">
        <f>_xlfn.XLOOKUP(D2,'🚛 FROTA'!B:B,'🚛 FROTA'!A:A,"")</f>
        <v>47</v>
      </c>
      <c r="C2" s="93">
        <v>2025</v>
      </c>
      <c r="D2" s="94" t="s">
        <v>174</v>
      </c>
      <c r="E2" s="94" t="str">
        <f>_xlfn.XLOOKUP(D2,'🚛 FROTA'!B:B,'🚛 FROTA'!D:D,"")</f>
        <v>Mercedes Benz</v>
      </c>
      <c r="F2" s="94" t="str">
        <f>_xlfn.XLOOKUP(D2,'🚛 FROTA'!B:B,'🚛 FROTA'!E:E,"")</f>
        <v>Atego 3026</v>
      </c>
      <c r="G2" s="94">
        <f>_xlfn.XLOOKUP(D2,'🚛 FROTA'!B:B,'🚛 FROTA'!I:I,"")</f>
        <v>2022</v>
      </c>
      <c r="H2" s="94" t="str">
        <f>_xlfn.XLOOKUP(D2,'🚛 FROTA'!B:B,'🚛 FROTA'!F:F,"")</f>
        <v>Caminhão</v>
      </c>
      <c r="I2" s="95">
        <f>_xlfn.XLOOKUP(D2,'🚛 FROTA'!B:B,'🚛 FROTA'!C:C,"")</f>
        <v>1296304180</v>
      </c>
      <c r="J2" s="94"/>
      <c r="K2" s="168">
        <v>167.74</v>
      </c>
      <c r="L2" s="169">
        <v>0</v>
      </c>
      <c r="M2" s="168"/>
      <c r="N2" s="168">
        <v>5485.14</v>
      </c>
      <c r="O2" s="169">
        <v>1701.27</v>
      </c>
      <c r="P2" s="105">
        <v>1</v>
      </c>
      <c r="Q2" s="168">
        <v>130.16</v>
      </c>
      <c r="R2" s="169">
        <v>2.88</v>
      </c>
      <c r="S2" s="168">
        <f t="shared" ref="S2:S17" si="0">SUM(K2,N2,Q2)</f>
        <v>5783.04</v>
      </c>
      <c r="T2" s="169">
        <f>SUM(R2,O2,L2)</f>
        <v>1704.15</v>
      </c>
      <c r="U2" s="168">
        <f t="shared" ref="U2:U33" si="1">SUM(S2,T2)</f>
        <v>7487.1900000000005</v>
      </c>
      <c r="V2" s="168">
        <v>7487.19</v>
      </c>
      <c r="W2" s="168">
        <f t="shared" ref="W2:W16" si="2">V2-U2</f>
        <v>0</v>
      </c>
      <c r="X2" s="170" t="s">
        <v>1551</v>
      </c>
      <c r="Y2" s="108"/>
    </row>
    <row r="3" spans="1:25" ht="18" customHeight="1" x14ac:dyDescent="0.2">
      <c r="A3" s="97">
        <v>2</v>
      </c>
      <c r="B3" s="97">
        <f>_xlfn.XLOOKUP(D3,'🚛 FROTA'!B:B,'🚛 FROTA'!A:A,"")</f>
        <v>18</v>
      </c>
      <c r="C3" s="97">
        <v>2025</v>
      </c>
      <c r="D3" s="98" t="s">
        <v>124</v>
      </c>
      <c r="E3" s="98" t="str">
        <f>_xlfn.XLOOKUP(D3,'🚛 FROTA'!B:B,'🚛 FROTA'!D:D,"")</f>
        <v>Toyota</v>
      </c>
      <c r="F3" s="98" t="str">
        <f>_xlfn.XLOOKUP(D3,'🚛 FROTA'!B:B,'🚛 FROTA'!E:E,"")</f>
        <v>Hilux SW4 SRV 2.7 Flex</v>
      </c>
      <c r="G3" s="98">
        <f>_xlfn.XLOOKUP(D3,'🚛 FROTA'!B:B,'🚛 FROTA'!I:I,"")</f>
        <v>2019</v>
      </c>
      <c r="H3" s="98" t="str">
        <f>_xlfn.XLOOKUP(D3,'🚛 FROTA'!B:B,'🚛 FROTA'!F:F,"")</f>
        <v>Carro</v>
      </c>
      <c r="I3" s="99">
        <f>_xlfn.XLOOKUP(D3,'🚛 FROTA'!B:B,'🚛 FROTA'!C:C,"")</f>
        <v>1181626088</v>
      </c>
      <c r="J3" s="98"/>
      <c r="K3" s="171">
        <v>167.74</v>
      </c>
      <c r="L3" s="169">
        <v>0</v>
      </c>
      <c r="M3" s="171"/>
      <c r="N3" s="171">
        <v>7143.91</v>
      </c>
      <c r="O3" s="169">
        <v>0</v>
      </c>
      <c r="P3" s="106">
        <v>0</v>
      </c>
      <c r="Q3" s="171">
        <v>0</v>
      </c>
      <c r="R3" s="169">
        <v>0</v>
      </c>
      <c r="S3" s="171">
        <f t="shared" si="0"/>
        <v>7311.65</v>
      </c>
      <c r="T3" s="169">
        <f>SUM(R3,O3,L3)</f>
        <v>0</v>
      </c>
      <c r="U3" s="171">
        <f t="shared" si="1"/>
        <v>7311.65</v>
      </c>
      <c r="V3" s="171">
        <v>7311.65</v>
      </c>
      <c r="W3" s="171">
        <f t="shared" si="2"/>
        <v>0</v>
      </c>
      <c r="X3" s="170" t="s">
        <v>1551</v>
      </c>
      <c r="Y3" s="109"/>
    </row>
    <row r="4" spans="1:25" ht="18" customHeight="1" x14ac:dyDescent="0.2">
      <c r="A4" s="93">
        <v>3</v>
      </c>
      <c r="B4" s="93">
        <f>_xlfn.XLOOKUP(D4,'🚛 FROTA'!B:B,'🚛 FROTA'!A:A,"")</f>
        <v>42</v>
      </c>
      <c r="C4" s="93">
        <v>2025</v>
      </c>
      <c r="D4" s="94" t="s">
        <v>167</v>
      </c>
      <c r="E4" s="94" t="str">
        <f>_xlfn.XLOOKUP(D4,'🚛 FROTA'!B:B,'🚛 FROTA'!D:D,"")</f>
        <v>Volkswagen</v>
      </c>
      <c r="F4" s="94" t="str">
        <f>_xlfn.XLOOKUP(D4,'🚛 FROTA'!B:B,'🚛 FROTA'!E:E,"")</f>
        <v>Express Delivery</v>
      </c>
      <c r="G4" s="94">
        <f>_xlfn.XLOOKUP(D4,'🚛 FROTA'!B:B,'🚛 FROTA'!I:I,"")</f>
        <v>2022</v>
      </c>
      <c r="H4" s="94" t="str">
        <f>_xlfn.XLOOKUP(D4,'🚛 FROTA'!B:B,'🚛 FROTA'!F:F,"")</f>
        <v>Caminhonete</v>
      </c>
      <c r="I4" s="95">
        <f>_xlfn.XLOOKUP(D4,'🚛 FROTA'!B:B,'🚛 FROTA'!C:C,"")</f>
        <v>1277427728</v>
      </c>
      <c r="J4" s="94"/>
      <c r="K4" s="168">
        <v>167.74</v>
      </c>
      <c r="L4" s="169">
        <v>0</v>
      </c>
      <c r="M4" s="168"/>
      <c r="N4" s="168">
        <v>4247</v>
      </c>
      <c r="O4" s="169">
        <v>1357</v>
      </c>
      <c r="P4" s="105">
        <v>0</v>
      </c>
      <c r="Q4" s="168">
        <v>0</v>
      </c>
      <c r="R4" s="169">
        <v>0</v>
      </c>
      <c r="S4" s="168">
        <f t="shared" si="0"/>
        <v>4414.74</v>
      </c>
      <c r="T4" s="169">
        <f t="shared" ref="T4:T17" si="3">SUM(L4,O4,R4)</f>
        <v>1357</v>
      </c>
      <c r="U4" s="168">
        <f t="shared" si="1"/>
        <v>5771.74</v>
      </c>
      <c r="V4" s="168">
        <v>5771.74</v>
      </c>
      <c r="W4" s="168">
        <f t="shared" si="2"/>
        <v>0</v>
      </c>
      <c r="X4" s="170" t="s">
        <v>1551</v>
      </c>
      <c r="Y4" s="108"/>
    </row>
    <row r="5" spans="1:25" ht="18" customHeight="1" x14ac:dyDescent="0.2">
      <c r="A5" s="97">
        <v>4</v>
      </c>
      <c r="B5" s="97">
        <f>_xlfn.XLOOKUP(D5,'🚛 FROTA'!B:B,'🚛 FROTA'!A:A,"")</f>
        <v>34</v>
      </c>
      <c r="C5" s="97">
        <v>2025</v>
      </c>
      <c r="D5" s="98" t="s">
        <v>155</v>
      </c>
      <c r="E5" s="98" t="str">
        <f>_xlfn.XLOOKUP(D5,'🚛 FROTA'!B:B,'🚛 FROTA'!D:D,"")</f>
        <v>Volkswagen</v>
      </c>
      <c r="F5" s="98" t="str">
        <f>_xlfn.XLOOKUP(D5,'🚛 FROTA'!B:B,'🚛 FROTA'!E:E,"")</f>
        <v>9.170 Delivery</v>
      </c>
      <c r="G5" s="98">
        <f>_xlfn.XLOOKUP(D5,'🚛 FROTA'!B:B,'🚛 FROTA'!I:I,"")</f>
        <v>2022</v>
      </c>
      <c r="H5" s="98" t="str">
        <f>_xlfn.XLOOKUP(D5,'🚛 FROTA'!B:B,'🚛 FROTA'!F:F,"")</f>
        <v>Caminhão</v>
      </c>
      <c r="I5" s="99">
        <f>_xlfn.XLOOKUP(D5,'🚛 FROTA'!B:B,'🚛 FROTA'!C:C,"")</f>
        <v>1262772548</v>
      </c>
      <c r="J5" s="98"/>
      <c r="K5" s="171">
        <v>167.74</v>
      </c>
      <c r="L5" s="169">
        <v>0</v>
      </c>
      <c r="M5" s="171"/>
      <c r="N5" s="171">
        <v>3942.21</v>
      </c>
      <c r="O5" s="169">
        <v>1162.17</v>
      </c>
      <c r="P5" s="106">
        <v>0</v>
      </c>
      <c r="Q5" s="171">
        <v>0</v>
      </c>
      <c r="R5" s="169">
        <v>0</v>
      </c>
      <c r="S5" s="171">
        <f t="shared" si="0"/>
        <v>4109.95</v>
      </c>
      <c r="T5" s="169">
        <f t="shared" si="3"/>
        <v>1162.17</v>
      </c>
      <c r="U5" s="171">
        <f t="shared" si="1"/>
        <v>5272.12</v>
      </c>
      <c r="V5" s="171">
        <v>5272.12</v>
      </c>
      <c r="W5" s="171">
        <f t="shared" si="2"/>
        <v>0</v>
      </c>
      <c r="X5" s="170" t="s">
        <v>1551</v>
      </c>
      <c r="Y5" s="109"/>
    </row>
    <row r="6" spans="1:25" ht="18" customHeight="1" x14ac:dyDescent="0.2">
      <c r="A6" s="111">
        <v>5</v>
      </c>
      <c r="B6" s="111">
        <f>_xlfn.XLOOKUP(D6,'🚛 FROTA'!B:B,'🚛 FROTA'!A:A,"")</f>
        <v>6</v>
      </c>
      <c r="C6" s="111">
        <v>2025</v>
      </c>
      <c r="D6" s="94" t="s">
        <v>85</v>
      </c>
      <c r="E6" s="94" t="str">
        <f>_xlfn.XLOOKUP(D6,'🚛 FROTA'!B:B,'🚛 FROTA'!D:D,"")</f>
        <v>Volkswagen</v>
      </c>
      <c r="F6" s="94" t="str">
        <f>_xlfn.XLOOKUP(D6,'🚛 FROTA'!B:B,'🚛 FROTA'!E:E,"")</f>
        <v>13.180 Constellation</v>
      </c>
      <c r="G6" s="94">
        <f>_xlfn.XLOOKUP(D6,'🚛 FROTA'!B:B,'🚛 FROTA'!I:I,"")</f>
        <v>2011</v>
      </c>
      <c r="H6" s="94" t="str">
        <f>_xlfn.XLOOKUP(D6,'🚛 FROTA'!B:B,'🚛 FROTA'!F:F,"")</f>
        <v>Caminhão</v>
      </c>
      <c r="I6" s="95">
        <f>_xlfn.XLOOKUP(D6,'🚛 FROTA'!B:B,'🚛 FROTA'!C:C,"")</f>
        <v>324418264</v>
      </c>
      <c r="J6" s="94"/>
      <c r="K6" s="168">
        <v>167.74</v>
      </c>
      <c r="L6" s="172">
        <v>0</v>
      </c>
      <c r="M6" s="168"/>
      <c r="N6" s="168">
        <v>1852.81</v>
      </c>
      <c r="O6" s="172">
        <v>546.21</v>
      </c>
      <c r="P6" s="105">
        <v>8</v>
      </c>
      <c r="Q6" s="168">
        <v>1596.28</v>
      </c>
      <c r="R6" s="172">
        <v>55.93</v>
      </c>
      <c r="S6" s="168">
        <f t="shared" si="0"/>
        <v>3616.83</v>
      </c>
      <c r="T6" s="172">
        <f t="shared" si="3"/>
        <v>602.14</v>
      </c>
      <c r="U6" s="168">
        <f t="shared" si="1"/>
        <v>4218.97</v>
      </c>
      <c r="V6" s="168">
        <v>4218.97</v>
      </c>
      <c r="W6" s="168">
        <f t="shared" si="2"/>
        <v>0</v>
      </c>
      <c r="X6" s="170" t="s">
        <v>1551</v>
      </c>
      <c r="Y6" s="108"/>
    </row>
    <row r="7" spans="1:25" ht="18" customHeight="1" x14ac:dyDescent="0.2">
      <c r="A7" s="112">
        <v>6</v>
      </c>
      <c r="B7" s="112">
        <f>_xlfn.XLOOKUP(D7,'🚛 FROTA'!B:B,'🚛 FROTA'!A:A,"")</f>
        <v>41</v>
      </c>
      <c r="C7" s="112">
        <v>2025</v>
      </c>
      <c r="D7" s="98" t="s">
        <v>166</v>
      </c>
      <c r="E7" s="98" t="str">
        <f>_xlfn.XLOOKUP(D7,'🚛 FROTA'!B:B,'🚛 FROTA'!D:D,"")</f>
        <v>Volkswagen</v>
      </c>
      <c r="F7" s="98" t="str">
        <f>_xlfn.XLOOKUP(D7,'🚛 FROTA'!B:B,'🚛 FROTA'!E:E,"")</f>
        <v>Express Delivery</v>
      </c>
      <c r="G7" s="98">
        <f>_xlfn.XLOOKUP(D7,'🚛 FROTA'!B:B,'🚛 FROTA'!I:I,"")</f>
        <v>2022</v>
      </c>
      <c r="H7" s="98" t="str">
        <f>_xlfn.XLOOKUP(D7,'🚛 FROTA'!B:B,'🚛 FROTA'!F:F,"")</f>
        <v>Caminhonete</v>
      </c>
      <c r="I7" s="99">
        <f>_xlfn.XLOOKUP(D7,'🚛 FROTA'!B:B,'🚛 FROTA'!C:C,"")</f>
        <v>1262921454</v>
      </c>
      <c r="J7" s="98"/>
      <c r="K7" s="171">
        <v>167.74</v>
      </c>
      <c r="L7" s="172">
        <v>39.200000000000003</v>
      </c>
      <c r="M7" s="171"/>
      <c r="N7" s="171">
        <v>8494</v>
      </c>
      <c r="O7" s="172">
        <v>2705</v>
      </c>
      <c r="P7" s="106">
        <v>2</v>
      </c>
      <c r="Q7" s="171">
        <v>390.48</v>
      </c>
      <c r="R7" s="172">
        <v>48.97</v>
      </c>
      <c r="S7" s="171">
        <f t="shared" si="0"/>
        <v>9052.2199999999993</v>
      </c>
      <c r="T7" s="172">
        <f t="shared" si="3"/>
        <v>2793.1699999999996</v>
      </c>
      <c r="U7" s="171">
        <f t="shared" si="1"/>
        <v>11845.39</v>
      </c>
      <c r="V7" s="171">
        <f>U7</f>
        <v>11845.39</v>
      </c>
      <c r="W7" s="171">
        <f t="shared" si="2"/>
        <v>0</v>
      </c>
      <c r="X7" s="170" t="s">
        <v>1551</v>
      </c>
      <c r="Y7" s="109"/>
    </row>
    <row r="8" spans="1:25" ht="18" customHeight="1" x14ac:dyDescent="0.2">
      <c r="A8" s="93">
        <v>7</v>
      </c>
      <c r="B8" s="93">
        <f>_xlfn.XLOOKUP(D8,'🚛 FROTA'!B:B,'🚛 FROTA'!A:A,"")</f>
        <v>45</v>
      </c>
      <c r="C8" s="93">
        <v>2025</v>
      </c>
      <c r="D8" s="94" t="s">
        <v>172</v>
      </c>
      <c r="E8" s="94" t="str">
        <f>_xlfn.XLOOKUP(D8,'🚛 FROTA'!B:B,'🚛 FROTA'!D:D,"")</f>
        <v>Volkswagen</v>
      </c>
      <c r="F8" s="94" t="str">
        <f>_xlfn.XLOOKUP(D8,'🚛 FROTA'!B:B,'🚛 FROTA'!E:E,"")</f>
        <v>Express Delivery</v>
      </c>
      <c r="G8" s="94">
        <f>_xlfn.XLOOKUP(D8,'🚛 FROTA'!B:B,'🚛 FROTA'!I:I,"")</f>
        <v>2022</v>
      </c>
      <c r="H8" s="94" t="str">
        <f>_xlfn.XLOOKUP(D8,'🚛 FROTA'!B:B,'🚛 FROTA'!F:F,"")</f>
        <v>Caminhonete</v>
      </c>
      <c r="I8" s="95">
        <f>_xlfn.XLOOKUP(D8,'🚛 FROTA'!B:B,'🚛 FROTA'!C:C,"")</f>
        <v>1280040200</v>
      </c>
      <c r="J8" s="94"/>
      <c r="K8" s="168">
        <v>167.74</v>
      </c>
      <c r="L8" s="169">
        <v>39.200000000000003</v>
      </c>
      <c r="M8" s="168"/>
      <c r="N8" s="168">
        <v>4247</v>
      </c>
      <c r="O8" s="169">
        <v>1356.98</v>
      </c>
      <c r="P8" s="105">
        <v>0</v>
      </c>
      <c r="Q8" s="168">
        <v>0</v>
      </c>
      <c r="R8" s="169">
        <v>0</v>
      </c>
      <c r="S8" s="168">
        <f t="shared" si="0"/>
        <v>4414.74</v>
      </c>
      <c r="T8" s="169">
        <f t="shared" si="3"/>
        <v>1396.18</v>
      </c>
      <c r="U8" s="168">
        <f t="shared" si="1"/>
        <v>5810.92</v>
      </c>
      <c r="V8" s="168">
        <f>U8</f>
        <v>5810.92</v>
      </c>
      <c r="W8" s="168">
        <f t="shared" si="2"/>
        <v>0</v>
      </c>
      <c r="X8" s="170" t="s">
        <v>1551</v>
      </c>
      <c r="Y8" s="108"/>
    </row>
    <row r="9" spans="1:25" ht="18" customHeight="1" x14ac:dyDescent="0.2">
      <c r="A9" s="97">
        <v>8</v>
      </c>
      <c r="B9" s="97">
        <f>_xlfn.XLOOKUP(D9,'🚛 FROTA'!B:B,'🚛 FROTA'!A:A,"")</f>
        <v>39</v>
      </c>
      <c r="C9" s="97">
        <v>2025</v>
      </c>
      <c r="D9" s="98" t="s">
        <v>162</v>
      </c>
      <c r="E9" s="98" t="str">
        <f>_xlfn.XLOOKUP(D9,'🚛 FROTA'!B:B,'🚛 FROTA'!D:D,"")</f>
        <v>Volkswagen</v>
      </c>
      <c r="F9" s="98" t="str">
        <f>_xlfn.XLOOKUP(D9,'🚛 FROTA'!B:B,'🚛 FROTA'!E:E,"")</f>
        <v>Express Delivery</v>
      </c>
      <c r="G9" s="98">
        <f>_xlfn.XLOOKUP(D9,'🚛 FROTA'!B:B,'🚛 FROTA'!I:I,"")</f>
        <v>2022</v>
      </c>
      <c r="H9" s="98" t="str">
        <f>_xlfn.XLOOKUP(D9,'🚛 FROTA'!B:B,'🚛 FROTA'!F:F,"")</f>
        <v>Caminhonete</v>
      </c>
      <c r="I9" s="99">
        <f>_xlfn.XLOOKUP(D9,'🚛 FROTA'!B:B,'🚛 FROTA'!C:C,"")</f>
        <v>1262921586</v>
      </c>
      <c r="J9" s="98"/>
      <c r="K9" s="171">
        <v>167.74</v>
      </c>
      <c r="L9" s="169">
        <v>27.52</v>
      </c>
      <c r="M9" s="171"/>
      <c r="N9" s="171">
        <v>8494</v>
      </c>
      <c r="O9" s="169">
        <v>2713.98</v>
      </c>
      <c r="P9" s="106">
        <v>1</v>
      </c>
      <c r="Q9" s="171">
        <v>130.16</v>
      </c>
      <c r="R9" s="169">
        <v>14.21</v>
      </c>
      <c r="S9" s="171">
        <f t="shared" si="0"/>
        <v>8791.9</v>
      </c>
      <c r="T9" s="169">
        <f t="shared" si="3"/>
        <v>2755.71</v>
      </c>
      <c r="U9" s="171">
        <f t="shared" si="1"/>
        <v>11547.61</v>
      </c>
      <c r="V9" s="171">
        <v>11547.61</v>
      </c>
      <c r="W9" s="171">
        <f t="shared" si="2"/>
        <v>0</v>
      </c>
      <c r="X9" s="170" t="s">
        <v>1551</v>
      </c>
      <c r="Y9" s="109"/>
    </row>
    <row r="10" spans="1:25" ht="18" customHeight="1" x14ac:dyDescent="0.2">
      <c r="A10" s="93">
        <v>9</v>
      </c>
      <c r="B10" s="93">
        <f>_xlfn.XLOOKUP(D10,'🚛 FROTA'!B:B,'🚛 FROTA'!A:A,"")</f>
        <v>43</v>
      </c>
      <c r="C10" s="93">
        <v>2025</v>
      </c>
      <c r="D10" s="94" t="s">
        <v>169</v>
      </c>
      <c r="E10" s="94" t="str">
        <f>_xlfn.XLOOKUP(D10,'🚛 FROTA'!B:B,'🚛 FROTA'!D:D,"")</f>
        <v>Volkswagen</v>
      </c>
      <c r="F10" s="94" t="str">
        <f>_xlfn.XLOOKUP(D10,'🚛 FROTA'!B:B,'🚛 FROTA'!E:E,"")</f>
        <v>Express Delivery</v>
      </c>
      <c r="G10" s="94">
        <f>_xlfn.XLOOKUP(D10,'🚛 FROTA'!B:B,'🚛 FROTA'!I:I,"")</f>
        <v>2022</v>
      </c>
      <c r="H10" s="94" t="str">
        <f>_xlfn.XLOOKUP(D10,'🚛 FROTA'!B:B,'🚛 FROTA'!F:F,"")</f>
        <v>Caminhonete</v>
      </c>
      <c r="I10" s="95">
        <f>_xlfn.XLOOKUP(D10,'🚛 FROTA'!B:B,'🚛 FROTA'!C:C,"")</f>
        <v>1277433183</v>
      </c>
      <c r="J10" s="94"/>
      <c r="K10" s="168">
        <v>167.74</v>
      </c>
      <c r="L10" s="169">
        <v>27.52</v>
      </c>
      <c r="M10" s="168"/>
      <c r="N10" s="168">
        <v>4247</v>
      </c>
      <c r="O10" s="169">
        <v>1356.98</v>
      </c>
      <c r="P10" s="105">
        <v>0</v>
      </c>
      <c r="Q10" s="168">
        <v>0</v>
      </c>
      <c r="R10" s="169">
        <v>0</v>
      </c>
      <c r="S10" s="168">
        <f t="shared" si="0"/>
        <v>4414.74</v>
      </c>
      <c r="T10" s="169">
        <f t="shared" si="3"/>
        <v>1384.5</v>
      </c>
      <c r="U10" s="168">
        <f t="shared" si="1"/>
        <v>5799.24</v>
      </c>
      <c r="V10" s="168">
        <f t="shared" ref="V10:V16" si="4">U10</f>
        <v>5799.24</v>
      </c>
      <c r="W10" s="168">
        <f t="shared" si="2"/>
        <v>0</v>
      </c>
      <c r="X10" s="170" t="s">
        <v>1551</v>
      </c>
      <c r="Y10" s="108"/>
    </row>
    <row r="11" spans="1:25" ht="18" customHeight="1" x14ac:dyDescent="0.2">
      <c r="A11" s="97">
        <v>10</v>
      </c>
      <c r="B11" s="97">
        <f>_xlfn.XLOOKUP(D11,'🚛 FROTA'!B:B,'🚛 FROTA'!A:A,"")</f>
        <v>44</v>
      </c>
      <c r="C11" s="97">
        <v>2025</v>
      </c>
      <c r="D11" s="98" t="s">
        <v>170</v>
      </c>
      <c r="E11" s="98" t="str">
        <f>_xlfn.XLOOKUP(D11,'🚛 FROTA'!B:B,'🚛 FROTA'!D:D,"")</f>
        <v>Volkswagen</v>
      </c>
      <c r="F11" s="98" t="str">
        <f>_xlfn.XLOOKUP(D11,'🚛 FROTA'!B:B,'🚛 FROTA'!E:E,"")</f>
        <v>Express Delivery</v>
      </c>
      <c r="G11" s="98">
        <f>_xlfn.XLOOKUP(D11,'🚛 FROTA'!B:B,'🚛 FROTA'!I:I,"")</f>
        <v>2022</v>
      </c>
      <c r="H11" s="98" t="str">
        <f>_xlfn.XLOOKUP(D11,'🚛 FROTA'!B:B,'🚛 FROTA'!F:F,"")</f>
        <v>Caminhonete</v>
      </c>
      <c r="I11" s="99">
        <f>_xlfn.XLOOKUP(D11,'🚛 FROTA'!B:B,'🚛 FROTA'!C:C,"")</f>
        <v>1280040227</v>
      </c>
      <c r="J11" s="98"/>
      <c r="K11" s="171">
        <v>167.74</v>
      </c>
      <c r="L11" s="169">
        <v>27.52</v>
      </c>
      <c r="M11" s="171"/>
      <c r="N11" s="171">
        <v>4247</v>
      </c>
      <c r="O11" s="169">
        <v>1356.98</v>
      </c>
      <c r="P11" s="106">
        <v>1</v>
      </c>
      <c r="Q11" s="171">
        <v>5869.4</v>
      </c>
      <c r="R11" s="169">
        <v>796.47</v>
      </c>
      <c r="S11" s="171">
        <f t="shared" si="0"/>
        <v>10284.14</v>
      </c>
      <c r="T11" s="169">
        <f t="shared" si="3"/>
        <v>2180.9700000000003</v>
      </c>
      <c r="U11" s="171">
        <f t="shared" si="1"/>
        <v>12465.11</v>
      </c>
      <c r="V11" s="171">
        <f t="shared" si="4"/>
        <v>12465.11</v>
      </c>
      <c r="W11" s="171">
        <f t="shared" si="2"/>
        <v>0</v>
      </c>
      <c r="X11" s="170" t="s">
        <v>1551</v>
      </c>
      <c r="Y11" s="109"/>
    </row>
    <row r="12" spans="1:25" ht="18" customHeight="1" x14ac:dyDescent="0.2">
      <c r="A12" s="111">
        <v>11</v>
      </c>
      <c r="B12" s="111">
        <f>_xlfn.XLOOKUP(D12,'🚛 FROTA'!B:B,'🚛 FROTA'!A:A,"")</f>
        <v>46</v>
      </c>
      <c r="C12" s="111">
        <v>2025</v>
      </c>
      <c r="D12" s="94" t="s">
        <v>173</v>
      </c>
      <c r="E12" s="94" t="str">
        <f>_xlfn.XLOOKUP(D12,'🚛 FROTA'!B:B,'🚛 FROTA'!D:D,"")</f>
        <v>Volkswagen</v>
      </c>
      <c r="F12" s="94" t="str">
        <f>_xlfn.XLOOKUP(D12,'🚛 FROTA'!B:B,'🚛 FROTA'!E:E,"")</f>
        <v>Express Delivery</v>
      </c>
      <c r="G12" s="94">
        <f>_xlfn.XLOOKUP(D12,'🚛 FROTA'!B:B,'🚛 FROTA'!I:I,"")</f>
        <v>2022</v>
      </c>
      <c r="H12" s="94" t="str">
        <f>_xlfn.XLOOKUP(D12,'🚛 FROTA'!B:B,'🚛 FROTA'!F:F,"")</f>
        <v>Caminhonete</v>
      </c>
      <c r="I12" s="95">
        <f>_xlfn.XLOOKUP(D12,'🚛 FROTA'!B:B,'🚛 FROTA'!C:C,"")</f>
        <v>1277433230</v>
      </c>
      <c r="J12" s="94"/>
      <c r="K12" s="168">
        <v>167.74</v>
      </c>
      <c r="L12" s="172">
        <v>8.31</v>
      </c>
      <c r="M12" s="168"/>
      <c r="N12" s="168">
        <v>4247</v>
      </c>
      <c r="O12" s="172">
        <v>1356.98</v>
      </c>
      <c r="P12" s="105">
        <v>2</v>
      </c>
      <c r="Q12" s="168">
        <v>880.41</v>
      </c>
      <c r="R12" s="172">
        <v>29.93</v>
      </c>
      <c r="S12" s="168">
        <f t="shared" si="0"/>
        <v>5295.15</v>
      </c>
      <c r="T12" s="172">
        <f t="shared" si="3"/>
        <v>1395.22</v>
      </c>
      <c r="U12" s="168">
        <f t="shared" si="1"/>
        <v>6690.37</v>
      </c>
      <c r="V12" s="168">
        <f t="shared" si="4"/>
        <v>6690.37</v>
      </c>
      <c r="W12" s="168">
        <f t="shared" si="2"/>
        <v>0</v>
      </c>
      <c r="X12" s="170" t="s">
        <v>1551</v>
      </c>
      <c r="Y12" s="108"/>
    </row>
    <row r="13" spans="1:25" ht="18" customHeight="1" x14ac:dyDescent="0.2">
      <c r="A13" s="97">
        <v>12</v>
      </c>
      <c r="B13" s="97">
        <f>_xlfn.XLOOKUP(D13,'🚛 FROTA'!B:B,'🚛 FROTA'!A:A,"")</f>
        <v>48</v>
      </c>
      <c r="C13" s="97">
        <v>2025</v>
      </c>
      <c r="D13" s="98" t="s">
        <v>177</v>
      </c>
      <c r="E13" s="98" t="str">
        <f>_xlfn.XLOOKUP(D13,'🚛 FROTA'!B:B,'🚛 FROTA'!D:D,"")</f>
        <v>Hyundai</v>
      </c>
      <c r="F13" s="98" t="str">
        <f>_xlfn.XLOOKUP(D13,'🚛 FROTA'!B:B,'🚛 FROTA'!E:E,"")</f>
        <v>Creta Platinum 1.0 TGDI</v>
      </c>
      <c r="G13" s="98">
        <f>_xlfn.XLOOKUP(D13,'🚛 FROTA'!B:B,'🚛 FROTA'!I:I,"")</f>
        <v>2025</v>
      </c>
      <c r="H13" s="98" t="str">
        <f>_xlfn.XLOOKUP(D13,'🚛 FROTA'!B:B,'🚛 FROTA'!F:F,"")</f>
        <v>Carro</v>
      </c>
      <c r="I13" s="99">
        <f>_xlfn.XLOOKUP(D13,'🚛 FROTA'!B:B,'🚛 FROTA'!C:C,"")</f>
        <v>1419822680</v>
      </c>
      <c r="J13" s="98"/>
      <c r="K13" s="171">
        <v>0</v>
      </c>
      <c r="L13" s="169">
        <v>0</v>
      </c>
      <c r="M13" s="171"/>
      <c r="N13" s="171">
        <v>5557.9</v>
      </c>
      <c r="O13" s="169">
        <v>508</v>
      </c>
      <c r="P13" s="106">
        <v>0</v>
      </c>
      <c r="Q13" s="171">
        <v>0</v>
      </c>
      <c r="R13" s="169">
        <v>0</v>
      </c>
      <c r="S13" s="171">
        <f t="shared" si="0"/>
        <v>5557.9</v>
      </c>
      <c r="T13" s="169">
        <f t="shared" si="3"/>
        <v>508</v>
      </c>
      <c r="U13" s="171">
        <f t="shared" si="1"/>
        <v>6065.9</v>
      </c>
      <c r="V13" s="171">
        <f t="shared" si="4"/>
        <v>6065.9</v>
      </c>
      <c r="W13" s="171">
        <f t="shared" si="2"/>
        <v>0</v>
      </c>
      <c r="X13" s="170" t="s">
        <v>1551</v>
      </c>
      <c r="Y13" s="90"/>
    </row>
    <row r="14" spans="1:25" ht="18" customHeight="1" x14ac:dyDescent="0.2">
      <c r="A14" s="93">
        <v>13</v>
      </c>
      <c r="B14" s="93">
        <f>_xlfn.XLOOKUP(D14,'🚛 FROTA'!B:B,'🚛 FROTA'!A:A,"")</f>
        <v>40</v>
      </c>
      <c r="C14" s="93">
        <v>2025</v>
      </c>
      <c r="D14" s="94" t="s">
        <v>165</v>
      </c>
      <c r="E14" s="94" t="str">
        <f>_xlfn.XLOOKUP(D14,'🚛 FROTA'!B:B,'🚛 FROTA'!D:D,"")</f>
        <v>Volkswagen</v>
      </c>
      <c r="F14" s="94" t="str">
        <f>_xlfn.XLOOKUP(D14,'🚛 FROTA'!B:B,'🚛 FROTA'!E:E,"")</f>
        <v>Express Delivery</v>
      </c>
      <c r="G14" s="94">
        <f>_xlfn.XLOOKUP(D14,'🚛 FROTA'!B:B,'🚛 FROTA'!I:I,"")</f>
        <v>2022</v>
      </c>
      <c r="H14" s="94" t="str">
        <f>_xlfn.XLOOKUP(D14,'🚛 FROTA'!B:B,'🚛 FROTA'!F:F,"")</f>
        <v>Caminhonete</v>
      </c>
      <c r="I14" s="95">
        <f>_xlfn.XLOOKUP(D14,'🚛 FROTA'!B:B,'🚛 FROTA'!C:C,"")</f>
        <v>1262921551</v>
      </c>
      <c r="J14" s="94"/>
      <c r="K14" s="168">
        <v>167.74</v>
      </c>
      <c r="L14" s="169">
        <v>8.86</v>
      </c>
      <c r="M14" s="168"/>
      <c r="N14" s="168">
        <v>8494</v>
      </c>
      <c r="O14" s="169">
        <v>2713.98</v>
      </c>
      <c r="P14" s="105">
        <v>1</v>
      </c>
      <c r="Q14" s="168">
        <v>130.16</v>
      </c>
      <c r="R14" s="169">
        <v>23.18</v>
      </c>
      <c r="S14" s="168">
        <f t="shared" si="0"/>
        <v>8791.9</v>
      </c>
      <c r="T14" s="169">
        <f t="shared" si="3"/>
        <v>2746.02</v>
      </c>
      <c r="U14" s="168">
        <f t="shared" si="1"/>
        <v>11537.92</v>
      </c>
      <c r="V14" s="168">
        <f t="shared" si="4"/>
        <v>11537.92</v>
      </c>
      <c r="W14" s="168">
        <f t="shared" si="2"/>
        <v>0</v>
      </c>
      <c r="X14" s="170" t="s">
        <v>1551</v>
      </c>
      <c r="Y14" s="91"/>
    </row>
    <row r="15" spans="1:25" ht="18" customHeight="1" x14ac:dyDescent="0.2">
      <c r="A15" s="97">
        <v>14</v>
      </c>
      <c r="B15" s="97">
        <f>_xlfn.XLOOKUP(D15,'🚛 FROTA'!B:B,'🚛 FROTA'!A:A,"")</f>
        <v>24</v>
      </c>
      <c r="C15" s="97">
        <v>2025</v>
      </c>
      <c r="D15" s="98" t="s">
        <v>141</v>
      </c>
      <c r="E15" s="98" t="str">
        <f>_xlfn.XLOOKUP(D15,'🚛 FROTA'!B:B,'🚛 FROTA'!D:D,"")</f>
        <v>Volkswagen</v>
      </c>
      <c r="F15" s="98" t="str">
        <f>_xlfn.XLOOKUP(D15,'🚛 FROTA'!B:B,'🚛 FROTA'!E:E,"")</f>
        <v>14.190 Constellation</v>
      </c>
      <c r="G15" s="98">
        <f>_xlfn.XLOOKUP(D15,'🚛 FROTA'!B:B,'🚛 FROTA'!I:I,"")</f>
        <v>2021</v>
      </c>
      <c r="H15" s="98" t="str">
        <f>_xlfn.XLOOKUP(D15,'🚛 FROTA'!B:B,'🚛 FROTA'!F:F,"")</f>
        <v>Caminhão</v>
      </c>
      <c r="I15" s="99">
        <f>_xlfn.XLOOKUP(D15,'🚛 FROTA'!B:B,'🚛 FROTA'!C:C,"")</f>
        <v>1243478176</v>
      </c>
      <c r="J15" s="98"/>
      <c r="K15" s="171">
        <v>167.74</v>
      </c>
      <c r="L15" s="169">
        <v>0</v>
      </c>
      <c r="M15" s="171"/>
      <c r="N15" s="171">
        <v>3740.95</v>
      </c>
      <c r="O15" s="169">
        <v>0</v>
      </c>
      <c r="P15" s="106"/>
      <c r="Q15" s="171">
        <v>2443.63</v>
      </c>
      <c r="R15" s="169">
        <v>0</v>
      </c>
      <c r="S15" s="171">
        <f t="shared" si="0"/>
        <v>6352.32</v>
      </c>
      <c r="T15" s="169">
        <f t="shared" si="3"/>
        <v>0</v>
      </c>
      <c r="U15" s="171">
        <f t="shared" si="1"/>
        <v>6352.32</v>
      </c>
      <c r="V15" s="171">
        <f t="shared" si="4"/>
        <v>6352.32</v>
      </c>
      <c r="W15" s="171">
        <f t="shared" si="2"/>
        <v>0</v>
      </c>
      <c r="X15" s="170" t="s">
        <v>1551</v>
      </c>
      <c r="Y15" s="90"/>
    </row>
    <row r="16" spans="1:25" ht="18" customHeight="1" x14ac:dyDescent="0.2">
      <c r="A16" s="93">
        <v>15</v>
      </c>
      <c r="B16" s="93">
        <f>_xlfn.XLOOKUP(D16,'🚛 FROTA'!B:B,'🚛 FROTA'!A:A,"")</f>
        <v>17</v>
      </c>
      <c r="C16" s="93">
        <v>2025</v>
      </c>
      <c r="D16" s="94" t="s">
        <v>119</v>
      </c>
      <c r="E16" s="94" t="str">
        <f>_xlfn.XLOOKUP(D16,'🚛 FROTA'!B:B,'🚛 FROTA'!D:D,"")</f>
        <v>Caterpillar</v>
      </c>
      <c r="F16" s="94" t="str">
        <f>_xlfn.XLOOKUP(D16,'🚛 FROTA'!B:B,'🚛 FROTA'!E:E,"")</f>
        <v>CAT 416F2</v>
      </c>
      <c r="G16" s="94">
        <f>_xlfn.XLOOKUP(D16,'🚛 FROTA'!B:B,'🚛 FROTA'!I:I,"")</f>
        <v>2018</v>
      </c>
      <c r="H16" s="94" t="str">
        <f>_xlfn.XLOOKUP(D16,'🚛 FROTA'!B:B,'🚛 FROTA'!F:F,"")</f>
        <v>Retroescavadeira</v>
      </c>
      <c r="I16" s="95">
        <f>_xlfn.XLOOKUP(D16,'🚛 FROTA'!B:B,'🚛 FROTA'!C:C,"")</f>
        <v>1185265632</v>
      </c>
      <c r="J16" s="94"/>
      <c r="K16" s="168">
        <v>167.74</v>
      </c>
      <c r="L16" s="169">
        <v>0</v>
      </c>
      <c r="M16" s="168"/>
      <c r="N16" s="168">
        <v>0</v>
      </c>
      <c r="O16" s="169">
        <v>0</v>
      </c>
      <c r="P16" s="105">
        <v>0</v>
      </c>
      <c r="Q16" s="168">
        <v>0</v>
      </c>
      <c r="R16" s="169">
        <v>0</v>
      </c>
      <c r="S16" s="168">
        <f t="shared" si="0"/>
        <v>167.74</v>
      </c>
      <c r="T16" s="169">
        <f t="shared" si="3"/>
        <v>0</v>
      </c>
      <c r="U16" s="168">
        <f t="shared" si="1"/>
        <v>167.74</v>
      </c>
      <c r="V16" s="168">
        <f t="shared" si="4"/>
        <v>167.74</v>
      </c>
      <c r="W16" s="168">
        <f t="shared" si="2"/>
        <v>0</v>
      </c>
      <c r="X16" s="170" t="s">
        <v>1551</v>
      </c>
      <c r="Y16" s="91"/>
    </row>
    <row r="17" spans="1:25" ht="18" customHeight="1" x14ac:dyDescent="0.2">
      <c r="A17" s="97">
        <v>16</v>
      </c>
      <c r="B17" s="97">
        <f>_xlfn.XLOOKUP(D17,'🚛 FROTA'!B:B,'🚛 FROTA'!A:A,"")</f>
        <v>20</v>
      </c>
      <c r="C17" s="97">
        <v>2025</v>
      </c>
      <c r="D17" s="98" t="s">
        <v>128</v>
      </c>
      <c r="E17" s="98" t="str">
        <f>_xlfn.XLOOKUP(D17,'🚛 FROTA'!B:B,'🚛 FROTA'!D:D,"")</f>
        <v>Jcb</v>
      </c>
      <c r="F17" s="98" t="str">
        <f>_xlfn.XLOOKUP(D17,'🚛 FROTA'!B:B,'🚛 FROTA'!E:E,"")</f>
        <v>3CX</v>
      </c>
      <c r="G17" s="98">
        <f>_xlfn.XLOOKUP(D17,'🚛 FROTA'!B:B,'🚛 FROTA'!I:I,"")</f>
        <v>2020</v>
      </c>
      <c r="H17" s="98" t="str">
        <f>_xlfn.XLOOKUP(D17,'🚛 FROTA'!B:B,'🚛 FROTA'!F:F,"")</f>
        <v>Retroescavadeira</v>
      </c>
      <c r="I17" s="99">
        <f>_xlfn.XLOOKUP(D17,'🚛 FROTA'!B:B,'🚛 FROTA'!C:C,"")</f>
        <v>0</v>
      </c>
      <c r="J17" s="98"/>
      <c r="K17" s="171">
        <v>0</v>
      </c>
      <c r="L17" s="169">
        <v>0</v>
      </c>
      <c r="M17" s="171"/>
      <c r="N17" s="171">
        <v>0</v>
      </c>
      <c r="O17" s="169">
        <v>0</v>
      </c>
      <c r="P17" s="106">
        <v>0</v>
      </c>
      <c r="Q17" s="171">
        <v>0</v>
      </c>
      <c r="R17" s="169">
        <v>0</v>
      </c>
      <c r="S17" s="171">
        <f t="shared" si="0"/>
        <v>0</v>
      </c>
      <c r="T17" s="169">
        <f t="shared" si="3"/>
        <v>0</v>
      </c>
      <c r="U17" s="171">
        <f t="shared" si="1"/>
        <v>0</v>
      </c>
      <c r="V17" s="171">
        <v>0</v>
      </c>
      <c r="W17" s="171">
        <v>0</v>
      </c>
      <c r="X17" s="170" t="s">
        <v>1551</v>
      </c>
      <c r="Y17" s="90"/>
    </row>
    <row r="18" spans="1:25" ht="18" customHeight="1" x14ac:dyDescent="0.2">
      <c r="A18" s="93">
        <v>17</v>
      </c>
      <c r="B18" s="93">
        <f>_xlfn.XLOOKUP(D18,'🚛 FROTA'!B:B,'🚛 FROTA'!A:A,"")</f>
        <v>47</v>
      </c>
      <c r="C18" s="93">
        <v>2026</v>
      </c>
      <c r="D18" s="94" t="s">
        <v>174</v>
      </c>
      <c r="E18" s="94" t="str">
        <f>_xlfn.XLOOKUP(D18,'🚛 FROTA'!B:B,'🚛 FROTA'!D:D,"")</f>
        <v>Mercedes Benz</v>
      </c>
      <c r="F18" s="94" t="str">
        <f>_xlfn.XLOOKUP(D18,'🚛 FROTA'!B:B,'🚛 FROTA'!E:E,"")</f>
        <v>Atego 3026</v>
      </c>
      <c r="G18" s="94">
        <f>_xlfn.XLOOKUP(D18,'🚛 FROTA'!B:B,'🚛 FROTA'!I:I,"")</f>
        <v>2022</v>
      </c>
      <c r="H18" s="94" t="str">
        <f>_xlfn.XLOOKUP(D18,'🚛 FROTA'!B:B,'🚛 FROTA'!F:F,"")</f>
        <v>Caminhão</v>
      </c>
      <c r="I18" s="95">
        <f>_xlfn.XLOOKUP(D18,'🚛 FROTA'!B:B,'🚛 FROTA'!C:C,"")</f>
        <v>1296304180</v>
      </c>
      <c r="J18" s="104">
        <v>46356</v>
      </c>
      <c r="K18" s="168">
        <v>174.08</v>
      </c>
      <c r="L18" s="169">
        <v>0</v>
      </c>
      <c r="M18" s="104">
        <v>46134</v>
      </c>
      <c r="N18" s="168">
        <v>6254.64</v>
      </c>
      <c r="O18" s="169">
        <v>0</v>
      </c>
      <c r="P18" s="105"/>
      <c r="Q18" s="168">
        <v>887.64</v>
      </c>
      <c r="R18" s="169">
        <v>0</v>
      </c>
      <c r="S18" s="168">
        <f t="shared" ref="S18:S32" si="5">SUM(Q18,N18,K18)</f>
        <v>7316.3600000000006</v>
      </c>
      <c r="T18" s="169">
        <f t="shared" ref="T18:T32" si="6">SUM(R18,O18,L18)</f>
        <v>0</v>
      </c>
      <c r="U18" s="168">
        <f t="shared" si="1"/>
        <v>7316.3600000000006</v>
      </c>
      <c r="V18" s="168">
        <v>0</v>
      </c>
      <c r="W18" s="168">
        <f t="shared" ref="W18:W32" si="7">U18-V18</f>
        <v>7316.3600000000006</v>
      </c>
      <c r="X18" s="173" t="s">
        <v>1552</v>
      </c>
      <c r="Y18" s="108"/>
    </row>
    <row r="19" spans="1:25" ht="18" customHeight="1" x14ac:dyDescent="0.2">
      <c r="A19" s="97">
        <v>18</v>
      </c>
      <c r="B19" s="97">
        <f>_xlfn.XLOOKUP(D19,'🚛 FROTA'!B:B,'🚛 FROTA'!A:A,"")</f>
        <v>18</v>
      </c>
      <c r="C19" s="97">
        <v>2026</v>
      </c>
      <c r="D19" s="98" t="s">
        <v>124</v>
      </c>
      <c r="E19" s="98" t="str">
        <f>_xlfn.XLOOKUP(D19,'🚛 FROTA'!B:B,'🚛 FROTA'!D:D,"")</f>
        <v>Toyota</v>
      </c>
      <c r="F19" s="98" t="str">
        <f>_xlfn.XLOOKUP(D19,'🚛 FROTA'!B:B,'🚛 FROTA'!E:E,"")</f>
        <v>Hilux SW4 SRV 2.7 Flex</v>
      </c>
      <c r="G19" s="98">
        <f>_xlfn.XLOOKUP(D19,'🚛 FROTA'!B:B,'🚛 FROTA'!I:I,"")</f>
        <v>2019</v>
      </c>
      <c r="H19" s="98" t="str">
        <f>_xlfn.XLOOKUP(D19,'🚛 FROTA'!B:B,'🚛 FROTA'!F:F,"")</f>
        <v>Carro</v>
      </c>
      <c r="I19" s="99">
        <f>_xlfn.XLOOKUP(D19,'🚛 FROTA'!B:B,'🚛 FROTA'!C:C,"")</f>
        <v>1181626088</v>
      </c>
      <c r="J19" s="102">
        <v>46326</v>
      </c>
      <c r="K19" s="171">
        <v>174.08</v>
      </c>
      <c r="L19" s="169">
        <v>0</v>
      </c>
      <c r="M19" s="103">
        <v>46076</v>
      </c>
      <c r="N19" s="171">
        <v>6904.12</v>
      </c>
      <c r="O19" s="169">
        <v>1232.74</v>
      </c>
      <c r="P19" s="106">
        <v>0</v>
      </c>
      <c r="Q19" s="171">
        <v>0</v>
      </c>
      <c r="R19" s="169">
        <v>0</v>
      </c>
      <c r="S19" s="171">
        <f t="shared" si="5"/>
        <v>7078.2</v>
      </c>
      <c r="T19" s="169">
        <f t="shared" si="6"/>
        <v>1232.74</v>
      </c>
      <c r="U19" s="171">
        <f t="shared" si="1"/>
        <v>8310.94</v>
      </c>
      <c r="V19" s="171">
        <v>0</v>
      </c>
      <c r="W19" s="171">
        <f t="shared" si="7"/>
        <v>8310.94</v>
      </c>
      <c r="X19" s="174" t="s">
        <v>1553</v>
      </c>
      <c r="Y19" s="110"/>
    </row>
    <row r="20" spans="1:25" ht="18" customHeight="1" x14ac:dyDescent="0.2">
      <c r="A20" s="93">
        <v>19</v>
      </c>
      <c r="B20" s="93">
        <f>_xlfn.XLOOKUP(D20,'🚛 FROTA'!B:B,'🚛 FROTA'!A:A,"")</f>
        <v>42</v>
      </c>
      <c r="C20" s="93">
        <v>2026</v>
      </c>
      <c r="D20" s="94" t="s">
        <v>167</v>
      </c>
      <c r="E20" s="94" t="str">
        <f>_xlfn.XLOOKUP(D20,'🚛 FROTA'!B:B,'🚛 FROTA'!D:D,"")</f>
        <v>Volkswagen</v>
      </c>
      <c r="F20" s="94" t="str">
        <f>_xlfn.XLOOKUP(D20,'🚛 FROTA'!B:B,'🚛 FROTA'!E:E,"")</f>
        <v>Express Delivery</v>
      </c>
      <c r="G20" s="94">
        <f>_xlfn.XLOOKUP(D20,'🚛 FROTA'!B:B,'🚛 FROTA'!I:I,"")</f>
        <v>2022</v>
      </c>
      <c r="H20" s="94" t="str">
        <f>_xlfn.XLOOKUP(D20,'🚛 FROTA'!B:B,'🚛 FROTA'!F:F,"")</f>
        <v>Caminhonete</v>
      </c>
      <c r="I20" s="95">
        <f>_xlfn.XLOOKUP(D20,'🚛 FROTA'!B:B,'🚛 FROTA'!C:C,"")</f>
        <v>1277427728</v>
      </c>
      <c r="J20" s="101">
        <v>46326</v>
      </c>
      <c r="K20" s="168">
        <v>174.08</v>
      </c>
      <c r="L20" s="169">
        <v>0</v>
      </c>
      <c r="M20" s="104">
        <v>46073</v>
      </c>
      <c r="N20" s="168">
        <v>4379.7</v>
      </c>
      <c r="O20" s="169">
        <v>796.91</v>
      </c>
      <c r="P20" s="105">
        <v>0</v>
      </c>
      <c r="Q20" s="168">
        <v>0</v>
      </c>
      <c r="R20" s="169">
        <v>0</v>
      </c>
      <c r="S20" s="168">
        <f t="shared" si="5"/>
        <v>4553.78</v>
      </c>
      <c r="T20" s="169">
        <f t="shared" si="6"/>
        <v>796.91</v>
      </c>
      <c r="U20" s="168">
        <f t="shared" si="1"/>
        <v>5350.69</v>
      </c>
      <c r="V20" s="168">
        <v>0</v>
      </c>
      <c r="W20" s="168">
        <f t="shared" si="7"/>
        <v>5350.69</v>
      </c>
      <c r="X20" s="174" t="s">
        <v>1553</v>
      </c>
      <c r="Y20" s="108"/>
    </row>
    <row r="21" spans="1:25" ht="18" customHeight="1" x14ac:dyDescent="0.2">
      <c r="A21" s="97">
        <v>20</v>
      </c>
      <c r="B21" s="97">
        <f>_xlfn.XLOOKUP(D21,'🚛 FROTA'!B:B,'🚛 FROTA'!A:A,"")</f>
        <v>34</v>
      </c>
      <c r="C21" s="97">
        <v>2026</v>
      </c>
      <c r="D21" s="98" t="s">
        <v>155</v>
      </c>
      <c r="E21" s="98" t="str">
        <f>_xlfn.XLOOKUP(D21,'🚛 FROTA'!B:B,'🚛 FROTA'!D:D,"")</f>
        <v>Volkswagen</v>
      </c>
      <c r="F21" s="98" t="str">
        <f>_xlfn.XLOOKUP(D21,'🚛 FROTA'!B:B,'🚛 FROTA'!E:E,"")</f>
        <v>9.170 Delivery</v>
      </c>
      <c r="G21" s="98">
        <f>_xlfn.XLOOKUP(D21,'🚛 FROTA'!B:B,'🚛 FROTA'!I:I,"")</f>
        <v>2022</v>
      </c>
      <c r="H21" s="98" t="str">
        <f>_xlfn.XLOOKUP(D21,'🚛 FROTA'!B:B,'🚛 FROTA'!F:F,"")</f>
        <v>Caminhão</v>
      </c>
      <c r="I21" s="99">
        <f>_xlfn.XLOOKUP(D21,'🚛 FROTA'!B:B,'🚛 FROTA'!C:C,"")</f>
        <v>1262772548</v>
      </c>
      <c r="J21" s="100">
        <v>46326</v>
      </c>
      <c r="K21" s="171">
        <v>174.08</v>
      </c>
      <c r="L21" s="169">
        <v>0</v>
      </c>
      <c r="M21" s="103">
        <v>46134</v>
      </c>
      <c r="N21" s="171">
        <v>4207.1499999999996</v>
      </c>
      <c r="O21" s="169">
        <v>0</v>
      </c>
      <c r="P21" s="106">
        <v>0</v>
      </c>
      <c r="Q21" s="171">
        <v>0</v>
      </c>
      <c r="R21" s="169">
        <v>0</v>
      </c>
      <c r="S21" s="171">
        <f t="shared" si="5"/>
        <v>4381.2299999999996</v>
      </c>
      <c r="T21" s="169">
        <f t="shared" si="6"/>
        <v>0</v>
      </c>
      <c r="U21" s="171">
        <f t="shared" si="1"/>
        <v>4381.2299999999996</v>
      </c>
      <c r="V21" s="171">
        <v>0</v>
      </c>
      <c r="W21" s="171">
        <f t="shared" si="7"/>
        <v>4381.2299999999996</v>
      </c>
      <c r="X21" s="173" t="s">
        <v>1552</v>
      </c>
      <c r="Y21" s="110"/>
    </row>
    <row r="22" spans="1:25" ht="18" customHeight="1" x14ac:dyDescent="0.2">
      <c r="A22" s="93">
        <v>21</v>
      </c>
      <c r="B22" s="93">
        <f>_xlfn.XLOOKUP(D22,'🚛 FROTA'!B:B,'🚛 FROTA'!A:A,"")</f>
        <v>6</v>
      </c>
      <c r="C22" s="93">
        <v>2026</v>
      </c>
      <c r="D22" s="94" t="s">
        <v>85</v>
      </c>
      <c r="E22" s="94" t="str">
        <f>_xlfn.XLOOKUP(D22,'🚛 FROTA'!B:B,'🚛 FROTA'!D:D,"")</f>
        <v>Volkswagen</v>
      </c>
      <c r="F22" s="94" t="str">
        <f>_xlfn.XLOOKUP(D22,'🚛 FROTA'!B:B,'🚛 FROTA'!E:E,"")</f>
        <v>13.180 Constellation</v>
      </c>
      <c r="G22" s="94">
        <f>_xlfn.XLOOKUP(D22,'🚛 FROTA'!B:B,'🚛 FROTA'!I:I,"")</f>
        <v>2011</v>
      </c>
      <c r="H22" s="94" t="str">
        <f>_xlfn.XLOOKUP(D22,'🚛 FROTA'!B:B,'🚛 FROTA'!F:F,"")</f>
        <v>Caminhão</v>
      </c>
      <c r="I22" s="95">
        <f>_xlfn.XLOOKUP(D22,'🚛 FROTA'!B:B,'🚛 FROTA'!C:C,"")</f>
        <v>324418264</v>
      </c>
      <c r="J22" s="101">
        <v>46326</v>
      </c>
      <c r="K22" s="168">
        <v>174.08</v>
      </c>
      <c r="L22" s="169">
        <v>0</v>
      </c>
      <c r="M22" s="104">
        <v>46134</v>
      </c>
      <c r="N22" s="168">
        <v>2499.64</v>
      </c>
      <c r="O22" s="169">
        <v>0</v>
      </c>
      <c r="P22" s="105"/>
      <c r="Q22" s="168">
        <v>1854.62</v>
      </c>
      <c r="R22" s="169">
        <v>0</v>
      </c>
      <c r="S22" s="168">
        <f t="shared" si="5"/>
        <v>4528.34</v>
      </c>
      <c r="T22" s="169">
        <f t="shared" si="6"/>
        <v>0</v>
      </c>
      <c r="U22" s="168">
        <f t="shared" si="1"/>
        <v>4528.34</v>
      </c>
      <c r="V22" s="168">
        <v>0</v>
      </c>
      <c r="W22" s="168">
        <f t="shared" si="7"/>
        <v>4528.34</v>
      </c>
      <c r="X22" s="173" t="s">
        <v>1552</v>
      </c>
      <c r="Y22" s="108"/>
    </row>
    <row r="23" spans="1:25" ht="18" customHeight="1" x14ac:dyDescent="0.2">
      <c r="A23" s="97">
        <v>22</v>
      </c>
      <c r="B23" s="97">
        <f>_xlfn.XLOOKUP(D23,'🚛 FROTA'!B:B,'🚛 FROTA'!A:A,"")</f>
        <v>41</v>
      </c>
      <c r="C23" s="97">
        <v>2026</v>
      </c>
      <c r="D23" s="98" t="s">
        <v>166</v>
      </c>
      <c r="E23" s="98" t="str">
        <f>_xlfn.XLOOKUP(D23,'🚛 FROTA'!B:B,'🚛 FROTA'!D:D,"")</f>
        <v>Volkswagen</v>
      </c>
      <c r="F23" s="98" t="str">
        <f>_xlfn.XLOOKUP(D23,'🚛 FROTA'!B:B,'🚛 FROTA'!E:E,"")</f>
        <v>Express Delivery</v>
      </c>
      <c r="G23" s="98">
        <f>_xlfn.XLOOKUP(D23,'🚛 FROTA'!B:B,'🚛 FROTA'!I:I,"")</f>
        <v>2022</v>
      </c>
      <c r="H23" s="98" t="str">
        <f>_xlfn.XLOOKUP(D23,'🚛 FROTA'!B:B,'🚛 FROTA'!F:F,"")</f>
        <v>Caminhonete</v>
      </c>
      <c r="I23" s="99">
        <f>_xlfn.XLOOKUP(D23,'🚛 FROTA'!B:B,'🚛 FROTA'!C:C,"")</f>
        <v>1262921454</v>
      </c>
      <c r="J23" s="102">
        <v>46234</v>
      </c>
      <c r="K23" s="171">
        <v>174.08</v>
      </c>
      <c r="L23" s="169">
        <v>0</v>
      </c>
      <c r="M23" s="103">
        <v>46094</v>
      </c>
      <c r="N23" s="171">
        <v>8759.4</v>
      </c>
      <c r="O23" s="169">
        <v>1743.02</v>
      </c>
      <c r="P23" s="106">
        <v>0</v>
      </c>
      <c r="Q23" s="171">
        <v>0</v>
      </c>
      <c r="R23" s="169">
        <v>0</v>
      </c>
      <c r="S23" s="171">
        <f t="shared" si="5"/>
        <v>8933.48</v>
      </c>
      <c r="T23" s="169">
        <f t="shared" si="6"/>
        <v>1743.02</v>
      </c>
      <c r="U23" s="171">
        <f t="shared" si="1"/>
        <v>10676.5</v>
      </c>
      <c r="V23" s="171">
        <v>0</v>
      </c>
      <c r="W23" s="171">
        <f t="shared" si="7"/>
        <v>10676.5</v>
      </c>
      <c r="X23" s="174" t="s">
        <v>1553</v>
      </c>
      <c r="Y23" s="110"/>
    </row>
    <row r="24" spans="1:25" ht="18" customHeight="1" x14ac:dyDescent="0.2">
      <c r="A24" s="93">
        <v>23</v>
      </c>
      <c r="B24" s="93">
        <f>_xlfn.XLOOKUP(D24,'🚛 FROTA'!B:B,'🚛 FROTA'!A:A,"")</f>
        <v>45</v>
      </c>
      <c r="C24" s="93">
        <v>2026</v>
      </c>
      <c r="D24" s="94" t="s">
        <v>172</v>
      </c>
      <c r="E24" s="94" t="str">
        <f>_xlfn.XLOOKUP(D24,'🚛 FROTA'!B:B,'🚛 FROTA'!D:D,"")</f>
        <v>Volkswagen</v>
      </c>
      <c r="F24" s="94" t="str">
        <f>_xlfn.XLOOKUP(D24,'🚛 FROTA'!B:B,'🚛 FROTA'!E:E,"")</f>
        <v>Express Delivery</v>
      </c>
      <c r="G24" s="94">
        <f>_xlfn.XLOOKUP(D24,'🚛 FROTA'!B:B,'🚛 FROTA'!I:I,"")</f>
        <v>2022</v>
      </c>
      <c r="H24" s="94" t="str">
        <f>_xlfn.XLOOKUP(D24,'🚛 FROTA'!B:B,'🚛 FROTA'!F:F,"")</f>
        <v>Caminhonete</v>
      </c>
      <c r="I24" s="95">
        <f>_xlfn.XLOOKUP(D24,'🚛 FROTA'!B:B,'🚛 FROTA'!C:C,"")</f>
        <v>1280040200</v>
      </c>
      <c r="J24" s="96">
        <v>46234</v>
      </c>
      <c r="K24" s="168">
        <v>174.08</v>
      </c>
      <c r="L24" s="169">
        <v>0</v>
      </c>
      <c r="M24" s="104">
        <v>46065</v>
      </c>
      <c r="N24" s="168">
        <v>4379.7</v>
      </c>
      <c r="O24" s="169">
        <v>946.09</v>
      </c>
      <c r="P24" s="105">
        <v>0</v>
      </c>
      <c r="Q24" s="168">
        <v>0</v>
      </c>
      <c r="R24" s="169">
        <v>0</v>
      </c>
      <c r="S24" s="168">
        <f t="shared" si="5"/>
        <v>4553.78</v>
      </c>
      <c r="T24" s="169">
        <f t="shared" si="6"/>
        <v>946.09</v>
      </c>
      <c r="U24" s="168">
        <f t="shared" si="1"/>
        <v>5499.87</v>
      </c>
      <c r="V24" s="168">
        <v>0</v>
      </c>
      <c r="W24" s="168">
        <f t="shared" si="7"/>
        <v>5499.87</v>
      </c>
      <c r="X24" s="174" t="s">
        <v>1553</v>
      </c>
      <c r="Y24" s="108"/>
    </row>
    <row r="25" spans="1:25" ht="18" customHeight="1" x14ac:dyDescent="0.2">
      <c r="A25" s="97">
        <v>24</v>
      </c>
      <c r="B25" s="97">
        <f>_xlfn.XLOOKUP(D25,'🚛 FROTA'!B:B,'🚛 FROTA'!A:A,"")</f>
        <v>39</v>
      </c>
      <c r="C25" s="97">
        <v>2026</v>
      </c>
      <c r="D25" s="98" t="s">
        <v>162</v>
      </c>
      <c r="E25" s="98" t="str">
        <f>_xlfn.XLOOKUP(D25,'🚛 FROTA'!B:B,'🚛 FROTA'!D:D,"")</f>
        <v>Volkswagen</v>
      </c>
      <c r="F25" s="98" t="str">
        <f>_xlfn.XLOOKUP(D25,'🚛 FROTA'!B:B,'🚛 FROTA'!E:E,"")</f>
        <v>Express Delivery</v>
      </c>
      <c r="G25" s="98">
        <f>_xlfn.XLOOKUP(D25,'🚛 FROTA'!B:B,'🚛 FROTA'!I:I,"")</f>
        <v>2022</v>
      </c>
      <c r="H25" s="98" t="str">
        <f>_xlfn.XLOOKUP(D25,'🚛 FROTA'!B:B,'🚛 FROTA'!F:F,"")</f>
        <v>Caminhonete</v>
      </c>
      <c r="I25" s="99">
        <f>_xlfn.XLOOKUP(D25,'🚛 FROTA'!B:B,'🚛 FROTA'!C:C,"")</f>
        <v>1262921586</v>
      </c>
      <c r="J25" s="102">
        <v>46265</v>
      </c>
      <c r="K25" s="171">
        <v>174.08</v>
      </c>
      <c r="L25" s="169">
        <v>0</v>
      </c>
      <c r="M25" s="103">
        <v>46072</v>
      </c>
      <c r="N25" s="171">
        <v>8759.4</v>
      </c>
      <c r="O25" s="169">
        <v>1683.35</v>
      </c>
      <c r="P25" s="106">
        <v>0</v>
      </c>
      <c r="Q25" s="171">
        <v>0</v>
      </c>
      <c r="R25" s="169">
        <v>0</v>
      </c>
      <c r="S25" s="171">
        <f t="shared" si="5"/>
        <v>8933.48</v>
      </c>
      <c r="T25" s="169">
        <f t="shared" si="6"/>
        <v>1683.35</v>
      </c>
      <c r="U25" s="171">
        <f t="shared" si="1"/>
        <v>10616.83</v>
      </c>
      <c r="V25" s="171">
        <v>0</v>
      </c>
      <c r="W25" s="171">
        <f t="shared" si="7"/>
        <v>10616.83</v>
      </c>
      <c r="X25" s="174" t="s">
        <v>1553</v>
      </c>
      <c r="Y25" s="110"/>
    </row>
    <row r="26" spans="1:25" ht="18" customHeight="1" x14ac:dyDescent="0.2">
      <c r="A26" s="93">
        <v>25</v>
      </c>
      <c r="B26" s="93">
        <f>_xlfn.XLOOKUP(D26,'🚛 FROTA'!B:B,'🚛 FROTA'!A:A,"")</f>
        <v>43</v>
      </c>
      <c r="C26" s="93">
        <v>2026</v>
      </c>
      <c r="D26" s="94" t="s">
        <v>169</v>
      </c>
      <c r="E26" s="94" t="str">
        <f>_xlfn.XLOOKUP(D26,'🚛 FROTA'!B:B,'🚛 FROTA'!D:D,"")</f>
        <v>Volkswagen</v>
      </c>
      <c r="F26" s="94" t="str">
        <f>_xlfn.XLOOKUP(D26,'🚛 FROTA'!B:B,'🚛 FROTA'!E:E,"")</f>
        <v>Express Delivery</v>
      </c>
      <c r="G26" s="94">
        <f>_xlfn.XLOOKUP(D26,'🚛 FROTA'!B:B,'🚛 FROTA'!I:I,"")</f>
        <v>2022</v>
      </c>
      <c r="H26" s="94" t="str">
        <f>_xlfn.XLOOKUP(D26,'🚛 FROTA'!B:B,'🚛 FROTA'!F:F,"")</f>
        <v>Caminhonete</v>
      </c>
      <c r="I26" s="95">
        <f>_xlfn.XLOOKUP(D26,'🚛 FROTA'!B:B,'🚛 FROTA'!C:C,"")</f>
        <v>1277433183</v>
      </c>
      <c r="J26" s="96">
        <v>46265</v>
      </c>
      <c r="K26" s="168">
        <v>174.08</v>
      </c>
      <c r="L26" s="169">
        <v>0</v>
      </c>
      <c r="M26" s="104">
        <v>46072</v>
      </c>
      <c r="N26" s="168">
        <v>4379.7</v>
      </c>
      <c r="O26" s="169">
        <v>841.67</v>
      </c>
      <c r="P26" s="105">
        <v>0</v>
      </c>
      <c r="Q26" s="168">
        <v>0</v>
      </c>
      <c r="R26" s="169">
        <v>0</v>
      </c>
      <c r="S26" s="168">
        <f t="shared" si="5"/>
        <v>4553.78</v>
      </c>
      <c r="T26" s="169">
        <f t="shared" si="6"/>
        <v>841.67</v>
      </c>
      <c r="U26" s="168">
        <f t="shared" si="1"/>
        <v>5395.45</v>
      </c>
      <c r="V26" s="168">
        <v>0</v>
      </c>
      <c r="W26" s="168">
        <f t="shared" si="7"/>
        <v>5395.45</v>
      </c>
      <c r="X26" s="174" t="s">
        <v>1553</v>
      </c>
      <c r="Y26" s="108"/>
    </row>
    <row r="27" spans="1:25" ht="18" customHeight="1" x14ac:dyDescent="0.2">
      <c r="A27" s="97">
        <v>26</v>
      </c>
      <c r="B27" s="97">
        <f>_xlfn.XLOOKUP(D27,'🚛 FROTA'!B:B,'🚛 FROTA'!A:A,"")</f>
        <v>44</v>
      </c>
      <c r="C27" s="97">
        <v>2026</v>
      </c>
      <c r="D27" s="98" t="s">
        <v>170</v>
      </c>
      <c r="E27" s="98" t="str">
        <f>_xlfn.XLOOKUP(D27,'🚛 FROTA'!B:B,'🚛 FROTA'!D:D,"")</f>
        <v>Volkswagen</v>
      </c>
      <c r="F27" s="98" t="str">
        <f>_xlfn.XLOOKUP(D27,'🚛 FROTA'!B:B,'🚛 FROTA'!E:E,"")</f>
        <v>Express Delivery</v>
      </c>
      <c r="G27" s="98">
        <f>_xlfn.XLOOKUP(D27,'🚛 FROTA'!B:B,'🚛 FROTA'!I:I,"")</f>
        <v>2022</v>
      </c>
      <c r="H27" s="98" t="str">
        <f>_xlfn.XLOOKUP(D27,'🚛 FROTA'!B:B,'🚛 FROTA'!F:F,"")</f>
        <v>Caminhonete</v>
      </c>
      <c r="I27" s="99">
        <f>_xlfn.XLOOKUP(D27,'🚛 FROTA'!B:B,'🚛 FROTA'!C:C,"")</f>
        <v>1280040227</v>
      </c>
      <c r="J27" s="102">
        <v>46265</v>
      </c>
      <c r="K27" s="171">
        <v>174.08</v>
      </c>
      <c r="L27" s="169">
        <v>0</v>
      </c>
      <c r="M27" s="103">
        <v>46072</v>
      </c>
      <c r="N27" s="171">
        <v>4379.7</v>
      </c>
      <c r="O27" s="169">
        <v>841.67</v>
      </c>
      <c r="P27" s="106">
        <v>0</v>
      </c>
      <c r="Q27" s="171">
        <v>0</v>
      </c>
      <c r="R27" s="169">
        <v>0</v>
      </c>
      <c r="S27" s="171">
        <f t="shared" si="5"/>
        <v>4553.78</v>
      </c>
      <c r="T27" s="169">
        <f t="shared" si="6"/>
        <v>841.67</v>
      </c>
      <c r="U27" s="171">
        <f t="shared" si="1"/>
        <v>5395.45</v>
      </c>
      <c r="V27" s="171">
        <v>0</v>
      </c>
      <c r="W27" s="171">
        <f t="shared" si="7"/>
        <v>5395.45</v>
      </c>
      <c r="X27" s="174" t="s">
        <v>1553</v>
      </c>
      <c r="Y27" s="110"/>
    </row>
    <row r="28" spans="1:25" ht="18" customHeight="1" x14ac:dyDescent="0.2">
      <c r="A28" s="93">
        <v>27</v>
      </c>
      <c r="B28" s="93">
        <f>_xlfn.XLOOKUP(D28,'🚛 FROTA'!B:B,'🚛 FROTA'!A:A,"")</f>
        <v>46</v>
      </c>
      <c r="C28" s="93">
        <v>2026</v>
      </c>
      <c r="D28" s="94" t="s">
        <v>173</v>
      </c>
      <c r="E28" s="94" t="str">
        <f>_xlfn.XLOOKUP(D28,'🚛 FROTA'!B:B,'🚛 FROTA'!D:D,"")</f>
        <v>Volkswagen</v>
      </c>
      <c r="F28" s="94" t="str">
        <f>_xlfn.XLOOKUP(D28,'🚛 FROTA'!B:B,'🚛 FROTA'!E:E,"")</f>
        <v>Express Delivery</v>
      </c>
      <c r="G28" s="94">
        <f>_xlfn.XLOOKUP(D28,'🚛 FROTA'!B:B,'🚛 FROTA'!I:I,"")</f>
        <v>2022</v>
      </c>
      <c r="H28" s="94" t="str">
        <f>_xlfn.XLOOKUP(D28,'🚛 FROTA'!B:B,'🚛 FROTA'!F:F,"")</f>
        <v>Caminhonete</v>
      </c>
      <c r="I28" s="95">
        <f>_xlfn.XLOOKUP(D28,'🚛 FROTA'!B:B,'🚛 FROTA'!C:C,"")</f>
        <v>1277433230</v>
      </c>
      <c r="J28" s="96">
        <v>46295</v>
      </c>
      <c r="K28" s="168">
        <v>174.08</v>
      </c>
      <c r="L28" s="169">
        <v>0</v>
      </c>
      <c r="M28" s="104">
        <v>46072</v>
      </c>
      <c r="N28" s="168">
        <v>4379.7</v>
      </c>
      <c r="O28" s="169">
        <v>841.67</v>
      </c>
      <c r="P28" s="105">
        <v>0</v>
      </c>
      <c r="Q28" s="168">
        <v>0</v>
      </c>
      <c r="R28" s="169">
        <v>0</v>
      </c>
      <c r="S28" s="168">
        <f t="shared" si="5"/>
        <v>4553.78</v>
      </c>
      <c r="T28" s="169">
        <f t="shared" si="6"/>
        <v>841.67</v>
      </c>
      <c r="U28" s="168">
        <f t="shared" si="1"/>
        <v>5395.45</v>
      </c>
      <c r="V28" s="168">
        <v>0</v>
      </c>
      <c r="W28" s="168">
        <f t="shared" si="7"/>
        <v>5395.45</v>
      </c>
      <c r="X28" s="174" t="s">
        <v>1553</v>
      </c>
      <c r="Y28" s="91"/>
    </row>
    <row r="29" spans="1:25" ht="18" customHeight="1" x14ac:dyDescent="0.2">
      <c r="A29" s="97">
        <v>28</v>
      </c>
      <c r="B29" s="97">
        <f>_xlfn.XLOOKUP(D29,'🚛 FROTA'!B:B,'🚛 FROTA'!A:A,"")</f>
        <v>48</v>
      </c>
      <c r="C29" s="97">
        <v>2026</v>
      </c>
      <c r="D29" s="98" t="s">
        <v>177</v>
      </c>
      <c r="E29" s="98" t="str">
        <f>_xlfn.XLOOKUP(D29,'🚛 FROTA'!B:B,'🚛 FROTA'!D:D,"")</f>
        <v>Hyundai</v>
      </c>
      <c r="F29" s="98" t="str">
        <f>_xlfn.XLOOKUP(D29,'🚛 FROTA'!B:B,'🚛 FROTA'!E:E,"")</f>
        <v>Creta Platinum 1.0 TGDI</v>
      </c>
      <c r="G29" s="98">
        <f>_xlfn.XLOOKUP(D29,'🚛 FROTA'!B:B,'🚛 FROTA'!I:I,"")</f>
        <v>2025</v>
      </c>
      <c r="H29" s="98" t="str">
        <f>_xlfn.XLOOKUP(D29,'🚛 FROTA'!B:B,'🚛 FROTA'!F:F,"")</f>
        <v>Carro</v>
      </c>
      <c r="I29" s="99">
        <f>_xlfn.XLOOKUP(D29,'🚛 FROTA'!B:B,'🚛 FROTA'!C:C,"")</f>
        <v>1419822680</v>
      </c>
      <c r="J29" s="102">
        <v>46295</v>
      </c>
      <c r="K29" s="171">
        <v>174.08</v>
      </c>
      <c r="L29" s="169">
        <v>0</v>
      </c>
      <c r="M29" s="103">
        <v>46072</v>
      </c>
      <c r="N29" s="171">
        <v>5180</v>
      </c>
      <c r="O29" s="169">
        <v>0</v>
      </c>
      <c r="P29" s="106">
        <v>0</v>
      </c>
      <c r="Q29" s="171">
        <v>0</v>
      </c>
      <c r="R29" s="169">
        <v>0</v>
      </c>
      <c r="S29" s="171">
        <f t="shared" si="5"/>
        <v>5354.08</v>
      </c>
      <c r="T29" s="169">
        <f t="shared" si="6"/>
        <v>0</v>
      </c>
      <c r="U29" s="171">
        <f t="shared" si="1"/>
        <v>5354.08</v>
      </c>
      <c r="V29" s="171">
        <v>3107.97</v>
      </c>
      <c r="W29" s="171">
        <f t="shared" si="7"/>
        <v>2246.11</v>
      </c>
      <c r="X29" s="175" t="s">
        <v>1554</v>
      </c>
      <c r="Y29" s="90"/>
    </row>
    <row r="30" spans="1:25" ht="18" customHeight="1" x14ac:dyDescent="0.2">
      <c r="A30" s="93">
        <v>29</v>
      </c>
      <c r="B30" s="93">
        <f>_xlfn.XLOOKUP(D30,'🚛 FROTA'!B:B,'🚛 FROTA'!A:A,"")</f>
        <v>40</v>
      </c>
      <c r="C30" s="93">
        <v>2026</v>
      </c>
      <c r="D30" s="94" t="s">
        <v>165</v>
      </c>
      <c r="E30" s="94" t="str">
        <f>_xlfn.XLOOKUP(D30,'🚛 FROTA'!B:B,'🚛 FROTA'!D:D,"")</f>
        <v>Volkswagen</v>
      </c>
      <c r="F30" s="94" t="str">
        <f>_xlfn.XLOOKUP(D30,'🚛 FROTA'!B:B,'🚛 FROTA'!E:E,"")</f>
        <v>Express Delivery</v>
      </c>
      <c r="G30" s="94">
        <f>_xlfn.XLOOKUP(D30,'🚛 FROTA'!B:B,'🚛 FROTA'!I:I,"")</f>
        <v>2022</v>
      </c>
      <c r="H30" s="94" t="str">
        <f>_xlfn.XLOOKUP(D30,'🚛 FROTA'!B:B,'🚛 FROTA'!F:F,"")</f>
        <v>Caminhonete</v>
      </c>
      <c r="I30" s="95">
        <f>_xlfn.XLOOKUP(D30,'🚛 FROTA'!B:B,'🚛 FROTA'!C:C,"")</f>
        <v>1262921551</v>
      </c>
      <c r="J30" s="96">
        <v>46295</v>
      </c>
      <c r="K30" s="168">
        <v>174.08</v>
      </c>
      <c r="L30" s="169">
        <v>0</v>
      </c>
      <c r="M30" s="104">
        <v>46072</v>
      </c>
      <c r="N30" s="168">
        <v>8759.4</v>
      </c>
      <c r="O30" s="169">
        <v>1743.02</v>
      </c>
      <c r="P30" s="105">
        <v>0</v>
      </c>
      <c r="Q30" s="168">
        <v>0</v>
      </c>
      <c r="R30" s="169">
        <v>0</v>
      </c>
      <c r="S30" s="168">
        <f t="shared" si="5"/>
        <v>8933.48</v>
      </c>
      <c r="T30" s="169">
        <f t="shared" si="6"/>
        <v>1743.02</v>
      </c>
      <c r="U30" s="168">
        <f t="shared" si="1"/>
        <v>10676.5</v>
      </c>
      <c r="V30" s="168">
        <v>0</v>
      </c>
      <c r="W30" s="168">
        <f t="shared" si="7"/>
        <v>10676.5</v>
      </c>
      <c r="X30" s="174" t="s">
        <v>1553</v>
      </c>
      <c r="Y30" s="91"/>
    </row>
    <row r="31" spans="1:25" ht="18" customHeight="1" x14ac:dyDescent="0.2">
      <c r="A31" s="97">
        <v>30</v>
      </c>
      <c r="B31" s="97">
        <f>_xlfn.XLOOKUP(D31,'🚛 FROTA'!B:B,'🚛 FROTA'!A:A,"")</f>
        <v>24</v>
      </c>
      <c r="C31" s="97">
        <v>2026</v>
      </c>
      <c r="D31" s="98" t="s">
        <v>141</v>
      </c>
      <c r="E31" s="98" t="str">
        <f>_xlfn.XLOOKUP(D31,'🚛 FROTA'!B:B,'🚛 FROTA'!D:D,"")</f>
        <v>Volkswagen</v>
      </c>
      <c r="F31" s="98" t="str">
        <f>_xlfn.XLOOKUP(D31,'🚛 FROTA'!B:B,'🚛 FROTA'!E:E,"")</f>
        <v>14.190 Constellation</v>
      </c>
      <c r="G31" s="98">
        <f>_xlfn.XLOOKUP(D31,'🚛 FROTA'!B:B,'🚛 FROTA'!I:I,"")</f>
        <v>2021</v>
      </c>
      <c r="H31" s="98" t="str">
        <f>_xlfn.XLOOKUP(D31,'🚛 FROTA'!B:B,'🚛 FROTA'!F:F,"")</f>
        <v>Caminhão</v>
      </c>
      <c r="I31" s="99">
        <f>_xlfn.XLOOKUP(D31,'🚛 FROTA'!B:B,'🚛 FROTA'!C:C,"")</f>
        <v>1243478176</v>
      </c>
      <c r="J31" s="102">
        <v>46326</v>
      </c>
      <c r="K31" s="171">
        <v>174.08</v>
      </c>
      <c r="L31" s="169">
        <v>0</v>
      </c>
      <c r="M31" s="103">
        <v>46134</v>
      </c>
      <c r="N31" s="171">
        <v>3761.41</v>
      </c>
      <c r="O31" s="169">
        <v>0</v>
      </c>
      <c r="P31" s="106">
        <v>0</v>
      </c>
      <c r="Q31" s="171">
        <v>0</v>
      </c>
      <c r="R31" s="169">
        <v>0</v>
      </c>
      <c r="S31" s="171">
        <f t="shared" si="5"/>
        <v>3935.49</v>
      </c>
      <c r="T31" s="169">
        <f t="shared" si="6"/>
        <v>0</v>
      </c>
      <c r="U31" s="171">
        <f t="shared" si="1"/>
        <v>3935.49</v>
      </c>
      <c r="V31" s="171">
        <v>0</v>
      </c>
      <c r="W31" s="171">
        <f t="shared" si="7"/>
        <v>3935.49</v>
      </c>
      <c r="X31" s="173" t="s">
        <v>1552</v>
      </c>
      <c r="Y31" s="90"/>
    </row>
    <row r="32" spans="1:25" ht="18" customHeight="1" x14ac:dyDescent="0.2">
      <c r="A32" s="93">
        <v>31</v>
      </c>
      <c r="B32" s="93">
        <f>_xlfn.XLOOKUP(D32,'🚛 FROTA'!B:B,'🚛 FROTA'!A:A,"")</f>
        <v>17</v>
      </c>
      <c r="C32" s="93">
        <v>2026</v>
      </c>
      <c r="D32" s="94" t="s">
        <v>119</v>
      </c>
      <c r="E32" s="94" t="str">
        <f>_xlfn.XLOOKUP(D32,'🚛 FROTA'!B:B,'🚛 FROTA'!D:D,"")</f>
        <v>Caterpillar</v>
      </c>
      <c r="F32" s="94" t="str">
        <f>_xlfn.XLOOKUP(D32,'🚛 FROTA'!B:B,'🚛 FROTA'!E:E,"")</f>
        <v>CAT 416F2</v>
      </c>
      <c r="G32" s="94">
        <f>_xlfn.XLOOKUP(D32,'🚛 FROTA'!B:B,'🚛 FROTA'!I:I,"")</f>
        <v>2018</v>
      </c>
      <c r="H32" s="94" t="str">
        <f>_xlfn.XLOOKUP(D32,'🚛 FROTA'!B:B,'🚛 FROTA'!F:F,"")</f>
        <v>Retroescavadeira</v>
      </c>
      <c r="I32" s="95">
        <f>_xlfn.XLOOKUP(D32,'🚛 FROTA'!B:B,'🚛 FROTA'!C:C,"")</f>
        <v>1185265632</v>
      </c>
      <c r="J32" s="96">
        <v>46265</v>
      </c>
      <c r="K32" s="168">
        <v>174.08</v>
      </c>
      <c r="L32" s="169">
        <v>0</v>
      </c>
      <c r="M32" s="104"/>
      <c r="N32" s="168">
        <v>0</v>
      </c>
      <c r="O32" s="169">
        <v>0</v>
      </c>
      <c r="P32" s="105">
        <v>0</v>
      </c>
      <c r="Q32" s="168">
        <v>0</v>
      </c>
      <c r="R32" s="169">
        <v>0</v>
      </c>
      <c r="S32" s="168">
        <f t="shared" si="5"/>
        <v>174.08</v>
      </c>
      <c r="T32" s="169">
        <f t="shared" si="6"/>
        <v>0</v>
      </c>
      <c r="U32" s="168">
        <f t="shared" si="1"/>
        <v>174.08</v>
      </c>
      <c r="V32" s="168">
        <v>0</v>
      </c>
      <c r="W32" s="168">
        <f t="shared" si="7"/>
        <v>174.08</v>
      </c>
      <c r="X32" s="175" t="s">
        <v>1552</v>
      </c>
      <c r="Y32" s="91"/>
    </row>
    <row r="33" spans="1:25" ht="18" customHeight="1" x14ac:dyDescent="0.2">
      <c r="A33" s="97">
        <v>16</v>
      </c>
      <c r="B33" s="97">
        <f>_xlfn.XLOOKUP(D33,'🚛 FROTA'!B:B,'🚛 FROTA'!A:A,"")</f>
        <v>20</v>
      </c>
      <c r="C33" s="97">
        <v>2026</v>
      </c>
      <c r="D33" s="98" t="s">
        <v>128</v>
      </c>
      <c r="E33" s="98" t="str">
        <f>_xlfn.XLOOKUP(D33,'🚛 FROTA'!B:B,'🚛 FROTA'!D:D,"")</f>
        <v>Jcb</v>
      </c>
      <c r="F33" s="98" t="str">
        <f>_xlfn.XLOOKUP(D33,'🚛 FROTA'!B:B,'🚛 FROTA'!E:E,"")</f>
        <v>3CX</v>
      </c>
      <c r="G33" s="98">
        <f>_xlfn.XLOOKUP(D33,'🚛 FROTA'!B:B,'🚛 FROTA'!I:I,"")</f>
        <v>2020</v>
      </c>
      <c r="H33" s="98" t="str">
        <f>_xlfn.XLOOKUP(D33,'🚛 FROTA'!B:B,'🚛 FROTA'!F:F,"")</f>
        <v>Retroescavadeira</v>
      </c>
      <c r="I33" s="99">
        <f>_xlfn.XLOOKUP(D33,'🚛 FROTA'!B:B,'🚛 FROTA'!C:C,"")</f>
        <v>0</v>
      </c>
      <c r="J33" s="98"/>
      <c r="K33" s="171">
        <v>0</v>
      </c>
      <c r="L33" s="169">
        <v>0</v>
      </c>
      <c r="M33" s="171"/>
      <c r="N33" s="171">
        <v>0</v>
      </c>
      <c r="O33" s="169">
        <v>0</v>
      </c>
      <c r="P33" s="106">
        <v>0</v>
      </c>
      <c r="Q33" s="171">
        <v>0</v>
      </c>
      <c r="R33" s="169">
        <v>0</v>
      </c>
      <c r="S33" s="171">
        <v>0</v>
      </c>
      <c r="T33" s="169">
        <f>SUM(R33,O33,L33)</f>
        <v>0</v>
      </c>
      <c r="U33" s="171">
        <f t="shared" si="1"/>
        <v>0</v>
      </c>
      <c r="V33" s="171">
        <v>0</v>
      </c>
      <c r="W33" s="171">
        <v>0</v>
      </c>
      <c r="X33" s="170" t="s">
        <v>1551</v>
      </c>
      <c r="Y33" s="90"/>
    </row>
    <row r="34" spans="1:25" ht="18" customHeight="1" x14ac:dyDescent="0.2">
      <c r="T34" s="176"/>
    </row>
    <row r="35" spans="1:25" ht="18" customHeight="1" x14ac:dyDescent="0.2">
      <c r="T35" s="176"/>
    </row>
  </sheetData>
  <autoFilter ref="A1:Y33" xr:uid="{00000000-0009-0000-0000-00000A000000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-0.499984740745262"/>
  </sheetPr>
  <dimension ref="A1:H284"/>
  <sheetViews>
    <sheetView topLeftCell="A151" zoomScale="85" zoomScaleNormal="85" workbookViewId="0">
      <selection activeCell="G166" sqref="G166"/>
    </sheetView>
  </sheetViews>
  <sheetFormatPr defaultColWidth="17.5703125" defaultRowHeight="18" customHeight="1" x14ac:dyDescent="0.25"/>
  <cols>
    <col min="1" max="1" width="18.28515625" style="41" bestFit="1" customWidth="1"/>
    <col min="2" max="2" width="13.28515625" style="41" bestFit="1" customWidth="1"/>
    <col min="3" max="3" width="12.140625" style="41" bestFit="1" customWidth="1"/>
    <col min="4" max="4" width="22.28515625" style="41" bestFit="1" customWidth="1"/>
    <col min="5" max="5" width="9.7109375" style="69" bestFit="1" customWidth="1"/>
    <col min="6" max="6" width="14.28515625" style="41" bestFit="1" customWidth="1"/>
    <col min="7" max="7" width="9.7109375" style="149" bestFit="1" customWidth="1"/>
    <col min="8" max="8" width="9.28515625" style="41" bestFit="1" customWidth="1"/>
    <col min="9" max="9" width="17.5703125" style="41" customWidth="1"/>
    <col min="10" max="16384" width="17.5703125" style="41"/>
  </cols>
  <sheetData>
    <row r="1" spans="1:8" ht="18" customHeight="1" x14ac:dyDescent="0.25">
      <c r="A1" s="19" t="s">
        <v>1555</v>
      </c>
      <c r="B1" s="19" t="s">
        <v>0</v>
      </c>
      <c r="C1" s="19" t="s">
        <v>46</v>
      </c>
      <c r="D1" s="19" t="s">
        <v>527</v>
      </c>
      <c r="E1" s="19" t="s">
        <v>47</v>
      </c>
      <c r="F1" s="19" t="s">
        <v>431</v>
      </c>
      <c r="G1" s="19" t="s">
        <v>519</v>
      </c>
      <c r="H1" s="19" t="s">
        <v>59</v>
      </c>
    </row>
    <row r="2" spans="1:8" ht="18" customHeight="1" x14ac:dyDescent="0.25">
      <c r="A2" s="85">
        <v>1</v>
      </c>
      <c r="B2" s="86">
        <v>1</v>
      </c>
      <c r="C2" s="85">
        <f>_xlfn.XLOOKUP(E2,'🚛 FROTA'!B:B,'🚛 FROTA'!A:A,"")</f>
        <v>11</v>
      </c>
      <c r="D2" s="85" t="s">
        <v>1556</v>
      </c>
      <c r="E2" s="85" t="s">
        <v>104</v>
      </c>
      <c r="F2" s="58">
        <v>45658</v>
      </c>
      <c r="G2" s="162">
        <v>69</v>
      </c>
      <c r="H2" s="77" t="s">
        <v>522</v>
      </c>
    </row>
    <row r="3" spans="1:8" ht="18" customHeight="1" x14ac:dyDescent="0.25">
      <c r="A3" s="84">
        <v>2</v>
      </c>
      <c r="B3" s="82">
        <v>1</v>
      </c>
      <c r="C3" s="84">
        <f>_xlfn.XLOOKUP(E3,'🚛 FROTA'!B:B,'🚛 FROTA'!A:A,"")</f>
        <v>33</v>
      </c>
      <c r="D3" s="84" t="s">
        <v>1556</v>
      </c>
      <c r="E3" s="84" t="s">
        <v>154</v>
      </c>
      <c r="F3" s="61">
        <v>45658</v>
      </c>
      <c r="G3" s="163">
        <v>69</v>
      </c>
      <c r="H3" s="77" t="s">
        <v>522</v>
      </c>
    </row>
    <row r="4" spans="1:8" ht="18" customHeight="1" x14ac:dyDescent="0.25">
      <c r="A4" s="85">
        <v>3</v>
      </c>
      <c r="B4" s="86">
        <v>1</v>
      </c>
      <c r="C4" s="85">
        <f>_xlfn.XLOOKUP(E4,'🚛 FROTA'!B:B,'🚛 FROTA'!A:A,"")</f>
        <v>41</v>
      </c>
      <c r="D4" s="85" t="s">
        <v>1556</v>
      </c>
      <c r="E4" s="85" t="s">
        <v>166</v>
      </c>
      <c r="F4" s="58">
        <v>45658</v>
      </c>
      <c r="G4" s="162">
        <v>69</v>
      </c>
      <c r="H4" s="77" t="s">
        <v>522</v>
      </c>
    </row>
    <row r="5" spans="1:8" ht="18" customHeight="1" x14ac:dyDescent="0.25">
      <c r="A5" s="84">
        <v>4</v>
      </c>
      <c r="B5" s="82">
        <v>1</v>
      </c>
      <c r="C5" s="84">
        <f>_xlfn.XLOOKUP(E5,'🚛 FROTA'!B:B,'🚛 FROTA'!A:A,"")</f>
        <v>6</v>
      </c>
      <c r="D5" s="84" t="s">
        <v>1556</v>
      </c>
      <c r="E5" s="84" t="s">
        <v>85</v>
      </c>
      <c r="F5" s="61">
        <v>45658</v>
      </c>
      <c r="G5" s="163">
        <v>69</v>
      </c>
      <c r="H5" s="77" t="s">
        <v>522</v>
      </c>
    </row>
    <row r="6" spans="1:8" ht="18" customHeight="1" x14ac:dyDescent="0.25">
      <c r="A6" s="85">
        <v>5</v>
      </c>
      <c r="B6" s="86">
        <v>1</v>
      </c>
      <c r="C6" s="85">
        <f>_xlfn.XLOOKUP(E6,'🚛 FROTA'!B:B,'🚛 FROTA'!A:A,"")</f>
        <v>8</v>
      </c>
      <c r="D6" s="85" t="s">
        <v>1556</v>
      </c>
      <c r="E6" s="85" t="s">
        <v>94</v>
      </c>
      <c r="F6" s="58">
        <v>45658</v>
      </c>
      <c r="G6" s="162">
        <v>69</v>
      </c>
      <c r="H6" s="77" t="s">
        <v>522</v>
      </c>
    </row>
    <row r="7" spans="1:8" ht="18" customHeight="1" x14ac:dyDescent="0.25">
      <c r="A7" s="84">
        <v>6</v>
      </c>
      <c r="B7" s="82">
        <v>1</v>
      </c>
      <c r="C7" s="84">
        <f>_xlfn.XLOOKUP(E7,'🚛 FROTA'!B:B,'🚛 FROTA'!A:A,"")</f>
        <v>40</v>
      </c>
      <c r="D7" s="84" t="s">
        <v>1556</v>
      </c>
      <c r="E7" s="84" t="s">
        <v>165</v>
      </c>
      <c r="F7" s="61">
        <v>45658</v>
      </c>
      <c r="G7" s="163">
        <v>69</v>
      </c>
      <c r="H7" s="77" t="s">
        <v>522</v>
      </c>
    </row>
    <row r="8" spans="1:8" ht="18" customHeight="1" x14ac:dyDescent="0.25">
      <c r="A8" s="85">
        <v>7</v>
      </c>
      <c r="B8" s="86">
        <v>1</v>
      </c>
      <c r="C8" s="85">
        <f>_xlfn.XLOOKUP(E8,'🚛 FROTA'!B:B,'🚛 FROTA'!A:A,"")</f>
        <v>50</v>
      </c>
      <c r="D8" s="85" t="s">
        <v>1556</v>
      </c>
      <c r="E8" s="85" t="s">
        <v>185</v>
      </c>
      <c r="F8" s="58">
        <v>45658</v>
      </c>
      <c r="G8" s="162">
        <v>69</v>
      </c>
      <c r="H8" s="77" t="s">
        <v>522</v>
      </c>
    </row>
    <row r="9" spans="1:8" ht="18" customHeight="1" x14ac:dyDescent="0.25">
      <c r="A9" s="84">
        <v>8</v>
      </c>
      <c r="B9" s="82">
        <v>1</v>
      </c>
      <c r="C9" s="84">
        <f>_xlfn.XLOOKUP(E9,'🚛 FROTA'!B:B,'🚛 FROTA'!A:A,"")</f>
        <v>7</v>
      </c>
      <c r="D9" s="84" t="s">
        <v>1556</v>
      </c>
      <c r="E9" s="84" t="s">
        <v>91</v>
      </c>
      <c r="F9" s="61">
        <v>45658</v>
      </c>
      <c r="G9" s="163">
        <v>69</v>
      </c>
      <c r="H9" s="77" t="s">
        <v>522</v>
      </c>
    </row>
    <row r="10" spans="1:8" ht="18" customHeight="1" x14ac:dyDescent="0.25">
      <c r="A10" s="85">
        <v>9</v>
      </c>
      <c r="B10" s="86">
        <v>1</v>
      </c>
      <c r="C10" s="85">
        <f>_xlfn.XLOOKUP(E10,'🚛 FROTA'!B:B,'🚛 FROTA'!A:A,"")</f>
        <v>5</v>
      </c>
      <c r="D10" s="85" t="s">
        <v>1556</v>
      </c>
      <c r="E10" s="85" t="s">
        <v>82</v>
      </c>
      <c r="F10" s="58">
        <v>45658</v>
      </c>
      <c r="G10" s="162">
        <v>69</v>
      </c>
      <c r="H10" s="77" t="s">
        <v>522</v>
      </c>
    </row>
    <row r="11" spans="1:8" ht="18" customHeight="1" x14ac:dyDescent="0.25">
      <c r="A11" s="84">
        <v>10</v>
      </c>
      <c r="B11" s="82">
        <v>1</v>
      </c>
      <c r="C11" s="84">
        <f>_xlfn.XLOOKUP(E11,'🚛 FROTA'!B:B,'🚛 FROTA'!A:A,"")</f>
        <v>47</v>
      </c>
      <c r="D11" s="84" t="s">
        <v>1556</v>
      </c>
      <c r="E11" s="84" t="s">
        <v>174</v>
      </c>
      <c r="F11" s="61">
        <v>45658</v>
      </c>
      <c r="G11" s="163">
        <v>69</v>
      </c>
      <c r="H11" s="77" t="s">
        <v>522</v>
      </c>
    </row>
    <row r="12" spans="1:8" ht="18" customHeight="1" x14ac:dyDescent="0.25">
      <c r="A12" s="85">
        <v>11</v>
      </c>
      <c r="B12" s="86">
        <v>1</v>
      </c>
      <c r="C12" s="85">
        <f>_xlfn.XLOOKUP(E12,'🚛 FROTA'!B:B,'🚛 FROTA'!A:A,"")</f>
        <v>34</v>
      </c>
      <c r="D12" s="85" t="s">
        <v>1556</v>
      </c>
      <c r="E12" s="85" t="s">
        <v>155</v>
      </c>
      <c r="F12" s="58">
        <v>45658</v>
      </c>
      <c r="G12" s="162">
        <v>69</v>
      </c>
      <c r="H12" s="77" t="s">
        <v>522</v>
      </c>
    </row>
    <row r="13" spans="1:8" ht="18" customHeight="1" x14ac:dyDescent="0.25">
      <c r="A13" s="84">
        <v>12</v>
      </c>
      <c r="B13" s="82">
        <v>1</v>
      </c>
      <c r="C13" s="84">
        <f>_xlfn.XLOOKUP(E13,'🚛 FROTA'!B:B,'🚛 FROTA'!A:A,"")</f>
        <v>43</v>
      </c>
      <c r="D13" s="84" t="s">
        <v>1556</v>
      </c>
      <c r="E13" s="84" t="s">
        <v>169</v>
      </c>
      <c r="F13" s="61">
        <v>45658</v>
      </c>
      <c r="G13" s="163">
        <v>69</v>
      </c>
      <c r="H13" s="77" t="s">
        <v>522</v>
      </c>
    </row>
    <row r="14" spans="1:8" ht="18" customHeight="1" x14ac:dyDescent="0.25">
      <c r="A14" s="85">
        <v>13</v>
      </c>
      <c r="B14" s="86">
        <v>1</v>
      </c>
      <c r="C14" s="85">
        <f>_xlfn.XLOOKUP(E14,'🚛 FROTA'!B:B,'🚛 FROTA'!A:A,"")</f>
        <v>44</v>
      </c>
      <c r="D14" s="85" t="s">
        <v>1556</v>
      </c>
      <c r="E14" s="85" t="s">
        <v>170</v>
      </c>
      <c r="F14" s="58">
        <v>45658</v>
      </c>
      <c r="G14" s="162">
        <v>69</v>
      </c>
      <c r="H14" s="77" t="s">
        <v>522</v>
      </c>
    </row>
    <row r="15" spans="1:8" ht="18" customHeight="1" x14ac:dyDescent="0.25">
      <c r="A15" s="84">
        <v>14</v>
      </c>
      <c r="B15" s="82">
        <v>1</v>
      </c>
      <c r="C15" s="84">
        <f>_xlfn.XLOOKUP(E15,'🚛 FROTA'!B:B,'🚛 FROTA'!A:A,"")</f>
        <v>42</v>
      </c>
      <c r="D15" s="84" t="s">
        <v>1556</v>
      </c>
      <c r="E15" s="84" t="s">
        <v>167</v>
      </c>
      <c r="F15" s="61">
        <v>45658</v>
      </c>
      <c r="G15" s="163">
        <v>69</v>
      </c>
      <c r="H15" s="77" t="s">
        <v>522</v>
      </c>
    </row>
    <row r="16" spans="1:8" ht="18" customHeight="1" x14ac:dyDescent="0.25">
      <c r="A16" s="85">
        <v>15</v>
      </c>
      <c r="B16" s="86">
        <v>1</v>
      </c>
      <c r="C16" s="85">
        <f>_xlfn.XLOOKUP(E16,'🚛 FROTA'!B:B,'🚛 FROTA'!A:A,"")</f>
        <v>46</v>
      </c>
      <c r="D16" s="85" t="s">
        <v>1556</v>
      </c>
      <c r="E16" s="85" t="s">
        <v>173</v>
      </c>
      <c r="F16" s="58">
        <v>45658</v>
      </c>
      <c r="G16" s="162">
        <v>69</v>
      </c>
      <c r="H16" s="77" t="s">
        <v>522</v>
      </c>
    </row>
    <row r="17" spans="1:8" ht="18" customHeight="1" x14ac:dyDescent="0.25">
      <c r="A17" s="84">
        <v>16</v>
      </c>
      <c r="B17" s="82">
        <v>1</v>
      </c>
      <c r="C17" s="84">
        <f>_xlfn.XLOOKUP(E17,'🚛 FROTA'!B:B,'🚛 FROTA'!A:A,"")</f>
        <v>45</v>
      </c>
      <c r="D17" s="84" t="s">
        <v>1556</v>
      </c>
      <c r="E17" s="84" t="s">
        <v>172</v>
      </c>
      <c r="F17" s="61">
        <v>45658</v>
      </c>
      <c r="G17" s="163">
        <v>69</v>
      </c>
      <c r="H17" s="77" t="s">
        <v>522</v>
      </c>
    </row>
    <row r="18" spans="1:8" ht="18" customHeight="1" x14ac:dyDescent="0.25">
      <c r="A18" s="85">
        <v>17</v>
      </c>
      <c r="B18" s="86">
        <v>1</v>
      </c>
      <c r="C18" s="85">
        <f>_xlfn.XLOOKUP(E18,'🚛 FROTA'!B:B,'🚛 FROTA'!A:A,"")</f>
        <v>24</v>
      </c>
      <c r="D18" s="85" t="s">
        <v>1556</v>
      </c>
      <c r="E18" s="85" t="s">
        <v>141</v>
      </c>
      <c r="F18" s="58">
        <v>45658</v>
      </c>
      <c r="G18" s="162">
        <v>69</v>
      </c>
      <c r="H18" s="77" t="s">
        <v>522</v>
      </c>
    </row>
    <row r="19" spans="1:8" ht="18" customHeight="1" x14ac:dyDescent="0.25">
      <c r="A19" s="84">
        <v>18</v>
      </c>
      <c r="B19" s="82">
        <v>1</v>
      </c>
      <c r="C19" s="84">
        <f>_xlfn.XLOOKUP(E19,'🚛 FROTA'!B:B,'🚛 FROTA'!A:A,"")</f>
        <v>39</v>
      </c>
      <c r="D19" s="84" t="s">
        <v>1556</v>
      </c>
      <c r="E19" s="84" t="s">
        <v>162</v>
      </c>
      <c r="F19" s="61">
        <v>45658</v>
      </c>
      <c r="G19" s="163">
        <v>69</v>
      </c>
      <c r="H19" s="77" t="s">
        <v>522</v>
      </c>
    </row>
    <row r="20" spans="1:8" ht="18" customHeight="1" x14ac:dyDescent="0.25">
      <c r="A20" s="85">
        <v>19</v>
      </c>
      <c r="B20" s="86">
        <v>1</v>
      </c>
      <c r="C20" s="85">
        <f>_xlfn.XLOOKUP(E20,'🚛 FROTA'!B:B,'🚛 FROTA'!A:A,"")</f>
        <v>17</v>
      </c>
      <c r="D20" s="85" t="s">
        <v>1556</v>
      </c>
      <c r="E20" s="85" t="s">
        <v>119</v>
      </c>
      <c r="F20" s="58">
        <v>45658</v>
      </c>
      <c r="G20" s="162">
        <v>69</v>
      </c>
      <c r="H20" s="77" t="s">
        <v>522</v>
      </c>
    </row>
    <row r="21" spans="1:8" ht="18" customHeight="1" x14ac:dyDescent="0.25">
      <c r="A21" s="84">
        <v>20</v>
      </c>
      <c r="B21" s="82">
        <v>1</v>
      </c>
      <c r="C21" s="84">
        <f>_xlfn.XLOOKUP(E21,'🚛 FROTA'!B:B,'🚛 FROTA'!A:A,"")</f>
        <v>20</v>
      </c>
      <c r="D21" s="84" t="s">
        <v>1556</v>
      </c>
      <c r="E21" s="84" t="s">
        <v>128</v>
      </c>
      <c r="F21" s="61">
        <v>45658</v>
      </c>
      <c r="G21" s="163">
        <v>69</v>
      </c>
      <c r="H21" s="77" t="s">
        <v>522</v>
      </c>
    </row>
    <row r="22" spans="1:8" ht="18" customHeight="1" x14ac:dyDescent="0.25">
      <c r="A22" s="85">
        <v>21</v>
      </c>
      <c r="B22" s="86">
        <v>1</v>
      </c>
      <c r="C22" s="85">
        <f>_xlfn.XLOOKUP(E22,'🚛 FROTA'!B:B,'🚛 FROTA'!A:A,"")</f>
        <v>11</v>
      </c>
      <c r="D22" s="85" t="s">
        <v>1556</v>
      </c>
      <c r="E22" s="85" t="s">
        <v>104</v>
      </c>
      <c r="F22" s="58">
        <v>45689</v>
      </c>
      <c r="G22" s="162">
        <v>75</v>
      </c>
      <c r="H22" s="77" t="s">
        <v>522</v>
      </c>
    </row>
    <row r="23" spans="1:8" ht="18" customHeight="1" x14ac:dyDescent="0.25">
      <c r="A23" s="84">
        <v>22</v>
      </c>
      <c r="B23" s="82">
        <v>1</v>
      </c>
      <c r="C23" s="84">
        <f>_xlfn.XLOOKUP(E23,'🚛 FROTA'!B:B,'🚛 FROTA'!A:A,"")</f>
        <v>33</v>
      </c>
      <c r="D23" s="84" t="s">
        <v>1556</v>
      </c>
      <c r="E23" s="84" t="s">
        <v>154</v>
      </c>
      <c r="F23" s="61">
        <v>45689</v>
      </c>
      <c r="G23" s="163">
        <v>75</v>
      </c>
      <c r="H23" s="77" t="s">
        <v>522</v>
      </c>
    </row>
    <row r="24" spans="1:8" ht="18" customHeight="1" x14ac:dyDescent="0.25">
      <c r="A24" s="85">
        <v>23</v>
      </c>
      <c r="B24" s="86">
        <v>1</v>
      </c>
      <c r="C24" s="85">
        <f>_xlfn.XLOOKUP(E24,'🚛 FROTA'!B:B,'🚛 FROTA'!A:A,"")</f>
        <v>41</v>
      </c>
      <c r="D24" s="85" t="s">
        <v>1556</v>
      </c>
      <c r="E24" s="85" t="s">
        <v>166</v>
      </c>
      <c r="F24" s="58">
        <v>45689</v>
      </c>
      <c r="G24" s="162">
        <v>75</v>
      </c>
      <c r="H24" s="77" t="s">
        <v>522</v>
      </c>
    </row>
    <row r="25" spans="1:8" ht="18" customHeight="1" x14ac:dyDescent="0.25">
      <c r="A25" s="84">
        <v>24</v>
      </c>
      <c r="B25" s="82">
        <v>1</v>
      </c>
      <c r="C25" s="84">
        <f>_xlfn.XLOOKUP(E25,'🚛 FROTA'!B:B,'🚛 FROTA'!A:A,"")</f>
        <v>6</v>
      </c>
      <c r="D25" s="84" t="s">
        <v>1556</v>
      </c>
      <c r="E25" s="84" t="s">
        <v>85</v>
      </c>
      <c r="F25" s="61">
        <v>45689</v>
      </c>
      <c r="G25" s="163">
        <v>75</v>
      </c>
      <c r="H25" s="77" t="s">
        <v>522</v>
      </c>
    </row>
    <row r="26" spans="1:8" ht="18" customHeight="1" x14ac:dyDescent="0.25">
      <c r="A26" s="85">
        <v>25</v>
      </c>
      <c r="B26" s="86">
        <v>1</v>
      </c>
      <c r="C26" s="85">
        <f>_xlfn.XLOOKUP(E26,'🚛 FROTA'!B:B,'🚛 FROTA'!A:A,"")</f>
        <v>8</v>
      </c>
      <c r="D26" s="85" t="s">
        <v>1556</v>
      </c>
      <c r="E26" s="85" t="s">
        <v>94</v>
      </c>
      <c r="F26" s="58">
        <v>45689</v>
      </c>
      <c r="G26" s="162">
        <v>75</v>
      </c>
      <c r="H26" s="77" t="s">
        <v>522</v>
      </c>
    </row>
    <row r="27" spans="1:8" ht="18" customHeight="1" x14ac:dyDescent="0.25">
      <c r="A27" s="84">
        <v>26</v>
      </c>
      <c r="B27" s="82">
        <v>1</v>
      </c>
      <c r="C27" s="84">
        <f>_xlfn.XLOOKUP(E27,'🚛 FROTA'!B:B,'🚛 FROTA'!A:A,"")</f>
        <v>40</v>
      </c>
      <c r="D27" s="84" t="s">
        <v>1556</v>
      </c>
      <c r="E27" s="84" t="s">
        <v>165</v>
      </c>
      <c r="F27" s="61">
        <v>45689</v>
      </c>
      <c r="G27" s="163">
        <v>75</v>
      </c>
      <c r="H27" s="77" t="s">
        <v>522</v>
      </c>
    </row>
    <row r="28" spans="1:8" ht="18" customHeight="1" x14ac:dyDescent="0.25">
      <c r="A28" s="85">
        <v>27</v>
      </c>
      <c r="B28" s="86">
        <v>1</v>
      </c>
      <c r="C28" s="85">
        <f>_xlfn.XLOOKUP(E28,'🚛 FROTA'!B:B,'🚛 FROTA'!A:A,"")</f>
        <v>50</v>
      </c>
      <c r="D28" s="85" t="s">
        <v>1556</v>
      </c>
      <c r="E28" s="85" t="s">
        <v>185</v>
      </c>
      <c r="F28" s="58">
        <v>45689</v>
      </c>
      <c r="G28" s="162">
        <v>75</v>
      </c>
      <c r="H28" s="77" t="s">
        <v>522</v>
      </c>
    </row>
    <row r="29" spans="1:8" ht="18" customHeight="1" x14ac:dyDescent="0.25">
      <c r="A29" s="84">
        <v>28</v>
      </c>
      <c r="B29" s="82">
        <v>1</v>
      </c>
      <c r="C29" s="84">
        <f>_xlfn.XLOOKUP(E29,'🚛 FROTA'!B:B,'🚛 FROTA'!A:A,"")</f>
        <v>7</v>
      </c>
      <c r="D29" s="84" t="s">
        <v>1556</v>
      </c>
      <c r="E29" s="84" t="s">
        <v>91</v>
      </c>
      <c r="F29" s="61">
        <v>45689</v>
      </c>
      <c r="G29" s="163">
        <v>75</v>
      </c>
      <c r="H29" s="77" t="s">
        <v>522</v>
      </c>
    </row>
    <row r="30" spans="1:8" ht="18" customHeight="1" x14ac:dyDescent="0.25">
      <c r="A30" s="85">
        <v>29</v>
      </c>
      <c r="B30" s="86">
        <v>1</v>
      </c>
      <c r="C30" s="85">
        <f>_xlfn.XLOOKUP(E30,'🚛 FROTA'!B:B,'🚛 FROTA'!A:A,"")</f>
        <v>5</v>
      </c>
      <c r="D30" s="85" t="s">
        <v>1556</v>
      </c>
      <c r="E30" s="85" t="s">
        <v>82</v>
      </c>
      <c r="F30" s="58">
        <v>45689</v>
      </c>
      <c r="G30" s="162">
        <v>75</v>
      </c>
      <c r="H30" s="77" t="s">
        <v>522</v>
      </c>
    </row>
    <row r="31" spans="1:8" ht="18" customHeight="1" x14ac:dyDescent="0.25">
      <c r="A31" s="84">
        <v>30</v>
      </c>
      <c r="B31" s="82">
        <v>1</v>
      </c>
      <c r="C31" s="84">
        <f>_xlfn.XLOOKUP(E31,'🚛 FROTA'!B:B,'🚛 FROTA'!A:A,"")</f>
        <v>47</v>
      </c>
      <c r="D31" s="84" t="s">
        <v>1556</v>
      </c>
      <c r="E31" s="84" t="s">
        <v>174</v>
      </c>
      <c r="F31" s="61">
        <v>45689</v>
      </c>
      <c r="G31" s="163">
        <v>75</v>
      </c>
      <c r="H31" s="77" t="s">
        <v>522</v>
      </c>
    </row>
    <row r="32" spans="1:8" ht="18" customHeight="1" x14ac:dyDescent="0.25">
      <c r="A32" s="85">
        <v>31</v>
      </c>
      <c r="B32" s="86">
        <v>1</v>
      </c>
      <c r="C32" s="85">
        <f>_xlfn.XLOOKUP(E32,'🚛 FROTA'!B:B,'🚛 FROTA'!A:A,"")</f>
        <v>34</v>
      </c>
      <c r="D32" s="85" t="s">
        <v>1556</v>
      </c>
      <c r="E32" s="85" t="s">
        <v>155</v>
      </c>
      <c r="F32" s="58">
        <v>45689</v>
      </c>
      <c r="G32" s="162">
        <v>75</v>
      </c>
      <c r="H32" s="77" t="s">
        <v>522</v>
      </c>
    </row>
    <row r="33" spans="1:8" ht="18" customHeight="1" x14ac:dyDescent="0.25">
      <c r="A33" s="84">
        <v>32</v>
      </c>
      <c r="B33" s="82">
        <v>1</v>
      </c>
      <c r="C33" s="84">
        <f>_xlfn.XLOOKUP(E33,'🚛 FROTA'!B:B,'🚛 FROTA'!A:A,"")</f>
        <v>43</v>
      </c>
      <c r="D33" s="84" t="s">
        <v>1556</v>
      </c>
      <c r="E33" s="84" t="s">
        <v>169</v>
      </c>
      <c r="F33" s="61">
        <v>45689</v>
      </c>
      <c r="G33" s="163">
        <v>75</v>
      </c>
      <c r="H33" s="77" t="s">
        <v>522</v>
      </c>
    </row>
    <row r="34" spans="1:8" ht="18" customHeight="1" x14ac:dyDescent="0.25">
      <c r="A34" s="85">
        <v>33</v>
      </c>
      <c r="B34" s="86">
        <v>1</v>
      </c>
      <c r="C34" s="85">
        <f>_xlfn.XLOOKUP(E34,'🚛 FROTA'!B:B,'🚛 FROTA'!A:A,"")</f>
        <v>44</v>
      </c>
      <c r="D34" s="85" t="s">
        <v>1556</v>
      </c>
      <c r="E34" s="85" t="s">
        <v>170</v>
      </c>
      <c r="F34" s="58">
        <v>45689</v>
      </c>
      <c r="G34" s="162">
        <v>75</v>
      </c>
      <c r="H34" s="77" t="s">
        <v>522</v>
      </c>
    </row>
    <row r="35" spans="1:8" ht="18" customHeight="1" x14ac:dyDescent="0.25">
      <c r="A35" s="84">
        <v>34</v>
      </c>
      <c r="B35" s="82">
        <v>1</v>
      </c>
      <c r="C35" s="84">
        <f>_xlfn.XLOOKUP(E35,'🚛 FROTA'!B:B,'🚛 FROTA'!A:A,"")</f>
        <v>42</v>
      </c>
      <c r="D35" s="84" t="s">
        <v>1556</v>
      </c>
      <c r="E35" s="84" t="s">
        <v>167</v>
      </c>
      <c r="F35" s="61">
        <v>45689</v>
      </c>
      <c r="G35" s="163">
        <v>75</v>
      </c>
      <c r="H35" s="77" t="s">
        <v>522</v>
      </c>
    </row>
    <row r="36" spans="1:8" ht="18" customHeight="1" x14ac:dyDescent="0.25">
      <c r="A36" s="85">
        <v>35</v>
      </c>
      <c r="B36" s="86">
        <v>1</v>
      </c>
      <c r="C36" s="85">
        <f>_xlfn.XLOOKUP(E36,'🚛 FROTA'!B:B,'🚛 FROTA'!A:A,"")</f>
        <v>46</v>
      </c>
      <c r="D36" s="85" t="s">
        <v>1556</v>
      </c>
      <c r="E36" s="85" t="s">
        <v>173</v>
      </c>
      <c r="F36" s="58">
        <v>45689</v>
      </c>
      <c r="G36" s="162">
        <v>75</v>
      </c>
      <c r="H36" s="77" t="s">
        <v>522</v>
      </c>
    </row>
    <row r="37" spans="1:8" ht="18" customHeight="1" x14ac:dyDescent="0.25">
      <c r="A37" s="84">
        <v>36</v>
      </c>
      <c r="B37" s="82">
        <v>1</v>
      </c>
      <c r="C37" s="84">
        <f>_xlfn.XLOOKUP(E37,'🚛 FROTA'!B:B,'🚛 FROTA'!A:A,"")</f>
        <v>45</v>
      </c>
      <c r="D37" s="84" t="s">
        <v>1556</v>
      </c>
      <c r="E37" s="84" t="s">
        <v>172</v>
      </c>
      <c r="F37" s="61">
        <v>45689</v>
      </c>
      <c r="G37" s="163">
        <v>75</v>
      </c>
      <c r="H37" s="77" t="s">
        <v>522</v>
      </c>
    </row>
    <row r="38" spans="1:8" ht="18" customHeight="1" x14ac:dyDescent="0.25">
      <c r="A38" s="85">
        <v>37</v>
      </c>
      <c r="B38" s="86">
        <v>1</v>
      </c>
      <c r="C38" s="85">
        <f>_xlfn.XLOOKUP(E38,'🚛 FROTA'!B:B,'🚛 FROTA'!A:A,"")</f>
        <v>24</v>
      </c>
      <c r="D38" s="85" t="s">
        <v>1556</v>
      </c>
      <c r="E38" s="85" t="s">
        <v>141</v>
      </c>
      <c r="F38" s="58">
        <v>45689</v>
      </c>
      <c r="G38" s="162">
        <v>75</v>
      </c>
      <c r="H38" s="77" t="s">
        <v>522</v>
      </c>
    </row>
    <row r="39" spans="1:8" ht="18" customHeight="1" x14ac:dyDescent="0.25">
      <c r="A39" s="84">
        <v>38</v>
      </c>
      <c r="B39" s="82">
        <v>1</v>
      </c>
      <c r="C39" s="84">
        <f>_xlfn.XLOOKUP(E39,'🚛 FROTA'!B:B,'🚛 FROTA'!A:A,"")</f>
        <v>39</v>
      </c>
      <c r="D39" s="84" t="s">
        <v>1556</v>
      </c>
      <c r="E39" s="84" t="s">
        <v>162</v>
      </c>
      <c r="F39" s="61">
        <v>45689</v>
      </c>
      <c r="G39" s="163">
        <v>75</v>
      </c>
      <c r="H39" s="77" t="s">
        <v>522</v>
      </c>
    </row>
    <row r="40" spans="1:8" ht="18" customHeight="1" x14ac:dyDescent="0.25">
      <c r="A40" s="85">
        <v>39</v>
      </c>
      <c r="B40" s="86">
        <v>1</v>
      </c>
      <c r="C40" s="85">
        <f>_xlfn.XLOOKUP(E40,'🚛 FROTA'!B:B,'🚛 FROTA'!A:A,"")</f>
        <v>17</v>
      </c>
      <c r="D40" s="85" t="s">
        <v>1556</v>
      </c>
      <c r="E40" s="85" t="s">
        <v>119</v>
      </c>
      <c r="F40" s="58">
        <v>45689</v>
      </c>
      <c r="G40" s="162">
        <v>75</v>
      </c>
      <c r="H40" s="77" t="s">
        <v>522</v>
      </c>
    </row>
    <row r="41" spans="1:8" ht="18" customHeight="1" x14ac:dyDescent="0.25">
      <c r="A41" s="84">
        <v>40</v>
      </c>
      <c r="B41" s="82">
        <v>1</v>
      </c>
      <c r="C41" s="84">
        <f>_xlfn.XLOOKUP(E41,'🚛 FROTA'!B:B,'🚛 FROTA'!A:A,"")</f>
        <v>20</v>
      </c>
      <c r="D41" s="84" t="s">
        <v>1556</v>
      </c>
      <c r="E41" s="84" t="s">
        <v>128</v>
      </c>
      <c r="F41" s="61">
        <v>45689</v>
      </c>
      <c r="G41" s="163">
        <v>75</v>
      </c>
      <c r="H41" s="77" t="s">
        <v>522</v>
      </c>
    </row>
    <row r="42" spans="1:8" ht="18" customHeight="1" x14ac:dyDescent="0.25">
      <c r="A42" s="85">
        <v>1</v>
      </c>
      <c r="B42" s="86">
        <v>1</v>
      </c>
      <c r="C42" s="85">
        <f>_xlfn.XLOOKUP(E42,'🚛 FROTA'!B:B,'🚛 FROTA'!A:A,"")</f>
        <v>11</v>
      </c>
      <c r="D42" s="85" t="s">
        <v>1556</v>
      </c>
      <c r="E42" s="85" t="s">
        <v>104</v>
      </c>
      <c r="F42" s="58">
        <v>45717</v>
      </c>
      <c r="G42" s="162">
        <v>79.91</v>
      </c>
      <c r="H42" s="77" t="s">
        <v>522</v>
      </c>
    </row>
    <row r="43" spans="1:8" ht="18" customHeight="1" x14ac:dyDescent="0.25">
      <c r="A43" s="84">
        <v>42</v>
      </c>
      <c r="B43" s="82">
        <v>1</v>
      </c>
      <c r="C43" s="84">
        <f>_xlfn.XLOOKUP(E43,'🚛 FROTA'!B:B,'🚛 FROTA'!A:A,"")</f>
        <v>41</v>
      </c>
      <c r="D43" s="84" t="s">
        <v>1556</v>
      </c>
      <c r="E43" s="84" t="s">
        <v>166</v>
      </c>
      <c r="F43" s="61">
        <v>45717</v>
      </c>
      <c r="G43" s="163">
        <f t="shared" ref="G43:G74" si="0">1598.11/20</f>
        <v>79.905499999999989</v>
      </c>
      <c r="H43" s="77" t="s">
        <v>522</v>
      </c>
    </row>
    <row r="44" spans="1:8" ht="18" customHeight="1" x14ac:dyDescent="0.25">
      <c r="A44" s="85">
        <v>43</v>
      </c>
      <c r="B44" s="86">
        <v>1</v>
      </c>
      <c r="C44" s="85">
        <f>_xlfn.XLOOKUP(E44,'🚛 FROTA'!B:B,'🚛 FROTA'!A:A,"")</f>
        <v>6</v>
      </c>
      <c r="D44" s="85" t="s">
        <v>1556</v>
      </c>
      <c r="E44" s="85" t="s">
        <v>85</v>
      </c>
      <c r="F44" s="58">
        <v>45717</v>
      </c>
      <c r="G44" s="162">
        <f t="shared" si="0"/>
        <v>79.905499999999989</v>
      </c>
      <c r="H44" s="77" t="s">
        <v>522</v>
      </c>
    </row>
    <row r="45" spans="1:8" ht="18" customHeight="1" x14ac:dyDescent="0.25">
      <c r="A45" s="84">
        <v>44</v>
      </c>
      <c r="B45" s="82">
        <v>1</v>
      </c>
      <c r="C45" s="84">
        <f>_xlfn.XLOOKUP(E45,'🚛 FROTA'!B:B,'🚛 FROTA'!A:A,"")</f>
        <v>8</v>
      </c>
      <c r="D45" s="84" t="s">
        <v>1556</v>
      </c>
      <c r="E45" s="84" t="s">
        <v>94</v>
      </c>
      <c r="F45" s="61">
        <v>45717</v>
      </c>
      <c r="G45" s="163">
        <f t="shared" si="0"/>
        <v>79.905499999999989</v>
      </c>
      <c r="H45" s="77" t="s">
        <v>522</v>
      </c>
    </row>
    <row r="46" spans="1:8" ht="18" customHeight="1" x14ac:dyDescent="0.25">
      <c r="A46" s="85">
        <v>45</v>
      </c>
      <c r="B46" s="86">
        <v>1</v>
      </c>
      <c r="C46" s="85">
        <f>_xlfn.XLOOKUP(E46,'🚛 FROTA'!B:B,'🚛 FROTA'!A:A,"")</f>
        <v>40</v>
      </c>
      <c r="D46" s="85" t="s">
        <v>1556</v>
      </c>
      <c r="E46" s="85" t="s">
        <v>165</v>
      </c>
      <c r="F46" s="58">
        <v>45717</v>
      </c>
      <c r="G46" s="162">
        <f t="shared" si="0"/>
        <v>79.905499999999989</v>
      </c>
      <c r="H46" s="77" t="s">
        <v>522</v>
      </c>
    </row>
    <row r="47" spans="1:8" ht="18" customHeight="1" x14ac:dyDescent="0.25">
      <c r="A47" s="84">
        <v>46</v>
      </c>
      <c r="B47" s="82">
        <v>1</v>
      </c>
      <c r="C47" s="84">
        <f>_xlfn.XLOOKUP(E47,'🚛 FROTA'!B:B,'🚛 FROTA'!A:A,"")</f>
        <v>50</v>
      </c>
      <c r="D47" s="84" t="s">
        <v>1556</v>
      </c>
      <c r="E47" s="84" t="s">
        <v>185</v>
      </c>
      <c r="F47" s="61">
        <v>45717</v>
      </c>
      <c r="G47" s="163">
        <f t="shared" si="0"/>
        <v>79.905499999999989</v>
      </c>
      <c r="H47" s="77" t="s">
        <v>522</v>
      </c>
    </row>
    <row r="48" spans="1:8" ht="18" customHeight="1" x14ac:dyDescent="0.25">
      <c r="A48" s="85">
        <v>47</v>
      </c>
      <c r="B48" s="86">
        <v>1</v>
      </c>
      <c r="C48" s="85">
        <f>_xlfn.XLOOKUP(E48,'🚛 FROTA'!B:B,'🚛 FROTA'!A:A,"")</f>
        <v>7</v>
      </c>
      <c r="D48" s="85" t="s">
        <v>1556</v>
      </c>
      <c r="E48" s="85" t="s">
        <v>91</v>
      </c>
      <c r="F48" s="58">
        <v>45717</v>
      </c>
      <c r="G48" s="162">
        <f t="shared" si="0"/>
        <v>79.905499999999989</v>
      </c>
      <c r="H48" s="77" t="s">
        <v>522</v>
      </c>
    </row>
    <row r="49" spans="1:8" ht="18" customHeight="1" x14ac:dyDescent="0.25">
      <c r="A49" s="84">
        <v>48</v>
      </c>
      <c r="B49" s="82">
        <v>1</v>
      </c>
      <c r="C49" s="84">
        <f>_xlfn.XLOOKUP(E49,'🚛 FROTA'!B:B,'🚛 FROTA'!A:A,"")</f>
        <v>5</v>
      </c>
      <c r="D49" s="84" t="s">
        <v>1556</v>
      </c>
      <c r="E49" s="84" t="s">
        <v>82</v>
      </c>
      <c r="F49" s="61">
        <v>45717</v>
      </c>
      <c r="G49" s="163">
        <f t="shared" si="0"/>
        <v>79.905499999999989</v>
      </c>
      <c r="H49" s="77" t="s">
        <v>522</v>
      </c>
    </row>
    <row r="50" spans="1:8" ht="18" customHeight="1" x14ac:dyDescent="0.25">
      <c r="A50" s="85">
        <v>49</v>
      </c>
      <c r="B50" s="86">
        <v>1</v>
      </c>
      <c r="C50" s="85">
        <f>_xlfn.XLOOKUP(E50,'🚛 FROTA'!B:B,'🚛 FROTA'!A:A,"")</f>
        <v>47</v>
      </c>
      <c r="D50" s="85" t="s">
        <v>1556</v>
      </c>
      <c r="E50" s="85" t="s">
        <v>174</v>
      </c>
      <c r="F50" s="58">
        <v>45717</v>
      </c>
      <c r="G50" s="162">
        <f t="shared" si="0"/>
        <v>79.905499999999989</v>
      </c>
      <c r="H50" s="77" t="s">
        <v>522</v>
      </c>
    </row>
    <row r="51" spans="1:8" ht="18" customHeight="1" x14ac:dyDescent="0.25">
      <c r="A51" s="84">
        <v>50</v>
      </c>
      <c r="B51" s="82">
        <v>1</v>
      </c>
      <c r="C51" s="84">
        <f>_xlfn.XLOOKUP(E51,'🚛 FROTA'!B:B,'🚛 FROTA'!A:A,"")</f>
        <v>34</v>
      </c>
      <c r="D51" s="84" t="s">
        <v>1556</v>
      </c>
      <c r="E51" s="84" t="s">
        <v>155</v>
      </c>
      <c r="F51" s="61">
        <v>45717</v>
      </c>
      <c r="G51" s="163">
        <f t="shared" si="0"/>
        <v>79.905499999999989</v>
      </c>
      <c r="H51" s="77" t="s">
        <v>522</v>
      </c>
    </row>
    <row r="52" spans="1:8" ht="18" customHeight="1" x14ac:dyDescent="0.25">
      <c r="A52" s="85">
        <v>51</v>
      </c>
      <c r="B52" s="86">
        <v>1</v>
      </c>
      <c r="C52" s="85">
        <f>_xlfn.XLOOKUP(E52,'🚛 FROTA'!B:B,'🚛 FROTA'!A:A,"")</f>
        <v>43</v>
      </c>
      <c r="D52" s="85" t="s">
        <v>1556</v>
      </c>
      <c r="E52" s="85" t="s">
        <v>169</v>
      </c>
      <c r="F52" s="58">
        <v>45717</v>
      </c>
      <c r="G52" s="162">
        <f t="shared" si="0"/>
        <v>79.905499999999989</v>
      </c>
      <c r="H52" s="77" t="s">
        <v>522</v>
      </c>
    </row>
    <row r="53" spans="1:8" ht="18" customHeight="1" x14ac:dyDescent="0.25">
      <c r="A53" s="84">
        <v>52</v>
      </c>
      <c r="B53" s="82">
        <v>1</v>
      </c>
      <c r="C53" s="84">
        <f>_xlfn.XLOOKUP(E53,'🚛 FROTA'!B:B,'🚛 FROTA'!A:A,"")</f>
        <v>44</v>
      </c>
      <c r="D53" s="84" t="s">
        <v>1556</v>
      </c>
      <c r="E53" s="84" t="s">
        <v>170</v>
      </c>
      <c r="F53" s="61">
        <v>45717</v>
      </c>
      <c r="G53" s="163">
        <f t="shared" si="0"/>
        <v>79.905499999999989</v>
      </c>
      <c r="H53" s="77" t="s">
        <v>522</v>
      </c>
    </row>
    <row r="54" spans="1:8" ht="18" customHeight="1" x14ac:dyDescent="0.25">
      <c r="A54" s="85">
        <v>53</v>
      </c>
      <c r="B54" s="86">
        <v>1</v>
      </c>
      <c r="C54" s="85">
        <f>_xlfn.XLOOKUP(E54,'🚛 FROTA'!B:B,'🚛 FROTA'!A:A,"")</f>
        <v>42</v>
      </c>
      <c r="D54" s="85" t="s">
        <v>1556</v>
      </c>
      <c r="E54" s="85" t="s">
        <v>167</v>
      </c>
      <c r="F54" s="58">
        <v>45717</v>
      </c>
      <c r="G54" s="162">
        <f t="shared" si="0"/>
        <v>79.905499999999989</v>
      </c>
      <c r="H54" s="77" t="s">
        <v>522</v>
      </c>
    </row>
    <row r="55" spans="1:8" ht="18" customHeight="1" x14ac:dyDescent="0.25">
      <c r="A55" s="84">
        <v>54</v>
      </c>
      <c r="B55" s="82">
        <v>1</v>
      </c>
      <c r="C55" s="84">
        <f>_xlfn.XLOOKUP(E55,'🚛 FROTA'!B:B,'🚛 FROTA'!A:A,"")</f>
        <v>46</v>
      </c>
      <c r="D55" s="84" t="s">
        <v>1556</v>
      </c>
      <c r="E55" s="84" t="s">
        <v>173</v>
      </c>
      <c r="F55" s="61">
        <v>45717</v>
      </c>
      <c r="G55" s="163">
        <f t="shared" si="0"/>
        <v>79.905499999999989</v>
      </c>
      <c r="H55" s="77" t="s">
        <v>522</v>
      </c>
    </row>
    <row r="56" spans="1:8" ht="18" customHeight="1" x14ac:dyDescent="0.25">
      <c r="A56" s="85">
        <v>55</v>
      </c>
      <c r="B56" s="86">
        <v>1</v>
      </c>
      <c r="C56" s="85">
        <f>_xlfn.XLOOKUP(E56,'🚛 FROTA'!B:B,'🚛 FROTA'!A:A,"")</f>
        <v>45</v>
      </c>
      <c r="D56" s="85" t="s">
        <v>1556</v>
      </c>
      <c r="E56" s="85" t="s">
        <v>172</v>
      </c>
      <c r="F56" s="58">
        <v>45717</v>
      </c>
      <c r="G56" s="162">
        <f t="shared" si="0"/>
        <v>79.905499999999989</v>
      </c>
      <c r="H56" s="77" t="s">
        <v>522</v>
      </c>
    </row>
    <row r="57" spans="1:8" ht="18" customHeight="1" x14ac:dyDescent="0.25">
      <c r="A57" s="84">
        <v>56</v>
      </c>
      <c r="B57" s="82">
        <v>1</v>
      </c>
      <c r="C57" s="84">
        <f>_xlfn.XLOOKUP(E57,'🚛 FROTA'!B:B,'🚛 FROTA'!A:A,"")</f>
        <v>24</v>
      </c>
      <c r="D57" s="84" t="s">
        <v>1556</v>
      </c>
      <c r="E57" s="84" t="s">
        <v>141</v>
      </c>
      <c r="F57" s="61">
        <v>45717</v>
      </c>
      <c r="G57" s="163">
        <f t="shared" si="0"/>
        <v>79.905499999999989</v>
      </c>
      <c r="H57" s="77" t="s">
        <v>522</v>
      </c>
    </row>
    <row r="58" spans="1:8" ht="18" customHeight="1" x14ac:dyDescent="0.25">
      <c r="A58" s="85">
        <v>57</v>
      </c>
      <c r="B58" s="86">
        <v>1</v>
      </c>
      <c r="C58" s="85">
        <f>_xlfn.XLOOKUP(E58,'🚛 FROTA'!B:B,'🚛 FROTA'!A:A,"")</f>
        <v>39</v>
      </c>
      <c r="D58" s="85" t="s">
        <v>1556</v>
      </c>
      <c r="E58" s="85" t="s">
        <v>162</v>
      </c>
      <c r="F58" s="58">
        <v>45717</v>
      </c>
      <c r="G58" s="162">
        <f t="shared" si="0"/>
        <v>79.905499999999989</v>
      </c>
      <c r="H58" s="77" t="s">
        <v>522</v>
      </c>
    </row>
    <row r="59" spans="1:8" ht="18" customHeight="1" x14ac:dyDescent="0.25">
      <c r="A59" s="84">
        <v>58</v>
      </c>
      <c r="B59" s="82">
        <v>1</v>
      </c>
      <c r="C59" s="84">
        <f>_xlfn.XLOOKUP(E59,'🚛 FROTA'!B:B,'🚛 FROTA'!A:A,"")</f>
        <v>17</v>
      </c>
      <c r="D59" s="84" t="s">
        <v>1556</v>
      </c>
      <c r="E59" s="84" t="s">
        <v>119</v>
      </c>
      <c r="F59" s="61">
        <v>45717</v>
      </c>
      <c r="G59" s="163">
        <f t="shared" si="0"/>
        <v>79.905499999999989</v>
      </c>
      <c r="H59" s="77" t="s">
        <v>522</v>
      </c>
    </row>
    <row r="60" spans="1:8" ht="18" customHeight="1" x14ac:dyDescent="0.25">
      <c r="A60" s="85">
        <v>59</v>
      </c>
      <c r="B60" s="86">
        <v>1</v>
      </c>
      <c r="C60" s="85">
        <f>_xlfn.XLOOKUP(E60,'🚛 FROTA'!B:B,'🚛 FROTA'!A:A,"")</f>
        <v>20</v>
      </c>
      <c r="D60" s="85" t="s">
        <v>1556</v>
      </c>
      <c r="E60" s="85" t="s">
        <v>128</v>
      </c>
      <c r="F60" s="58">
        <v>45717</v>
      </c>
      <c r="G60" s="162">
        <f t="shared" si="0"/>
        <v>79.905499999999989</v>
      </c>
      <c r="H60" s="77" t="s">
        <v>522</v>
      </c>
    </row>
    <row r="61" spans="1:8" ht="18" customHeight="1" x14ac:dyDescent="0.25">
      <c r="A61" s="84">
        <v>60</v>
      </c>
      <c r="B61" s="82">
        <v>1</v>
      </c>
      <c r="C61" s="84">
        <f>_xlfn.XLOOKUP(E61,'🚛 FROTA'!B:B,'🚛 FROTA'!A:A,"")</f>
        <v>11</v>
      </c>
      <c r="D61" s="84" t="s">
        <v>1556</v>
      </c>
      <c r="E61" s="84" t="s">
        <v>104</v>
      </c>
      <c r="F61" s="61">
        <v>45748</v>
      </c>
      <c r="G61" s="163">
        <f t="shared" si="0"/>
        <v>79.905499999999989</v>
      </c>
      <c r="H61" s="77" t="s">
        <v>522</v>
      </c>
    </row>
    <row r="62" spans="1:8" ht="18" customHeight="1" x14ac:dyDescent="0.25">
      <c r="A62" s="85">
        <v>61</v>
      </c>
      <c r="B62" s="86">
        <v>1</v>
      </c>
      <c r="C62" s="85">
        <f>_xlfn.XLOOKUP(E62,'🚛 FROTA'!B:B,'🚛 FROTA'!A:A,"")</f>
        <v>41</v>
      </c>
      <c r="D62" s="85" t="s">
        <v>1556</v>
      </c>
      <c r="E62" s="85" t="s">
        <v>166</v>
      </c>
      <c r="F62" s="58">
        <v>45748</v>
      </c>
      <c r="G62" s="162">
        <f t="shared" si="0"/>
        <v>79.905499999999989</v>
      </c>
      <c r="H62" s="77" t="s">
        <v>522</v>
      </c>
    </row>
    <row r="63" spans="1:8" ht="18" customHeight="1" x14ac:dyDescent="0.25">
      <c r="A63" s="84">
        <v>62</v>
      </c>
      <c r="B63" s="82">
        <v>1</v>
      </c>
      <c r="C63" s="84">
        <f>_xlfn.XLOOKUP(E63,'🚛 FROTA'!B:B,'🚛 FROTA'!A:A,"")</f>
        <v>6</v>
      </c>
      <c r="D63" s="84" t="s">
        <v>1556</v>
      </c>
      <c r="E63" s="84" t="s">
        <v>85</v>
      </c>
      <c r="F63" s="61">
        <v>45748</v>
      </c>
      <c r="G63" s="163">
        <f t="shared" si="0"/>
        <v>79.905499999999989</v>
      </c>
      <c r="H63" s="77" t="s">
        <v>522</v>
      </c>
    </row>
    <row r="64" spans="1:8" ht="18" customHeight="1" x14ac:dyDescent="0.25">
      <c r="A64" s="85">
        <v>63</v>
      </c>
      <c r="B64" s="86">
        <v>1</v>
      </c>
      <c r="C64" s="85">
        <f>_xlfn.XLOOKUP(E64,'🚛 FROTA'!B:B,'🚛 FROTA'!A:A,"")</f>
        <v>8</v>
      </c>
      <c r="D64" s="85" t="s">
        <v>1556</v>
      </c>
      <c r="E64" s="85" t="s">
        <v>94</v>
      </c>
      <c r="F64" s="58">
        <v>45748</v>
      </c>
      <c r="G64" s="162">
        <f t="shared" si="0"/>
        <v>79.905499999999989</v>
      </c>
      <c r="H64" s="77" t="s">
        <v>522</v>
      </c>
    </row>
    <row r="65" spans="1:8" ht="18" customHeight="1" x14ac:dyDescent="0.25">
      <c r="A65" s="84">
        <v>64</v>
      </c>
      <c r="B65" s="82">
        <v>1</v>
      </c>
      <c r="C65" s="84">
        <f>_xlfn.XLOOKUP(E65,'🚛 FROTA'!B:B,'🚛 FROTA'!A:A,"")</f>
        <v>40</v>
      </c>
      <c r="D65" s="84" t="s">
        <v>1556</v>
      </c>
      <c r="E65" s="84" t="s">
        <v>165</v>
      </c>
      <c r="F65" s="61">
        <v>45748</v>
      </c>
      <c r="G65" s="163">
        <f t="shared" si="0"/>
        <v>79.905499999999989</v>
      </c>
      <c r="H65" s="77" t="s">
        <v>522</v>
      </c>
    </row>
    <row r="66" spans="1:8" ht="18" customHeight="1" x14ac:dyDescent="0.25">
      <c r="A66" s="85">
        <v>65</v>
      </c>
      <c r="B66" s="86">
        <v>1</v>
      </c>
      <c r="C66" s="85">
        <f>_xlfn.XLOOKUP(E66,'🚛 FROTA'!B:B,'🚛 FROTA'!A:A,"")</f>
        <v>50</v>
      </c>
      <c r="D66" s="85" t="s">
        <v>1556</v>
      </c>
      <c r="E66" s="85" t="s">
        <v>185</v>
      </c>
      <c r="F66" s="58">
        <v>45748</v>
      </c>
      <c r="G66" s="162">
        <f t="shared" si="0"/>
        <v>79.905499999999989</v>
      </c>
      <c r="H66" s="77" t="s">
        <v>522</v>
      </c>
    </row>
    <row r="67" spans="1:8" ht="18" customHeight="1" x14ac:dyDescent="0.25">
      <c r="A67" s="84">
        <v>66</v>
      </c>
      <c r="B67" s="82">
        <v>1</v>
      </c>
      <c r="C67" s="84">
        <f>_xlfn.XLOOKUP(E67,'🚛 FROTA'!B:B,'🚛 FROTA'!A:A,"")</f>
        <v>7</v>
      </c>
      <c r="D67" s="84" t="s">
        <v>1556</v>
      </c>
      <c r="E67" s="84" t="s">
        <v>91</v>
      </c>
      <c r="F67" s="61">
        <v>45748</v>
      </c>
      <c r="G67" s="163">
        <f t="shared" si="0"/>
        <v>79.905499999999989</v>
      </c>
      <c r="H67" s="77" t="s">
        <v>522</v>
      </c>
    </row>
    <row r="68" spans="1:8" ht="18" customHeight="1" x14ac:dyDescent="0.25">
      <c r="A68" s="85">
        <v>67</v>
      </c>
      <c r="B68" s="86">
        <v>1</v>
      </c>
      <c r="C68" s="85">
        <f>_xlfn.XLOOKUP(E68,'🚛 FROTA'!B:B,'🚛 FROTA'!A:A,"")</f>
        <v>5</v>
      </c>
      <c r="D68" s="85" t="s">
        <v>1556</v>
      </c>
      <c r="E68" s="85" t="s">
        <v>82</v>
      </c>
      <c r="F68" s="58">
        <v>45748</v>
      </c>
      <c r="G68" s="162">
        <f t="shared" si="0"/>
        <v>79.905499999999989</v>
      </c>
      <c r="H68" s="77" t="s">
        <v>522</v>
      </c>
    </row>
    <row r="69" spans="1:8" ht="18" customHeight="1" x14ac:dyDescent="0.25">
      <c r="A69" s="84">
        <v>68</v>
      </c>
      <c r="B69" s="82">
        <v>1</v>
      </c>
      <c r="C69" s="84">
        <f>_xlfn.XLOOKUP(E69,'🚛 FROTA'!B:B,'🚛 FROTA'!A:A,"")</f>
        <v>47</v>
      </c>
      <c r="D69" s="84" t="s">
        <v>1556</v>
      </c>
      <c r="E69" s="84" t="s">
        <v>174</v>
      </c>
      <c r="F69" s="61">
        <v>45748</v>
      </c>
      <c r="G69" s="163">
        <f t="shared" si="0"/>
        <v>79.905499999999989</v>
      </c>
      <c r="H69" s="77" t="s">
        <v>522</v>
      </c>
    </row>
    <row r="70" spans="1:8" ht="18" customHeight="1" x14ac:dyDescent="0.25">
      <c r="A70" s="85">
        <v>69</v>
      </c>
      <c r="B70" s="86">
        <v>1</v>
      </c>
      <c r="C70" s="85">
        <f>_xlfn.XLOOKUP(E70,'🚛 FROTA'!B:B,'🚛 FROTA'!A:A,"")</f>
        <v>34</v>
      </c>
      <c r="D70" s="85" t="s">
        <v>1556</v>
      </c>
      <c r="E70" s="85" t="s">
        <v>155</v>
      </c>
      <c r="F70" s="58">
        <v>45748</v>
      </c>
      <c r="G70" s="162">
        <f t="shared" si="0"/>
        <v>79.905499999999989</v>
      </c>
      <c r="H70" s="77" t="s">
        <v>522</v>
      </c>
    </row>
    <row r="71" spans="1:8" ht="18" customHeight="1" x14ac:dyDescent="0.25">
      <c r="A71" s="84">
        <v>70</v>
      </c>
      <c r="B71" s="82">
        <v>1</v>
      </c>
      <c r="C71" s="84">
        <f>_xlfn.XLOOKUP(E71,'🚛 FROTA'!B:B,'🚛 FROTA'!A:A,"")</f>
        <v>43</v>
      </c>
      <c r="D71" s="84" t="s">
        <v>1556</v>
      </c>
      <c r="E71" s="84" t="s">
        <v>169</v>
      </c>
      <c r="F71" s="61">
        <v>45748</v>
      </c>
      <c r="G71" s="163">
        <f t="shared" si="0"/>
        <v>79.905499999999989</v>
      </c>
      <c r="H71" s="77" t="s">
        <v>522</v>
      </c>
    </row>
    <row r="72" spans="1:8" ht="18" customHeight="1" x14ac:dyDescent="0.25">
      <c r="A72" s="85">
        <v>71</v>
      </c>
      <c r="B72" s="86">
        <v>1</v>
      </c>
      <c r="C72" s="85">
        <f>_xlfn.XLOOKUP(E72,'🚛 FROTA'!B:B,'🚛 FROTA'!A:A,"")</f>
        <v>44</v>
      </c>
      <c r="D72" s="85" t="s">
        <v>1556</v>
      </c>
      <c r="E72" s="85" t="s">
        <v>170</v>
      </c>
      <c r="F72" s="58">
        <v>45748</v>
      </c>
      <c r="G72" s="162">
        <f t="shared" si="0"/>
        <v>79.905499999999989</v>
      </c>
      <c r="H72" s="77" t="s">
        <v>522</v>
      </c>
    </row>
    <row r="73" spans="1:8" ht="18" customHeight="1" x14ac:dyDescent="0.25">
      <c r="A73" s="84">
        <v>72</v>
      </c>
      <c r="B73" s="82">
        <v>1</v>
      </c>
      <c r="C73" s="84">
        <f>_xlfn.XLOOKUP(E73,'🚛 FROTA'!B:B,'🚛 FROTA'!A:A,"")</f>
        <v>42</v>
      </c>
      <c r="D73" s="84" t="s">
        <v>1556</v>
      </c>
      <c r="E73" s="84" t="s">
        <v>167</v>
      </c>
      <c r="F73" s="61">
        <v>45748</v>
      </c>
      <c r="G73" s="163">
        <f t="shared" si="0"/>
        <v>79.905499999999989</v>
      </c>
      <c r="H73" s="77" t="s">
        <v>522</v>
      </c>
    </row>
    <row r="74" spans="1:8" ht="18" customHeight="1" x14ac:dyDescent="0.25">
      <c r="A74" s="85">
        <v>73</v>
      </c>
      <c r="B74" s="86">
        <v>1</v>
      </c>
      <c r="C74" s="85">
        <f>_xlfn.XLOOKUP(E74,'🚛 FROTA'!B:B,'🚛 FROTA'!A:A,"")</f>
        <v>46</v>
      </c>
      <c r="D74" s="85" t="s">
        <v>1556</v>
      </c>
      <c r="E74" s="85" t="s">
        <v>173</v>
      </c>
      <c r="F74" s="58">
        <v>45748</v>
      </c>
      <c r="G74" s="162">
        <f t="shared" si="0"/>
        <v>79.905499999999989</v>
      </c>
      <c r="H74" s="77" t="s">
        <v>522</v>
      </c>
    </row>
    <row r="75" spans="1:8" ht="18" customHeight="1" x14ac:dyDescent="0.25">
      <c r="A75" s="84">
        <v>74</v>
      </c>
      <c r="B75" s="82">
        <v>1</v>
      </c>
      <c r="C75" s="84">
        <f>_xlfn.XLOOKUP(E75,'🚛 FROTA'!B:B,'🚛 FROTA'!A:A,"")</f>
        <v>45</v>
      </c>
      <c r="D75" s="84" t="s">
        <v>1556</v>
      </c>
      <c r="E75" s="84" t="s">
        <v>172</v>
      </c>
      <c r="F75" s="61">
        <v>45748</v>
      </c>
      <c r="G75" s="163">
        <f t="shared" ref="G75:G106" si="1">1598.11/20</f>
        <v>79.905499999999989</v>
      </c>
      <c r="H75" s="77" t="s">
        <v>522</v>
      </c>
    </row>
    <row r="76" spans="1:8" ht="18" customHeight="1" x14ac:dyDescent="0.25">
      <c r="A76" s="85">
        <v>75</v>
      </c>
      <c r="B76" s="86">
        <v>1</v>
      </c>
      <c r="C76" s="85">
        <f>_xlfn.XLOOKUP(E76,'🚛 FROTA'!B:B,'🚛 FROTA'!A:A,"")</f>
        <v>24</v>
      </c>
      <c r="D76" s="85" t="s">
        <v>1556</v>
      </c>
      <c r="E76" s="85" t="s">
        <v>141</v>
      </c>
      <c r="F76" s="58">
        <v>45748</v>
      </c>
      <c r="G76" s="162">
        <f t="shared" si="1"/>
        <v>79.905499999999989</v>
      </c>
      <c r="H76" s="77" t="s">
        <v>522</v>
      </c>
    </row>
    <row r="77" spans="1:8" ht="18" customHeight="1" x14ac:dyDescent="0.25">
      <c r="A77" s="84">
        <v>76</v>
      </c>
      <c r="B77" s="82">
        <v>1</v>
      </c>
      <c r="C77" s="84">
        <f>_xlfn.XLOOKUP(E77,'🚛 FROTA'!B:B,'🚛 FROTA'!A:A,"")</f>
        <v>39</v>
      </c>
      <c r="D77" s="84" t="s">
        <v>1556</v>
      </c>
      <c r="E77" s="84" t="s">
        <v>162</v>
      </c>
      <c r="F77" s="61">
        <v>45748</v>
      </c>
      <c r="G77" s="163">
        <f t="shared" si="1"/>
        <v>79.905499999999989</v>
      </c>
      <c r="H77" s="77" t="s">
        <v>522</v>
      </c>
    </row>
    <row r="78" spans="1:8" ht="18" customHeight="1" x14ac:dyDescent="0.25">
      <c r="A78" s="85">
        <v>77</v>
      </c>
      <c r="B78" s="86">
        <v>1</v>
      </c>
      <c r="C78" s="85">
        <f>_xlfn.XLOOKUP(E78,'🚛 FROTA'!B:B,'🚛 FROTA'!A:A,"")</f>
        <v>17</v>
      </c>
      <c r="D78" s="85" t="s">
        <v>1556</v>
      </c>
      <c r="E78" s="85" t="s">
        <v>119</v>
      </c>
      <c r="F78" s="58">
        <v>45748</v>
      </c>
      <c r="G78" s="162">
        <f t="shared" si="1"/>
        <v>79.905499999999989</v>
      </c>
      <c r="H78" s="77" t="s">
        <v>522</v>
      </c>
    </row>
    <row r="79" spans="1:8" ht="18" customHeight="1" x14ac:dyDescent="0.25">
      <c r="A79" s="84">
        <v>78</v>
      </c>
      <c r="B79" s="82">
        <v>1</v>
      </c>
      <c r="C79" s="84">
        <f>_xlfn.XLOOKUP(E79,'🚛 FROTA'!B:B,'🚛 FROTA'!A:A,"")</f>
        <v>20</v>
      </c>
      <c r="D79" s="84" t="s">
        <v>1556</v>
      </c>
      <c r="E79" s="84" t="s">
        <v>128</v>
      </c>
      <c r="F79" s="61">
        <v>45748</v>
      </c>
      <c r="G79" s="163">
        <f t="shared" si="1"/>
        <v>79.905499999999989</v>
      </c>
      <c r="H79" s="77" t="s">
        <v>522</v>
      </c>
    </row>
    <row r="80" spans="1:8" ht="18" customHeight="1" x14ac:dyDescent="0.25">
      <c r="A80" s="85">
        <v>79</v>
      </c>
      <c r="B80" s="86">
        <v>1</v>
      </c>
      <c r="C80" s="85">
        <f>_xlfn.XLOOKUP(E80,'🚛 FROTA'!B:B,'🚛 FROTA'!A:A,"")</f>
        <v>11</v>
      </c>
      <c r="D80" s="85" t="s">
        <v>1556</v>
      </c>
      <c r="E80" s="85" t="s">
        <v>104</v>
      </c>
      <c r="F80" s="58">
        <v>45778</v>
      </c>
      <c r="G80" s="162">
        <f t="shared" si="1"/>
        <v>79.905499999999989</v>
      </c>
      <c r="H80" s="77" t="s">
        <v>522</v>
      </c>
    </row>
    <row r="81" spans="1:8" ht="18" customHeight="1" x14ac:dyDescent="0.25">
      <c r="A81" s="84">
        <v>80</v>
      </c>
      <c r="B81" s="82">
        <v>1</v>
      </c>
      <c r="C81" s="84">
        <f>_xlfn.XLOOKUP(E81,'🚛 FROTA'!B:B,'🚛 FROTA'!A:A,"")</f>
        <v>41</v>
      </c>
      <c r="D81" s="84" t="s">
        <v>1556</v>
      </c>
      <c r="E81" s="84" t="s">
        <v>166</v>
      </c>
      <c r="F81" s="61">
        <v>45778</v>
      </c>
      <c r="G81" s="163">
        <f t="shared" si="1"/>
        <v>79.905499999999989</v>
      </c>
      <c r="H81" s="77" t="s">
        <v>522</v>
      </c>
    </row>
    <row r="82" spans="1:8" ht="18" customHeight="1" x14ac:dyDescent="0.25">
      <c r="A82" s="85">
        <v>81</v>
      </c>
      <c r="B82" s="86">
        <v>1</v>
      </c>
      <c r="C82" s="85">
        <f>_xlfn.XLOOKUP(E82,'🚛 FROTA'!B:B,'🚛 FROTA'!A:A,"")</f>
        <v>6</v>
      </c>
      <c r="D82" s="85" t="s">
        <v>1556</v>
      </c>
      <c r="E82" s="85" t="s">
        <v>85</v>
      </c>
      <c r="F82" s="58">
        <v>45778</v>
      </c>
      <c r="G82" s="162">
        <f t="shared" si="1"/>
        <v>79.905499999999989</v>
      </c>
      <c r="H82" s="77" t="s">
        <v>522</v>
      </c>
    </row>
    <row r="83" spans="1:8" ht="18" customHeight="1" x14ac:dyDescent="0.25">
      <c r="A83" s="84">
        <v>82</v>
      </c>
      <c r="B83" s="82">
        <v>1</v>
      </c>
      <c r="C83" s="84">
        <f>_xlfn.XLOOKUP(E83,'🚛 FROTA'!B:B,'🚛 FROTA'!A:A,"")</f>
        <v>8</v>
      </c>
      <c r="D83" s="84" t="s">
        <v>1556</v>
      </c>
      <c r="E83" s="84" t="s">
        <v>94</v>
      </c>
      <c r="F83" s="61">
        <v>45778</v>
      </c>
      <c r="G83" s="163">
        <f t="shared" si="1"/>
        <v>79.905499999999989</v>
      </c>
      <c r="H83" s="77" t="s">
        <v>522</v>
      </c>
    </row>
    <row r="84" spans="1:8" ht="18" customHeight="1" x14ac:dyDescent="0.25">
      <c r="A84" s="85">
        <v>83</v>
      </c>
      <c r="B84" s="86">
        <v>1</v>
      </c>
      <c r="C84" s="85">
        <f>_xlfn.XLOOKUP(E84,'🚛 FROTA'!B:B,'🚛 FROTA'!A:A,"")</f>
        <v>40</v>
      </c>
      <c r="D84" s="85" t="s">
        <v>1556</v>
      </c>
      <c r="E84" s="85" t="s">
        <v>165</v>
      </c>
      <c r="F84" s="58">
        <v>45778</v>
      </c>
      <c r="G84" s="162">
        <f t="shared" si="1"/>
        <v>79.905499999999989</v>
      </c>
      <c r="H84" s="77" t="s">
        <v>522</v>
      </c>
    </row>
    <row r="85" spans="1:8" ht="18" customHeight="1" x14ac:dyDescent="0.25">
      <c r="A85" s="84">
        <v>84</v>
      </c>
      <c r="B85" s="82">
        <v>1</v>
      </c>
      <c r="C85" s="84">
        <f>_xlfn.XLOOKUP(E85,'🚛 FROTA'!B:B,'🚛 FROTA'!A:A,"")</f>
        <v>7</v>
      </c>
      <c r="D85" s="84" t="s">
        <v>1556</v>
      </c>
      <c r="E85" s="84" t="s">
        <v>91</v>
      </c>
      <c r="F85" s="61">
        <v>45778</v>
      </c>
      <c r="G85" s="163">
        <f t="shared" si="1"/>
        <v>79.905499999999989</v>
      </c>
      <c r="H85" s="77" t="s">
        <v>522</v>
      </c>
    </row>
    <row r="86" spans="1:8" ht="18" customHeight="1" x14ac:dyDescent="0.25">
      <c r="A86" s="85">
        <v>85</v>
      </c>
      <c r="B86" s="86">
        <v>1</v>
      </c>
      <c r="C86" s="85">
        <f>_xlfn.XLOOKUP(E86,'🚛 FROTA'!B:B,'🚛 FROTA'!A:A,"")</f>
        <v>5</v>
      </c>
      <c r="D86" s="85" t="s">
        <v>1556</v>
      </c>
      <c r="E86" s="85" t="s">
        <v>82</v>
      </c>
      <c r="F86" s="58">
        <v>45778</v>
      </c>
      <c r="G86" s="162">
        <f t="shared" si="1"/>
        <v>79.905499999999989</v>
      </c>
      <c r="H86" s="77" t="s">
        <v>522</v>
      </c>
    </row>
    <row r="87" spans="1:8" ht="18" customHeight="1" x14ac:dyDescent="0.25">
      <c r="A87" s="84">
        <v>86</v>
      </c>
      <c r="B87" s="82">
        <v>1</v>
      </c>
      <c r="C87" s="84">
        <f>_xlfn.XLOOKUP(E87,'🚛 FROTA'!B:B,'🚛 FROTA'!A:A,"")</f>
        <v>47</v>
      </c>
      <c r="D87" s="84" t="s">
        <v>1556</v>
      </c>
      <c r="E87" s="84" t="s">
        <v>174</v>
      </c>
      <c r="F87" s="61">
        <v>45778</v>
      </c>
      <c r="G87" s="163">
        <f t="shared" si="1"/>
        <v>79.905499999999989</v>
      </c>
      <c r="H87" s="77" t="s">
        <v>522</v>
      </c>
    </row>
    <row r="88" spans="1:8" ht="18" customHeight="1" x14ac:dyDescent="0.25">
      <c r="A88" s="85">
        <v>87</v>
      </c>
      <c r="B88" s="86">
        <v>1</v>
      </c>
      <c r="C88" s="85">
        <f>_xlfn.XLOOKUP(E88,'🚛 FROTA'!B:B,'🚛 FROTA'!A:A,"")</f>
        <v>34</v>
      </c>
      <c r="D88" s="85" t="s">
        <v>1556</v>
      </c>
      <c r="E88" s="85" t="s">
        <v>155</v>
      </c>
      <c r="F88" s="58">
        <v>45778</v>
      </c>
      <c r="G88" s="162">
        <f t="shared" si="1"/>
        <v>79.905499999999989</v>
      </c>
      <c r="H88" s="77" t="s">
        <v>522</v>
      </c>
    </row>
    <row r="89" spans="1:8" ht="18" customHeight="1" x14ac:dyDescent="0.25">
      <c r="A89" s="84">
        <v>88</v>
      </c>
      <c r="B89" s="82">
        <v>1</v>
      </c>
      <c r="C89" s="84">
        <f>_xlfn.XLOOKUP(E89,'🚛 FROTA'!B:B,'🚛 FROTA'!A:A,"")</f>
        <v>43</v>
      </c>
      <c r="D89" s="84" t="s">
        <v>1556</v>
      </c>
      <c r="E89" s="84" t="s">
        <v>169</v>
      </c>
      <c r="F89" s="61">
        <v>45778</v>
      </c>
      <c r="G89" s="163">
        <f t="shared" si="1"/>
        <v>79.905499999999989</v>
      </c>
      <c r="H89" s="77" t="s">
        <v>522</v>
      </c>
    </row>
    <row r="90" spans="1:8" ht="18" customHeight="1" x14ac:dyDescent="0.25">
      <c r="A90" s="85">
        <v>89</v>
      </c>
      <c r="B90" s="86">
        <v>1</v>
      </c>
      <c r="C90" s="85">
        <f>_xlfn.XLOOKUP(E90,'🚛 FROTA'!B:B,'🚛 FROTA'!A:A,"")</f>
        <v>44</v>
      </c>
      <c r="D90" s="85" t="s">
        <v>1556</v>
      </c>
      <c r="E90" s="85" t="s">
        <v>170</v>
      </c>
      <c r="F90" s="58">
        <v>45778</v>
      </c>
      <c r="G90" s="162">
        <f t="shared" si="1"/>
        <v>79.905499999999989</v>
      </c>
      <c r="H90" s="77" t="s">
        <v>522</v>
      </c>
    </row>
    <row r="91" spans="1:8" ht="18" customHeight="1" x14ac:dyDescent="0.25">
      <c r="A91" s="84">
        <v>90</v>
      </c>
      <c r="B91" s="82">
        <v>1</v>
      </c>
      <c r="C91" s="84">
        <f>_xlfn.XLOOKUP(E91,'🚛 FROTA'!B:B,'🚛 FROTA'!A:A,"")</f>
        <v>42</v>
      </c>
      <c r="D91" s="84" t="s">
        <v>1556</v>
      </c>
      <c r="E91" s="84" t="s">
        <v>167</v>
      </c>
      <c r="F91" s="61">
        <v>45778</v>
      </c>
      <c r="G91" s="163">
        <f t="shared" si="1"/>
        <v>79.905499999999989</v>
      </c>
      <c r="H91" s="77" t="s">
        <v>522</v>
      </c>
    </row>
    <row r="92" spans="1:8" ht="18" customHeight="1" x14ac:dyDescent="0.25">
      <c r="A92" s="85">
        <v>91</v>
      </c>
      <c r="B92" s="59">
        <v>1</v>
      </c>
      <c r="C92" s="85">
        <f>_xlfn.XLOOKUP(E92,'🚛 FROTA'!B:B,'🚛 FROTA'!A:A,"")</f>
        <v>46</v>
      </c>
      <c r="D92" s="85" t="s">
        <v>1556</v>
      </c>
      <c r="E92" s="85" t="s">
        <v>173</v>
      </c>
      <c r="F92" s="58">
        <v>45778</v>
      </c>
      <c r="G92" s="162">
        <f t="shared" si="1"/>
        <v>79.905499999999989</v>
      </c>
      <c r="H92" s="77" t="s">
        <v>522</v>
      </c>
    </row>
    <row r="93" spans="1:8" ht="18" customHeight="1" x14ac:dyDescent="0.25">
      <c r="A93" s="84">
        <v>92</v>
      </c>
      <c r="B93" s="82">
        <v>1</v>
      </c>
      <c r="C93" s="84">
        <f>_xlfn.XLOOKUP(E93,'🚛 FROTA'!B:B,'🚛 FROTA'!A:A,"")</f>
        <v>45</v>
      </c>
      <c r="D93" s="84" t="s">
        <v>1556</v>
      </c>
      <c r="E93" s="84" t="s">
        <v>172</v>
      </c>
      <c r="F93" s="61">
        <v>45778</v>
      </c>
      <c r="G93" s="163">
        <f t="shared" si="1"/>
        <v>79.905499999999989</v>
      </c>
      <c r="H93" s="77" t="s">
        <v>522</v>
      </c>
    </row>
    <row r="94" spans="1:8" ht="18" customHeight="1" x14ac:dyDescent="0.25">
      <c r="A94" s="85">
        <v>93</v>
      </c>
      <c r="B94" s="86">
        <v>1</v>
      </c>
      <c r="C94" s="85">
        <f>_xlfn.XLOOKUP(E94,'🚛 FROTA'!B:B,'🚛 FROTA'!A:A,"")</f>
        <v>24</v>
      </c>
      <c r="D94" s="85" t="s">
        <v>1556</v>
      </c>
      <c r="E94" s="85" t="s">
        <v>141</v>
      </c>
      <c r="F94" s="58">
        <v>45778</v>
      </c>
      <c r="G94" s="162">
        <f t="shared" si="1"/>
        <v>79.905499999999989</v>
      </c>
      <c r="H94" s="77" t="s">
        <v>522</v>
      </c>
    </row>
    <row r="95" spans="1:8" ht="18" customHeight="1" x14ac:dyDescent="0.25">
      <c r="A95" s="84">
        <v>94</v>
      </c>
      <c r="B95" s="82">
        <v>1</v>
      </c>
      <c r="C95" s="84">
        <f>_xlfn.XLOOKUP(E95,'🚛 FROTA'!B:B,'🚛 FROTA'!A:A,"")</f>
        <v>39</v>
      </c>
      <c r="D95" s="84" t="s">
        <v>1556</v>
      </c>
      <c r="E95" s="84" t="s">
        <v>162</v>
      </c>
      <c r="F95" s="61">
        <v>45778</v>
      </c>
      <c r="G95" s="163">
        <f t="shared" si="1"/>
        <v>79.905499999999989</v>
      </c>
      <c r="H95" s="77" t="s">
        <v>522</v>
      </c>
    </row>
    <row r="96" spans="1:8" ht="18" customHeight="1" x14ac:dyDescent="0.25">
      <c r="A96" s="85">
        <v>95</v>
      </c>
      <c r="B96" s="86">
        <v>1</v>
      </c>
      <c r="C96" s="85">
        <f>_xlfn.XLOOKUP(E96,'🚛 FROTA'!B:B,'🚛 FROTA'!A:A,"")</f>
        <v>17</v>
      </c>
      <c r="D96" s="85" t="s">
        <v>1556</v>
      </c>
      <c r="E96" s="85" t="s">
        <v>119</v>
      </c>
      <c r="F96" s="58">
        <v>45778</v>
      </c>
      <c r="G96" s="162">
        <f t="shared" si="1"/>
        <v>79.905499999999989</v>
      </c>
      <c r="H96" s="77" t="s">
        <v>522</v>
      </c>
    </row>
    <row r="97" spans="1:8" ht="18" customHeight="1" x14ac:dyDescent="0.25">
      <c r="A97" s="84">
        <v>96</v>
      </c>
      <c r="B97" s="82">
        <v>1</v>
      </c>
      <c r="C97" s="84">
        <f>_xlfn.XLOOKUP(E97,'🚛 FROTA'!B:B,'🚛 FROTA'!A:A,"")</f>
        <v>20</v>
      </c>
      <c r="D97" s="84" t="s">
        <v>1556</v>
      </c>
      <c r="E97" s="84" t="s">
        <v>128</v>
      </c>
      <c r="F97" s="61">
        <v>45778</v>
      </c>
      <c r="G97" s="163">
        <f t="shared" si="1"/>
        <v>79.905499999999989</v>
      </c>
      <c r="H97" s="77" t="s">
        <v>522</v>
      </c>
    </row>
    <row r="98" spans="1:8" ht="18" customHeight="1" x14ac:dyDescent="0.25">
      <c r="A98" s="85">
        <v>97</v>
      </c>
      <c r="B98" s="86">
        <v>1</v>
      </c>
      <c r="C98" s="85">
        <f>_xlfn.XLOOKUP(E98,'🚛 FROTA'!B:B,'🚛 FROTA'!A:A,"")</f>
        <v>11</v>
      </c>
      <c r="D98" s="85" t="s">
        <v>1556</v>
      </c>
      <c r="E98" s="85" t="s">
        <v>104</v>
      </c>
      <c r="F98" s="58">
        <v>45809</v>
      </c>
      <c r="G98" s="162">
        <f t="shared" si="1"/>
        <v>79.905499999999989</v>
      </c>
      <c r="H98" s="77" t="s">
        <v>522</v>
      </c>
    </row>
    <row r="99" spans="1:8" ht="18" customHeight="1" x14ac:dyDescent="0.25">
      <c r="A99" s="84">
        <v>98</v>
      </c>
      <c r="B99" s="62">
        <v>1</v>
      </c>
      <c r="C99" s="84">
        <f>_xlfn.XLOOKUP(E99,'🚛 FROTA'!B:B,'🚛 FROTA'!A:A,"")</f>
        <v>41</v>
      </c>
      <c r="D99" s="84" t="s">
        <v>1556</v>
      </c>
      <c r="E99" s="84" t="s">
        <v>166</v>
      </c>
      <c r="F99" s="61">
        <v>45809</v>
      </c>
      <c r="G99" s="163">
        <f t="shared" si="1"/>
        <v>79.905499999999989</v>
      </c>
      <c r="H99" s="77" t="s">
        <v>522</v>
      </c>
    </row>
    <row r="100" spans="1:8" ht="18" customHeight="1" x14ac:dyDescent="0.25">
      <c r="A100" s="85">
        <v>99</v>
      </c>
      <c r="B100" s="86">
        <v>1</v>
      </c>
      <c r="C100" s="85">
        <f>_xlfn.XLOOKUP(E100,'🚛 FROTA'!B:B,'🚛 FROTA'!A:A,"")</f>
        <v>6</v>
      </c>
      <c r="D100" s="85" t="s">
        <v>1556</v>
      </c>
      <c r="E100" s="85" t="s">
        <v>85</v>
      </c>
      <c r="F100" s="58">
        <v>45809</v>
      </c>
      <c r="G100" s="162">
        <f t="shared" si="1"/>
        <v>79.905499999999989</v>
      </c>
      <c r="H100" s="77" t="s">
        <v>522</v>
      </c>
    </row>
    <row r="101" spans="1:8" ht="18" customHeight="1" x14ac:dyDescent="0.25">
      <c r="A101" s="84">
        <v>100</v>
      </c>
      <c r="B101" s="82">
        <v>1</v>
      </c>
      <c r="C101" s="84">
        <f>_xlfn.XLOOKUP(E101,'🚛 FROTA'!B:B,'🚛 FROTA'!A:A,"")</f>
        <v>8</v>
      </c>
      <c r="D101" s="84" t="s">
        <v>1556</v>
      </c>
      <c r="E101" s="84" t="s">
        <v>94</v>
      </c>
      <c r="F101" s="61">
        <v>45809</v>
      </c>
      <c r="G101" s="163">
        <f t="shared" si="1"/>
        <v>79.905499999999989</v>
      </c>
      <c r="H101" s="77" t="s">
        <v>522</v>
      </c>
    </row>
    <row r="102" spans="1:8" ht="18" customHeight="1" x14ac:dyDescent="0.25">
      <c r="A102" s="85">
        <v>101</v>
      </c>
      <c r="B102" s="86">
        <v>1</v>
      </c>
      <c r="C102" s="85">
        <f>_xlfn.XLOOKUP(E102,'🚛 FROTA'!B:B,'🚛 FROTA'!A:A,"")</f>
        <v>40</v>
      </c>
      <c r="D102" s="85" t="s">
        <v>1556</v>
      </c>
      <c r="E102" s="85" t="s">
        <v>165</v>
      </c>
      <c r="F102" s="58">
        <v>45809</v>
      </c>
      <c r="G102" s="162">
        <f t="shared" si="1"/>
        <v>79.905499999999989</v>
      </c>
      <c r="H102" s="77" t="s">
        <v>522</v>
      </c>
    </row>
    <row r="103" spans="1:8" ht="18" customHeight="1" x14ac:dyDescent="0.25">
      <c r="A103" s="85">
        <v>103</v>
      </c>
      <c r="B103" s="59">
        <v>1</v>
      </c>
      <c r="C103" s="85">
        <f>_xlfn.XLOOKUP(E103,'🚛 FROTA'!B:B,'🚛 FROTA'!A:A,"")</f>
        <v>5</v>
      </c>
      <c r="D103" s="85" t="s">
        <v>1556</v>
      </c>
      <c r="E103" s="85" t="s">
        <v>82</v>
      </c>
      <c r="F103" s="58">
        <v>45809</v>
      </c>
      <c r="G103" s="162">
        <f t="shared" si="1"/>
        <v>79.905499999999989</v>
      </c>
      <c r="H103" s="77" t="s">
        <v>522</v>
      </c>
    </row>
    <row r="104" spans="1:8" ht="18" customHeight="1" x14ac:dyDescent="0.25">
      <c r="A104" s="84">
        <v>104</v>
      </c>
      <c r="B104" s="62">
        <v>1</v>
      </c>
      <c r="C104" s="84">
        <f>_xlfn.XLOOKUP(E104,'🚛 FROTA'!B:B,'🚛 FROTA'!A:A,"")</f>
        <v>47</v>
      </c>
      <c r="D104" s="84" t="s">
        <v>1556</v>
      </c>
      <c r="E104" s="84" t="s">
        <v>174</v>
      </c>
      <c r="F104" s="61">
        <v>45809</v>
      </c>
      <c r="G104" s="163">
        <f t="shared" si="1"/>
        <v>79.905499999999989</v>
      </c>
      <c r="H104" s="77" t="s">
        <v>522</v>
      </c>
    </row>
    <row r="105" spans="1:8" ht="18" customHeight="1" x14ac:dyDescent="0.25">
      <c r="A105" s="85">
        <v>105</v>
      </c>
      <c r="B105" s="59">
        <v>1</v>
      </c>
      <c r="C105" s="85">
        <f>_xlfn.XLOOKUP(E105,'🚛 FROTA'!B:B,'🚛 FROTA'!A:A,"")</f>
        <v>34</v>
      </c>
      <c r="D105" s="85" t="s">
        <v>1556</v>
      </c>
      <c r="E105" s="85" t="s">
        <v>155</v>
      </c>
      <c r="F105" s="58">
        <v>45809</v>
      </c>
      <c r="G105" s="162">
        <f t="shared" si="1"/>
        <v>79.905499999999989</v>
      </c>
      <c r="H105" s="77" t="s">
        <v>522</v>
      </c>
    </row>
    <row r="106" spans="1:8" ht="18" customHeight="1" x14ac:dyDescent="0.25">
      <c r="A106" s="84">
        <v>106</v>
      </c>
      <c r="B106" s="62">
        <v>1</v>
      </c>
      <c r="C106" s="84">
        <f>_xlfn.XLOOKUP(E106,'🚛 FROTA'!B:B,'🚛 FROTA'!A:A,"")</f>
        <v>43</v>
      </c>
      <c r="D106" s="84" t="s">
        <v>1556</v>
      </c>
      <c r="E106" s="84" t="s">
        <v>169</v>
      </c>
      <c r="F106" s="61">
        <v>45809</v>
      </c>
      <c r="G106" s="163">
        <f t="shared" si="1"/>
        <v>79.905499999999989</v>
      </c>
      <c r="H106" s="77" t="s">
        <v>522</v>
      </c>
    </row>
    <row r="107" spans="1:8" ht="18" customHeight="1" x14ac:dyDescent="0.25">
      <c r="A107" s="85">
        <v>107</v>
      </c>
      <c r="B107" s="59">
        <v>1</v>
      </c>
      <c r="C107" s="85">
        <f>_xlfn.XLOOKUP(E107,'🚛 FROTA'!B:B,'🚛 FROTA'!A:A,"")</f>
        <v>44</v>
      </c>
      <c r="D107" s="85" t="s">
        <v>1556</v>
      </c>
      <c r="E107" s="85" t="s">
        <v>170</v>
      </c>
      <c r="F107" s="58">
        <v>45809</v>
      </c>
      <c r="G107" s="162">
        <f t="shared" ref="G107:G138" si="2">1598.11/20</f>
        <v>79.905499999999989</v>
      </c>
      <c r="H107" s="77" t="s">
        <v>522</v>
      </c>
    </row>
    <row r="108" spans="1:8" ht="18" customHeight="1" x14ac:dyDescent="0.25">
      <c r="A108" s="84">
        <v>108</v>
      </c>
      <c r="B108" s="62">
        <v>1</v>
      </c>
      <c r="C108" s="84">
        <f>_xlfn.XLOOKUP(E108,'🚛 FROTA'!B:B,'🚛 FROTA'!A:A,"")</f>
        <v>42</v>
      </c>
      <c r="D108" s="84" t="s">
        <v>1556</v>
      </c>
      <c r="E108" s="84" t="s">
        <v>167</v>
      </c>
      <c r="F108" s="61">
        <v>45809</v>
      </c>
      <c r="G108" s="163">
        <f t="shared" si="2"/>
        <v>79.905499999999989</v>
      </c>
      <c r="H108" s="77" t="s">
        <v>522</v>
      </c>
    </row>
    <row r="109" spans="1:8" ht="18" customHeight="1" x14ac:dyDescent="0.25">
      <c r="A109" s="85">
        <v>109</v>
      </c>
      <c r="B109" s="59">
        <v>1</v>
      </c>
      <c r="C109" s="85">
        <f>_xlfn.XLOOKUP(E109,'🚛 FROTA'!B:B,'🚛 FROTA'!A:A,"")</f>
        <v>46</v>
      </c>
      <c r="D109" s="85" t="s">
        <v>1556</v>
      </c>
      <c r="E109" s="85" t="s">
        <v>173</v>
      </c>
      <c r="F109" s="58">
        <v>45809</v>
      </c>
      <c r="G109" s="162">
        <f t="shared" si="2"/>
        <v>79.905499999999989</v>
      </c>
      <c r="H109" s="77" t="s">
        <v>522</v>
      </c>
    </row>
    <row r="110" spans="1:8" ht="18" customHeight="1" x14ac:dyDescent="0.25">
      <c r="A110" s="84">
        <v>110</v>
      </c>
      <c r="B110" s="62">
        <v>1</v>
      </c>
      <c r="C110" s="84">
        <f>_xlfn.XLOOKUP(E110,'🚛 FROTA'!B:B,'🚛 FROTA'!A:A,"")</f>
        <v>45</v>
      </c>
      <c r="D110" s="84" t="s">
        <v>1556</v>
      </c>
      <c r="E110" s="84" t="s">
        <v>172</v>
      </c>
      <c r="F110" s="61">
        <v>45809</v>
      </c>
      <c r="G110" s="163">
        <f t="shared" si="2"/>
        <v>79.905499999999989</v>
      </c>
      <c r="H110" s="77" t="s">
        <v>522</v>
      </c>
    </row>
    <row r="111" spans="1:8" ht="18" customHeight="1" x14ac:dyDescent="0.25">
      <c r="A111" s="85">
        <v>111</v>
      </c>
      <c r="B111" s="59">
        <v>1</v>
      </c>
      <c r="C111" s="85">
        <f>_xlfn.XLOOKUP(E111,'🚛 FROTA'!B:B,'🚛 FROTA'!A:A,"")</f>
        <v>24</v>
      </c>
      <c r="D111" s="85" t="s">
        <v>1556</v>
      </c>
      <c r="E111" s="85" t="s">
        <v>141</v>
      </c>
      <c r="F111" s="58">
        <v>45809</v>
      </c>
      <c r="G111" s="162">
        <f t="shared" si="2"/>
        <v>79.905499999999989</v>
      </c>
      <c r="H111" s="77" t="s">
        <v>522</v>
      </c>
    </row>
    <row r="112" spans="1:8" ht="18" customHeight="1" x14ac:dyDescent="0.25">
      <c r="A112" s="84">
        <v>112</v>
      </c>
      <c r="B112" s="62">
        <v>1</v>
      </c>
      <c r="C112" s="84">
        <f>_xlfn.XLOOKUP(E112,'🚛 FROTA'!B:B,'🚛 FROTA'!A:A,"")</f>
        <v>39</v>
      </c>
      <c r="D112" s="84" t="s">
        <v>1556</v>
      </c>
      <c r="E112" s="84" t="s">
        <v>162</v>
      </c>
      <c r="F112" s="61">
        <v>45809</v>
      </c>
      <c r="G112" s="163">
        <f t="shared" si="2"/>
        <v>79.905499999999989</v>
      </c>
      <c r="H112" s="77" t="s">
        <v>522</v>
      </c>
    </row>
    <row r="113" spans="1:8" ht="18" customHeight="1" x14ac:dyDescent="0.25">
      <c r="A113" s="85">
        <v>113</v>
      </c>
      <c r="B113" s="59">
        <v>1</v>
      </c>
      <c r="C113" s="85">
        <f>_xlfn.XLOOKUP(E113,'🚛 FROTA'!B:B,'🚛 FROTA'!A:A,"")</f>
        <v>17</v>
      </c>
      <c r="D113" s="85" t="s">
        <v>1556</v>
      </c>
      <c r="E113" s="85" t="s">
        <v>119</v>
      </c>
      <c r="F113" s="58">
        <v>45809</v>
      </c>
      <c r="G113" s="162">
        <f t="shared" si="2"/>
        <v>79.905499999999989</v>
      </c>
      <c r="H113" s="77" t="s">
        <v>522</v>
      </c>
    </row>
    <row r="114" spans="1:8" ht="18" customHeight="1" x14ac:dyDescent="0.25">
      <c r="A114" s="84">
        <v>114</v>
      </c>
      <c r="B114" s="62">
        <v>1</v>
      </c>
      <c r="C114" s="84">
        <f>_xlfn.XLOOKUP(E114,'🚛 FROTA'!B:B,'🚛 FROTA'!A:A,"")</f>
        <v>20</v>
      </c>
      <c r="D114" s="84" t="s">
        <v>1556</v>
      </c>
      <c r="E114" s="84" t="s">
        <v>128</v>
      </c>
      <c r="F114" s="61">
        <v>45809</v>
      </c>
      <c r="G114" s="163">
        <f t="shared" si="2"/>
        <v>79.905499999999989</v>
      </c>
      <c r="H114" s="77" t="s">
        <v>522</v>
      </c>
    </row>
    <row r="115" spans="1:8" ht="18" customHeight="1" x14ac:dyDescent="0.25">
      <c r="A115" s="85">
        <v>115</v>
      </c>
      <c r="B115" s="59">
        <v>1</v>
      </c>
      <c r="C115" s="85">
        <f>_xlfn.XLOOKUP(E115,'🚛 FROTA'!B:B,'🚛 FROTA'!A:A,"")</f>
        <v>11</v>
      </c>
      <c r="D115" s="85" t="s">
        <v>1556</v>
      </c>
      <c r="E115" s="85" t="s">
        <v>104</v>
      </c>
      <c r="F115" s="58">
        <v>45839</v>
      </c>
      <c r="G115" s="162">
        <f t="shared" si="2"/>
        <v>79.905499999999989</v>
      </c>
      <c r="H115" s="77" t="s">
        <v>522</v>
      </c>
    </row>
    <row r="116" spans="1:8" ht="18" customHeight="1" x14ac:dyDescent="0.25">
      <c r="A116" s="84">
        <v>116</v>
      </c>
      <c r="B116" s="62">
        <v>1</v>
      </c>
      <c r="C116" s="84">
        <f>_xlfn.XLOOKUP(E116,'🚛 FROTA'!B:B,'🚛 FROTA'!A:A,"")</f>
        <v>41</v>
      </c>
      <c r="D116" s="84" t="s">
        <v>1556</v>
      </c>
      <c r="E116" s="84" t="s">
        <v>166</v>
      </c>
      <c r="F116" s="61">
        <v>45839</v>
      </c>
      <c r="G116" s="163">
        <f t="shared" si="2"/>
        <v>79.905499999999989</v>
      </c>
      <c r="H116" s="77" t="s">
        <v>522</v>
      </c>
    </row>
    <row r="117" spans="1:8" ht="18" customHeight="1" x14ac:dyDescent="0.25">
      <c r="A117" s="85">
        <v>117</v>
      </c>
      <c r="B117" s="59">
        <v>1</v>
      </c>
      <c r="C117" s="85">
        <f>_xlfn.XLOOKUP(E117,'🚛 FROTA'!B:B,'🚛 FROTA'!A:A,"")</f>
        <v>6</v>
      </c>
      <c r="D117" s="85" t="s">
        <v>1556</v>
      </c>
      <c r="E117" s="85" t="s">
        <v>85</v>
      </c>
      <c r="F117" s="58">
        <v>45839</v>
      </c>
      <c r="G117" s="162">
        <f t="shared" si="2"/>
        <v>79.905499999999989</v>
      </c>
      <c r="H117" s="77" t="s">
        <v>522</v>
      </c>
    </row>
    <row r="118" spans="1:8" ht="18" customHeight="1" x14ac:dyDescent="0.25">
      <c r="A118" s="84">
        <v>118</v>
      </c>
      <c r="B118" s="62">
        <v>1</v>
      </c>
      <c r="C118" s="84">
        <f>_xlfn.XLOOKUP(E118,'🚛 FROTA'!B:B,'🚛 FROTA'!A:A,"")</f>
        <v>8</v>
      </c>
      <c r="D118" s="84" t="s">
        <v>1556</v>
      </c>
      <c r="E118" s="84" t="s">
        <v>94</v>
      </c>
      <c r="F118" s="61">
        <v>45839</v>
      </c>
      <c r="G118" s="163">
        <f t="shared" si="2"/>
        <v>79.905499999999989</v>
      </c>
      <c r="H118" s="77" t="s">
        <v>522</v>
      </c>
    </row>
    <row r="119" spans="1:8" ht="18" customHeight="1" x14ac:dyDescent="0.25">
      <c r="A119" s="85">
        <v>119</v>
      </c>
      <c r="B119" s="59">
        <v>1</v>
      </c>
      <c r="C119" s="85">
        <f>_xlfn.XLOOKUP(E119,'🚛 FROTA'!B:B,'🚛 FROTA'!A:A,"")</f>
        <v>40</v>
      </c>
      <c r="D119" s="85" t="s">
        <v>1556</v>
      </c>
      <c r="E119" s="85" t="s">
        <v>165</v>
      </c>
      <c r="F119" s="58">
        <v>45839</v>
      </c>
      <c r="G119" s="162">
        <f t="shared" si="2"/>
        <v>79.905499999999989</v>
      </c>
      <c r="H119" s="77" t="s">
        <v>522</v>
      </c>
    </row>
    <row r="120" spans="1:8" ht="18" customHeight="1" x14ac:dyDescent="0.25">
      <c r="A120" s="85">
        <v>121</v>
      </c>
      <c r="B120" s="59">
        <v>1</v>
      </c>
      <c r="C120" s="85">
        <f>_xlfn.XLOOKUP(E120,'🚛 FROTA'!B:B,'🚛 FROTA'!A:A,"")</f>
        <v>5</v>
      </c>
      <c r="D120" s="85" t="s">
        <v>1556</v>
      </c>
      <c r="E120" s="85" t="s">
        <v>82</v>
      </c>
      <c r="F120" s="58">
        <v>45839</v>
      </c>
      <c r="G120" s="162">
        <f t="shared" si="2"/>
        <v>79.905499999999989</v>
      </c>
      <c r="H120" s="77" t="s">
        <v>522</v>
      </c>
    </row>
    <row r="121" spans="1:8" ht="18" customHeight="1" x14ac:dyDescent="0.25">
      <c r="A121" s="84">
        <v>122</v>
      </c>
      <c r="B121" s="62">
        <v>1</v>
      </c>
      <c r="C121" s="84">
        <f>_xlfn.XLOOKUP(E121,'🚛 FROTA'!B:B,'🚛 FROTA'!A:A,"")</f>
        <v>47</v>
      </c>
      <c r="D121" s="84" t="s">
        <v>1556</v>
      </c>
      <c r="E121" s="84" t="s">
        <v>174</v>
      </c>
      <c r="F121" s="61">
        <v>45839</v>
      </c>
      <c r="G121" s="163">
        <f t="shared" si="2"/>
        <v>79.905499999999989</v>
      </c>
      <c r="H121" s="77" t="s">
        <v>522</v>
      </c>
    </row>
    <row r="122" spans="1:8" ht="18" customHeight="1" x14ac:dyDescent="0.25">
      <c r="A122" s="85">
        <v>123</v>
      </c>
      <c r="B122" s="59">
        <v>1</v>
      </c>
      <c r="C122" s="85">
        <f>_xlfn.XLOOKUP(E122,'🚛 FROTA'!B:B,'🚛 FROTA'!A:A,"")</f>
        <v>34</v>
      </c>
      <c r="D122" s="85" t="s">
        <v>1556</v>
      </c>
      <c r="E122" s="85" t="s">
        <v>155</v>
      </c>
      <c r="F122" s="58">
        <v>45839</v>
      </c>
      <c r="G122" s="162">
        <f t="shared" si="2"/>
        <v>79.905499999999989</v>
      </c>
      <c r="H122" s="77" t="s">
        <v>522</v>
      </c>
    </row>
    <row r="123" spans="1:8" ht="18" customHeight="1" x14ac:dyDescent="0.25">
      <c r="A123" s="84">
        <v>124</v>
      </c>
      <c r="B123" s="62">
        <v>1</v>
      </c>
      <c r="C123" s="84">
        <f>_xlfn.XLOOKUP(E123,'🚛 FROTA'!B:B,'🚛 FROTA'!A:A,"")</f>
        <v>43</v>
      </c>
      <c r="D123" s="84" t="s">
        <v>1556</v>
      </c>
      <c r="E123" s="84" t="s">
        <v>169</v>
      </c>
      <c r="F123" s="61">
        <v>45839</v>
      </c>
      <c r="G123" s="163">
        <f t="shared" si="2"/>
        <v>79.905499999999989</v>
      </c>
      <c r="H123" s="77" t="s">
        <v>522</v>
      </c>
    </row>
    <row r="124" spans="1:8" ht="18" customHeight="1" x14ac:dyDescent="0.25">
      <c r="A124" s="85">
        <v>125</v>
      </c>
      <c r="B124" s="59">
        <v>1</v>
      </c>
      <c r="C124" s="85">
        <f>_xlfn.XLOOKUP(E124,'🚛 FROTA'!B:B,'🚛 FROTA'!A:A,"")</f>
        <v>44</v>
      </c>
      <c r="D124" s="85" t="s">
        <v>1556</v>
      </c>
      <c r="E124" s="85" t="s">
        <v>170</v>
      </c>
      <c r="F124" s="58">
        <v>45839</v>
      </c>
      <c r="G124" s="162">
        <f t="shared" si="2"/>
        <v>79.905499999999989</v>
      </c>
      <c r="H124" s="77" t="s">
        <v>522</v>
      </c>
    </row>
    <row r="125" spans="1:8" ht="18" customHeight="1" x14ac:dyDescent="0.25">
      <c r="A125" s="84">
        <v>126</v>
      </c>
      <c r="B125" s="62">
        <v>1</v>
      </c>
      <c r="C125" s="84">
        <f>_xlfn.XLOOKUP(E125,'🚛 FROTA'!B:B,'🚛 FROTA'!A:A,"")</f>
        <v>42</v>
      </c>
      <c r="D125" s="84" t="s">
        <v>1556</v>
      </c>
      <c r="E125" s="84" t="s">
        <v>167</v>
      </c>
      <c r="F125" s="61">
        <v>45839</v>
      </c>
      <c r="G125" s="163">
        <f t="shared" si="2"/>
        <v>79.905499999999989</v>
      </c>
      <c r="H125" s="77" t="s">
        <v>522</v>
      </c>
    </row>
    <row r="126" spans="1:8" ht="18" customHeight="1" x14ac:dyDescent="0.25">
      <c r="A126" s="85">
        <v>127</v>
      </c>
      <c r="B126" s="59">
        <v>1</v>
      </c>
      <c r="C126" s="85">
        <f>_xlfn.XLOOKUP(E126,'🚛 FROTA'!B:B,'🚛 FROTA'!A:A,"")</f>
        <v>46</v>
      </c>
      <c r="D126" s="85" t="s">
        <v>1556</v>
      </c>
      <c r="E126" s="85" t="s">
        <v>173</v>
      </c>
      <c r="F126" s="58">
        <v>45839</v>
      </c>
      <c r="G126" s="162">
        <f t="shared" si="2"/>
        <v>79.905499999999989</v>
      </c>
      <c r="H126" s="77" t="s">
        <v>522</v>
      </c>
    </row>
    <row r="127" spans="1:8" ht="18" customHeight="1" x14ac:dyDescent="0.25">
      <c r="A127" s="84">
        <v>128</v>
      </c>
      <c r="B127" s="62">
        <v>1</v>
      </c>
      <c r="C127" s="84">
        <f>_xlfn.XLOOKUP(E127,'🚛 FROTA'!B:B,'🚛 FROTA'!A:A,"")</f>
        <v>45</v>
      </c>
      <c r="D127" s="84" t="s">
        <v>1556</v>
      </c>
      <c r="E127" s="84" t="s">
        <v>172</v>
      </c>
      <c r="F127" s="61">
        <v>45839</v>
      </c>
      <c r="G127" s="163">
        <f t="shared" si="2"/>
        <v>79.905499999999989</v>
      </c>
      <c r="H127" s="77" t="s">
        <v>522</v>
      </c>
    </row>
    <row r="128" spans="1:8" ht="18" customHeight="1" x14ac:dyDescent="0.25">
      <c r="A128" s="85">
        <v>129</v>
      </c>
      <c r="B128" s="59">
        <v>1</v>
      </c>
      <c r="C128" s="85">
        <f>_xlfn.XLOOKUP(E128,'🚛 FROTA'!B:B,'🚛 FROTA'!A:A,"")</f>
        <v>24</v>
      </c>
      <c r="D128" s="85" t="s">
        <v>1556</v>
      </c>
      <c r="E128" s="85" t="s">
        <v>141</v>
      </c>
      <c r="F128" s="58">
        <v>45839</v>
      </c>
      <c r="G128" s="162">
        <f t="shared" si="2"/>
        <v>79.905499999999989</v>
      </c>
      <c r="H128" s="77" t="s">
        <v>522</v>
      </c>
    </row>
    <row r="129" spans="1:8" ht="18" customHeight="1" x14ac:dyDescent="0.25">
      <c r="A129" s="84">
        <v>130</v>
      </c>
      <c r="B129" s="62">
        <v>1</v>
      </c>
      <c r="C129" s="84">
        <f>_xlfn.XLOOKUP(E129,'🚛 FROTA'!B:B,'🚛 FROTA'!A:A,"")</f>
        <v>39</v>
      </c>
      <c r="D129" s="84" t="s">
        <v>1556</v>
      </c>
      <c r="E129" s="84" t="s">
        <v>162</v>
      </c>
      <c r="F129" s="61">
        <v>45839</v>
      </c>
      <c r="G129" s="163">
        <f t="shared" si="2"/>
        <v>79.905499999999989</v>
      </c>
      <c r="H129" s="77" t="s">
        <v>522</v>
      </c>
    </row>
    <row r="130" spans="1:8" ht="18" customHeight="1" x14ac:dyDescent="0.25">
      <c r="A130" s="85">
        <v>131</v>
      </c>
      <c r="B130" s="59">
        <v>1</v>
      </c>
      <c r="C130" s="85">
        <f>_xlfn.XLOOKUP(E130,'🚛 FROTA'!B:B,'🚛 FROTA'!A:A,"")</f>
        <v>17</v>
      </c>
      <c r="D130" s="85" t="s">
        <v>1556</v>
      </c>
      <c r="E130" s="85" t="s">
        <v>119</v>
      </c>
      <c r="F130" s="58">
        <v>45839</v>
      </c>
      <c r="G130" s="162">
        <f t="shared" si="2"/>
        <v>79.905499999999989</v>
      </c>
      <c r="H130" s="77" t="s">
        <v>522</v>
      </c>
    </row>
    <row r="131" spans="1:8" ht="18" customHeight="1" x14ac:dyDescent="0.25">
      <c r="A131" s="84">
        <v>132</v>
      </c>
      <c r="B131" s="62">
        <v>1</v>
      </c>
      <c r="C131" s="84">
        <f>_xlfn.XLOOKUP(E131,'🚛 FROTA'!B:B,'🚛 FROTA'!A:A,"")</f>
        <v>20</v>
      </c>
      <c r="D131" s="84" t="s">
        <v>1556</v>
      </c>
      <c r="E131" s="84" t="s">
        <v>128</v>
      </c>
      <c r="F131" s="61">
        <v>45839</v>
      </c>
      <c r="G131" s="163">
        <f t="shared" si="2"/>
        <v>79.905499999999989</v>
      </c>
      <c r="H131" s="77" t="s">
        <v>522</v>
      </c>
    </row>
    <row r="132" spans="1:8" ht="18" customHeight="1" x14ac:dyDescent="0.25">
      <c r="A132" s="85">
        <v>133</v>
      </c>
      <c r="B132" s="59">
        <v>1</v>
      </c>
      <c r="C132" s="85">
        <f>_xlfn.XLOOKUP(E132,'🚛 FROTA'!B:B,'🚛 FROTA'!A:A,"")</f>
        <v>11</v>
      </c>
      <c r="D132" s="85" t="s">
        <v>1556</v>
      </c>
      <c r="E132" s="85" t="s">
        <v>104</v>
      </c>
      <c r="F132" s="58">
        <v>45870</v>
      </c>
      <c r="G132" s="162">
        <f t="shared" si="2"/>
        <v>79.905499999999989</v>
      </c>
      <c r="H132" s="77" t="s">
        <v>522</v>
      </c>
    </row>
    <row r="133" spans="1:8" ht="18" customHeight="1" x14ac:dyDescent="0.25">
      <c r="A133" s="84">
        <v>134</v>
      </c>
      <c r="B133" s="62">
        <v>1</v>
      </c>
      <c r="C133" s="84">
        <f>_xlfn.XLOOKUP(E133,'🚛 FROTA'!B:B,'🚛 FROTA'!A:A,"")</f>
        <v>41</v>
      </c>
      <c r="D133" s="84" t="s">
        <v>1556</v>
      </c>
      <c r="E133" s="84" t="s">
        <v>166</v>
      </c>
      <c r="F133" s="61">
        <v>45870</v>
      </c>
      <c r="G133" s="163">
        <f t="shared" si="2"/>
        <v>79.905499999999989</v>
      </c>
      <c r="H133" s="77" t="s">
        <v>522</v>
      </c>
    </row>
    <row r="134" spans="1:8" ht="18" customHeight="1" x14ac:dyDescent="0.25">
      <c r="A134" s="85">
        <v>135</v>
      </c>
      <c r="B134" s="59">
        <v>1</v>
      </c>
      <c r="C134" s="85">
        <f>_xlfn.XLOOKUP(E134,'🚛 FROTA'!B:B,'🚛 FROTA'!A:A,"")</f>
        <v>6</v>
      </c>
      <c r="D134" s="85" t="s">
        <v>1556</v>
      </c>
      <c r="E134" s="85" t="s">
        <v>85</v>
      </c>
      <c r="F134" s="58">
        <v>45870</v>
      </c>
      <c r="G134" s="162">
        <f t="shared" si="2"/>
        <v>79.905499999999989</v>
      </c>
      <c r="H134" s="77" t="s">
        <v>522</v>
      </c>
    </row>
    <row r="135" spans="1:8" ht="18" customHeight="1" x14ac:dyDescent="0.25">
      <c r="A135" s="84">
        <v>136</v>
      </c>
      <c r="B135" s="62">
        <v>1</v>
      </c>
      <c r="C135" s="84">
        <f>_xlfn.XLOOKUP(E135,'🚛 FROTA'!B:B,'🚛 FROTA'!A:A,"")</f>
        <v>8</v>
      </c>
      <c r="D135" s="84" t="s">
        <v>1556</v>
      </c>
      <c r="E135" s="84" t="s">
        <v>94</v>
      </c>
      <c r="F135" s="61">
        <v>45870</v>
      </c>
      <c r="G135" s="163">
        <f t="shared" si="2"/>
        <v>79.905499999999989</v>
      </c>
      <c r="H135" s="77" t="s">
        <v>522</v>
      </c>
    </row>
    <row r="136" spans="1:8" ht="18" customHeight="1" x14ac:dyDescent="0.25">
      <c r="A136" s="85">
        <v>137</v>
      </c>
      <c r="B136" s="59">
        <v>1</v>
      </c>
      <c r="C136" s="85">
        <f>_xlfn.XLOOKUP(E136,'🚛 FROTA'!B:B,'🚛 FROTA'!A:A,"")</f>
        <v>40</v>
      </c>
      <c r="D136" s="85" t="s">
        <v>1556</v>
      </c>
      <c r="E136" s="85" t="s">
        <v>165</v>
      </c>
      <c r="F136" s="58">
        <v>45870</v>
      </c>
      <c r="G136" s="162">
        <f t="shared" si="2"/>
        <v>79.905499999999989</v>
      </c>
      <c r="H136" s="77" t="s">
        <v>522</v>
      </c>
    </row>
    <row r="137" spans="1:8" ht="18" customHeight="1" x14ac:dyDescent="0.25">
      <c r="A137" s="85">
        <v>139</v>
      </c>
      <c r="B137" s="59">
        <v>1</v>
      </c>
      <c r="C137" s="85">
        <f>_xlfn.XLOOKUP(E137,'🚛 FROTA'!B:B,'🚛 FROTA'!A:A,"")</f>
        <v>5</v>
      </c>
      <c r="D137" s="85" t="s">
        <v>1556</v>
      </c>
      <c r="E137" s="85" t="s">
        <v>82</v>
      </c>
      <c r="F137" s="58">
        <v>45870</v>
      </c>
      <c r="G137" s="162">
        <f t="shared" si="2"/>
        <v>79.905499999999989</v>
      </c>
      <c r="H137" s="77" t="s">
        <v>522</v>
      </c>
    </row>
    <row r="138" spans="1:8" ht="18" customHeight="1" x14ac:dyDescent="0.25">
      <c r="A138" s="84">
        <v>140</v>
      </c>
      <c r="B138" s="62">
        <v>1</v>
      </c>
      <c r="C138" s="84">
        <f>_xlfn.XLOOKUP(E138,'🚛 FROTA'!B:B,'🚛 FROTA'!A:A,"")</f>
        <v>47</v>
      </c>
      <c r="D138" s="84" t="s">
        <v>1556</v>
      </c>
      <c r="E138" s="84" t="s">
        <v>174</v>
      </c>
      <c r="F138" s="61">
        <v>45870</v>
      </c>
      <c r="G138" s="163">
        <f t="shared" si="2"/>
        <v>79.905499999999989</v>
      </c>
      <c r="H138" s="77" t="s">
        <v>522</v>
      </c>
    </row>
    <row r="139" spans="1:8" ht="18" customHeight="1" x14ac:dyDescent="0.25">
      <c r="A139" s="85">
        <v>141</v>
      </c>
      <c r="B139" s="59">
        <v>1</v>
      </c>
      <c r="C139" s="85">
        <f>_xlfn.XLOOKUP(E139,'🚛 FROTA'!B:B,'🚛 FROTA'!A:A,"")</f>
        <v>34</v>
      </c>
      <c r="D139" s="85" t="s">
        <v>1556</v>
      </c>
      <c r="E139" s="85" t="s">
        <v>155</v>
      </c>
      <c r="F139" s="58">
        <v>45870</v>
      </c>
      <c r="G139" s="162">
        <f t="shared" ref="G139:G165" si="3">1598.11/20</f>
        <v>79.905499999999989</v>
      </c>
      <c r="H139" s="77" t="s">
        <v>522</v>
      </c>
    </row>
    <row r="140" spans="1:8" ht="18" customHeight="1" x14ac:dyDescent="0.25">
      <c r="A140" s="84">
        <v>142</v>
      </c>
      <c r="B140" s="62">
        <v>1</v>
      </c>
      <c r="C140" s="84">
        <f>_xlfn.XLOOKUP(E140,'🚛 FROTA'!B:B,'🚛 FROTA'!A:A,"")</f>
        <v>43</v>
      </c>
      <c r="D140" s="84" t="s">
        <v>1556</v>
      </c>
      <c r="E140" s="84" t="s">
        <v>169</v>
      </c>
      <c r="F140" s="61">
        <v>45870</v>
      </c>
      <c r="G140" s="163">
        <f t="shared" si="3"/>
        <v>79.905499999999989</v>
      </c>
      <c r="H140" s="77" t="s">
        <v>522</v>
      </c>
    </row>
    <row r="141" spans="1:8" ht="18" customHeight="1" x14ac:dyDescent="0.25">
      <c r="A141" s="85">
        <v>143</v>
      </c>
      <c r="B141" s="59">
        <v>1</v>
      </c>
      <c r="C141" s="85">
        <f>_xlfn.XLOOKUP(E141,'🚛 FROTA'!B:B,'🚛 FROTA'!A:A,"")</f>
        <v>44</v>
      </c>
      <c r="D141" s="85" t="s">
        <v>1556</v>
      </c>
      <c r="E141" s="85" t="s">
        <v>170</v>
      </c>
      <c r="F141" s="58">
        <v>45870</v>
      </c>
      <c r="G141" s="162">
        <f t="shared" si="3"/>
        <v>79.905499999999989</v>
      </c>
      <c r="H141" s="77" t="s">
        <v>522</v>
      </c>
    </row>
    <row r="142" spans="1:8" ht="18" customHeight="1" x14ac:dyDescent="0.25">
      <c r="A142" s="84">
        <v>144</v>
      </c>
      <c r="B142" s="62">
        <v>1</v>
      </c>
      <c r="C142" s="84">
        <f>_xlfn.XLOOKUP(E142,'🚛 FROTA'!B:B,'🚛 FROTA'!A:A,"")</f>
        <v>42</v>
      </c>
      <c r="D142" s="84" t="s">
        <v>1556</v>
      </c>
      <c r="E142" s="84" t="s">
        <v>167</v>
      </c>
      <c r="F142" s="61">
        <v>45870</v>
      </c>
      <c r="G142" s="163">
        <f t="shared" si="3"/>
        <v>79.905499999999989</v>
      </c>
      <c r="H142" s="77" t="s">
        <v>522</v>
      </c>
    </row>
    <row r="143" spans="1:8" ht="18" customHeight="1" x14ac:dyDescent="0.25">
      <c r="A143" s="85">
        <v>145</v>
      </c>
      <c r="B143" s="59">
        <v>1</v>
      </c>
      <c r="C143" s="85">
        <f>_xlfn.XLOOKUP(E143,'🚛 FROTA'!B:B,'🚛 FROTA'!A:A,"")</f>
        <v>46</v>
      </c>
      <c r="D143" s="85" t="s">
        <v>1556</v>
      </c>
      <c r="E143" s="85" t="s">
        <v>173</v>
      </c>
      <c r="F143" s="58">
        <v>45870</v>
      </c>
      <c r="G143" s="162">
        <f t="shared" si="3"/>
        <v>79.905499999999989</v>
      </c>
      <c r="H143" s="77" t="s">
        <v>522</v>
      </c>
    </row>
    <row r="144" spans="1:8" ht="18" customHeight="1" x14ac:dyDescent="0.25">
      <c r="A144" s="84">
        <v>146</v>
      </c>
      <c r="B144" s="62">
        <v>1</v>
      </c>
      <c r="C144" s="84">
        <f>_xlfn.XLOOKUP(E144,'🚛 FROTA'!B:B,'🚛 FROTA'!A:A,"")</f>
        <v>45</v>
      </c>
      <c r="D144" s="84" t="s">
        <v>1556</v>
      </c>
      <c r="E144" s="84" t="s">
        <v>172</v>
      </c>
      <c r="F144" s="61">
        <v>45870</v>
      </c>
      <c r="G144" s="163">
        <f t="shared" si="3"/>
        <v>79.905499999999989</v>
      </c>
      <c r="H144" s="77" t="s">
        <v>522</v>
      </c>
    </row>
    <row r="145" spans="1:8" ht="18" customHeight="1" x14ac:dyDescent="0.25">
      <c r="A145" s="85">
        <v>147</v>
      </c>
      <c r="B145" s="59">
        <v>1</v>
      </c>
      <c r="C145" s="85">
        <f>_xlfn.XLOOKUP(E145,'🚛 FROTA'!B:B,'🚛 FROTA'!A:A,"")</f>
        <v>24</v>
      </c>
      <c r="D145" s="85" t="s">
        <v>1556</v>
      </c>
      <c r="E145" s="85" t="s">
        <v>141</v>
      </c>
      <c r="F145" s="58">
        <v>45870</v>
      </c>
      <c r="G145" s="162">
        <f t="shared" si="3"/>
        <v>79.905499999999989</v>
      </c>
      <c r="H145" s="77" t="s">
        <v>522</v>
      </c>
    </row>
    <row r="146" spans="1:8" ht="18" customHeight="1" x14ac:dyDescent="0.25">
      <c r="A146" s="84">
        <v>148</v>
      </c>
      <c r="B146" s="62">
        <v>1</v>
      </c>
      <c r="C146" s="84">
        <f>_xlfn.XLOOKUP(E146,'🚛 FROTA'!B:B,'🚛 FROTA'!A:A,"")</f>
        <v>39</v>
      </c>
      <c r="D146" s="84" t="s">
        <v>1556</v>
      </c>
      <c r="E146" s="84" t="s">
        <v>162</v>
      </c>
      <c r="F146" s="61">
        <v>45870</v>
      </c>
      <c r="G146" s="163">
        <f t="shared" si="3"/>
        <v>79.905499999999989</v>
      </c>
      <c r="H146" s="77" t="s">
        <v>522</v>
      </c>
    </row>
    <row r="147" spans="1:8" ht="18" customHeight="1" x14ac:dyDescent="0.25">
      <c r="A147" s="85">
        <v>149</v>
      </c>
      <c r="B147" s="59">
        <v>1</v>
      </c>
      <c r="C147" s="85">
        <f>_xlfn.XLOOKUP(E147,'🚛 FROTA'!B:B,'🚛 FROTA'!A:A,"")</f>
        <v>17</v>
      </c>
      <c r="D147" s="85" t="s">
        <v>1556</v>
      </c>
      <c r="E147" s="85" t="s">
        <v>119</v>
      </c>
      <c r="F147" s="58">
        <v>45870</v>
      </c>
      <c r="G147" s="162">
        <f t="shared" si="3"/>
        <v>79.905499999999989</v>
      </c>
      <c r="H147" s="77" t="s">
        <v>522</v>
      </c>
    </row>
    <row r="148" spans="1:8" ht="18" customHeight="1" x14ac:dyDescent="0.25">
      <c r="A148" s="84">
        <v>150</v>
      </c>
      <c r="B148" s="62">
        <v>1</v>
      </c>
      <c r="C148" s="84">
        <f>_xlfn.XLOOKUP(E148,'🚛 FROTA'!B:B,'🚛 FROTA'!A:A,"")</f>
        <v>20</v>
      </c>
      <c r="D148" s="84" t="s">
        <v>1556</v>
      </c>
      <c r="E148" s="84" t="s">
        <v>128</v>
      </c>
      <c r="F148" s="61">
        <v>45870</v>
      </c>
      <c r="G148" s="163">
        <f t="shared" si="3"/>
        <v>79.905499999999989</v>
      </c>
      <c r="H148" s="77" t="s">
        <v>522</v>
      </c>
    </row>
    <row r="149" spans="1:8" ht="18" customHeight="1" x14ac:dyDescent="0.25">
      <c r="A149" s="85">
        <v>151</v>
      </c>
      <c r="B149" s="59">
        <v>1</v>
      </c>
      <c r="C149" s="85">
        <f>_xlfn.XLOOKUP(E149,'🚛 FROTA'!B:B,'🚛 FROTA'!A:A,"")</f>
        <v>11</v>
      </c>
      <c r="D149" s="85" t="s">
        <v>1556</v>
      </c>
      <c r="E149" s="85" t="s">
        <v>104</v>
      </c>
      <c r="F149" s="58">
        <v>45901</v>
      </c>
      <c r="G149" s="162">
        <f t="shared" si="3"/>
        <v>79.905499999999989</v>
      </c>
      <c r="H149" s="77" t="s">
        <v>522</v>
      </c>
    </row>
    <row r="150" spans="1:8" ht="18" customHeight="1" x14ac:dyDescent="0.25">
      <c r="A150" s="84">
        <v>152</v>
      </c>
      <c r="B150" s="62">
        <v>1</v>
      </c>
      <c r="C150" s="84">
        <f>_xlfn.XLOOKUP(E150,'🚛 FROTA'!B:B,'🚛 FROTA'!A:A,"")</f>
        <v>41</v>
      </c>
      <c r="D150" s="84" t="s">
        <v>1556</v>
      </c>
      <c r="E150" s="84" t="s">
        <v>166</v>
      </c>
      <c r="F150" s="61">
        <v>45901</v>
      </c>
      <c r="G150" s="163">
        <f t="shared" si="3"/>
        <v>79.905499999999989</v>
      </c>
      <c r="H150" s="77" t="s">
        <v>522</v>
      </c>
    </row>
    <row r="151" spans="1:8" ht="18" customHeight="1" x14ac:dyDescent="0.25">
      <c r="A151" s="85">
        <v>153</v>
      </c>
      <c r="B151" s="59">
        <v>1</v>
      </c>
      <c r="C151" s="85">
        <f>_xlfn.XLOOKUP(E151,'🚛 FROTA'!B:B,'🚛 FROTA'!A:A,"")</f>
        <v>6</v>
      </c>
      <c r="D151" s="85" t="s">
        <v>1556</v>
      </c>
      <c r="E151" s="85" t="s">
        <v>85</v>
      </c>
      <c r="F151" s="58">
        <v>45901</v>
      </c>
      <c r="G151" s="162">
        <f t="shared" si="3"/>
        <v>79.905499999999989</v>
      </c>
      <c r="H151" s="77" t="s">
        <v>522</v>
      </c>
    </row>
    <row r="152" spans="1:8" ht="18" customHeight="1" x14ac:dyDescent="0.25">
      <c r="A152" s="84">
        <v>154</v>
      </c>
      <c r="B152" s="62">
        <v>1</v>
      </c>
      <c r="C152" s="84">
        <f>_xlfn.XLOOKUP(E152,'🚛 FROTA'!B:B,'🚛 FROTA'!A:A,"")</f>
        <v>8</v>
      </c>
      <c r="D152" s="84" t="s">
        <v>1556</v>
      </c>
      <c r="E152" s="84" t="s">
        <v>94</v>
      </c>
      <c r="F152" s="61">
        <v>45901</v>
      </c>
      <c r="G152" s="163">
        <f t="shared" si="3"/>
        <v>79.905499999999989</v>
      </c>
      <c r="H152" s="77" t="s">
        <v>522</v>
      </c>
    </row>
    <row r="153" spans="1:8" ht="18" customHeight="1" x14ac:dyDescent="0.25">
      <c r="A153" s="85">
        <v>155</v>
      </c>
      <c r="B153" s="59">
        <v>1</v>
      </c>
      <c r="C153" s="85">
        <f>_xlfn.XLOOKUP(E153,'🚛 FROTA'!B:B,'🚛 FROTA'!A:A,"")</f>
        <v>40</v>
      </c>
      <c r="D153" s="85" t="s">
        <v>1556</v>
      </c>
      <c r="E153" s="85" t="s">
        <v>165</v>
      </c>
      <c r="F153" s="58">
        <v>45901</v>
      </c>
      <c r="G153" s="162">
        <f t="shared" si="3"/>
        <v>79.905499999999989</v>
      </c>
      <c r="H153" s="77" t="s">
        <v>522</v>
      </c>
    </row>
    <row r="154" spans="1:8" ht="18" customHeight="1" x14ac:dyDescent="0.25">
      <c r="A154" s="85">
        <v>157</v>
      </c>
      <c r="B154" s="59">
        <v>1</v>
      </c>
      <c r="C154" s="85">
        <f>_xlfn.XLOOKUP(E154,'🚛 FROTA'!B:B,'🚛 FROTA'!A:A,"")</f>
        <v>5</v>
      </c>
      <c r="D154" s="85" t="s">
        <v>1556</v>
      </c>
      <c r="E154" s="85" t="s">
        <v>82</v>
      </c>
      <c r="F154" s="58">
        <v>45901</v>
      </c>
      <c r="G154" s="162">
        <f t="shared" si="3"/>
        <v>79.905499999999989</v>
      </c>
      <c r="H154" s="77" t="s">
        <v>522</v>
      </c>
    </row>
    <row r="155" spans="1:8" ht="18" customHeight="1" x14ac:dyDescent="0.25">
      <c r="A155" s="84">
        <v>158</v>
      </c>
      <c r="B155" s="62">
        <v>1</v>
      </c>
      <c r="C155" s="84">
        <f>_xlfn.XLOOKUP(E155,'🚛 FROTA'!B:B,'🚛 FROTA'!A:A,"")</f>
        <v>47</v>
      </c>
      <c r="D155" s="84" t="s">
        <v>1556</v>
      </c>
      <c r="E155" s="84" t="s">
        <v>174</v>
      </c>
      <c r="F155" s="61">
        <v>45901</v>
      </c>
      <c r="G155" s="163">
        <f t="shared" si="3"/>
        <v>79.905499999999989</v>
      </c>
      <c r="H155" s="77" t="s">
        <v>522</v>
      </c>
    </row>
    <row r="156" spans="1:8" ht="18" customHeight="1" x14ac:dyDescent="0.25">
      <c r="A156" s="85">
        <v>159</v>
      </c>
      <c r="B156" s="59">
        <v>1</v>
      </c>
      <c r="C156" s="85">
        <f>_xlfn.XLOOKUP(E156,'🚛 FROTA'!B:B,'🚛 FROTA'!A:A,"")</f>
        <v>34</v>
      </c>
      <c r="D156" s="85" t="s">
        <v>1556</v>
      </c>
      <c r="E156" s="85" t="s">
        <v>155</v>
      </c>
      <c r="F156" s="58">
        <v>45901</v>
      </c>
      <c r="G156" s="162">
        <f t="shared" si="3"/>
        <v>79.905499999999989</v>
      </c>
      <c r="H156" s="77" t="s">
        <v>522</v>
      </c>
    </row>
    <row r="157" spans="1:8" ht="18" customHeight="1" x14ac:dyDescent="0.25">
      <c r="A157" s="84">
        <v>160</v>
      </c>
      <c r="B157" s="62">
        <v>1</v>
      </c>
      <c r="C157" s="84">
        <f>_xlfn.XLOOKUP(E157,'🚛 FROTA'!B:B,'🚛 FROTA'!A:A,"")</f>
        <v>43</v>
      </c>
      <c r="D157" s="84" t="s">
        <v>1556</v>
      </c>
      <c r="E157" s="84" t="s">
        <v>169</v>
      </c>
      <c r="F157" s="61">
        <v>45901</v>
      </c>
      <c r="G157" s="163">
        <f t="shared" si="3"/>
        <v>79.905499999999989</v>
      </c>
      <c r="H157" s="77" t="s">
        <v>522</v>
      </c>
    </row>
    <row r="158" spans="1:8" ht="18" customHeight="1" x14ac:dyDescent="0.25">
      <c r="A158" s="85">
        <v>161</v>
      </c>
      <c r="B158" s="59">
        <v>1</v>
      </c>
      <c r="C158" s="85">
        <f>_xlfn.XLOOKUP(E158,'🚛 FROTA'!B:B,'🚛 FROTA'!A:A,"")</f>
        <v>44</v>
      </c>
      <c r="D158" s="85" t="s">
        <v>1556</v>
      </c>
      <c r="E158" s="85" t="s">
        <v>170</v>
      </c>
      <c r="F158" s="58">
        <v>45901</v>
      </c>
      <c r="G158" s="162">
        <f t="shared" si="3"/>
        <v>79.905499999999989</v>
      </c>
      <c r="H158" s="77" t="s">
        <v>522</v>
      </c>
    </row>
    <row r="159" spans="1:8" ht="18" customHeight="1" x14ac:dyDescent="0.25">
      <c r="A159" s="84">
        <v>162</v>
      </c>
      <c r="B159" s="62">
        <v>1</v>
      </c>
      <c r="C159" s="84">
        <f>_xlfn.XLOOKUP(E159,'🚛 FROTA'!B:B,'🚛 FROTA'!A:A,"")</f>
        <v>42</v>
      </c>
      <c r="D159" s="84" t="s">
        <v>1556</v>
      </c>
      <c r="E159" s="84" t="s">
        <v>167</v>
      </c>
      <c r="F159" s="61">
        <v>45901</v>
      </c>
      <c r="G159" s="163">
        <f t="shared" si="3"/>
        <v>79.905499999999989</v>
      </c>
      <c r="H159" s="77" t="s">
        <v>522</v>
      </c>
    </row>
    <row r="160" spans="1:8" ht="18" customHeight="1" x14ac:dyDescent="0.25">
      <c r="A160" s="85">
        <v>163</v>
      </c>
      <c r="B160" s="59">
        <v>1</v>
      </c>
      <c r="C160" s="85">
        <f>_xlfn.XLOOKUP(E160,'🚛 FROTA'!B:B,'🚛 FROTA'!A:A,"")</f>
        <v>46</v>
      </c>
      <c r="D160" s="85" t="s">
        <v>1556</v>
      </c>
      <c r="E160" s="85" t="s">
        <v>173</v>
      </c>
      <c r="F160" s="58">
        <v>45901</v>
      </c>
      <c r="G160" s="162">
        <f t="shared" si="3"/>
        <v>79.905499999999989</v>
      </c>
      <c r="H160" s="77" t="s">
        <v>522</v>
      </c>
    </row>
    <row r="161" spans="1:8" ht="18" customHeight="1" x14ac:dyDescent="0.25">
      <c r="A161" s="84">
        <v>164</v>
      </c>
      <c r="B161" s="62">
        <v>1</v>
      </c>
      <c r="C161" s="84">
        <f>_xlfn.XLOOKUP(E161,'🚛 FROTA'!B:B,'🚛 FROTA'!A:A,"")</f>
        <v>45</v>
      </c>
      <c r="D161" s="84" t="s">
        <v>1556</v>
      </c>
      <c r="E161" s="84" t="s">
        <v>172</v>
      </c>
      <c r="F161" s="61">
        <v>45901</v>
      </c>
      <c r="G161" s="163">
        <f t="shared" si="3"/>
        <v>79.905499999999989</v>
      </c>
      <c r="H161" s="77" t="s">
        <v>522</v>
      </c>
    </row>
    <row r="162" spans="1:8" ht="18" customHeight="1" x14ac:dyDescent="0.25">
      <c r="A162" s="85">
        <v>165</v>
      </c>
      <c r="B162" s="59">
        <v>1</v>
      </c>
      <c r="C162" s="85">
        <f>_xlfn.XLOOKUP(E162,'🚛 FROTA'!B:B,'🚛 FROTA'!A:A,"")</f>
        <v>24</v>
      </c>
      <c r="D162" s="85" t="s">
        <v>1556</v>
      </c>
      <c r="E162" s="85" t="s">
        <v>141</v>
      </c>
      <c r="F162" s="58">
        <v>45901</v>
      </c>
      <c r="G162" s="162">
        <f t="shared" si="3"/>
        <v>79.905499999999989</v>
      </c>
      <c r="H162" s="77" t="s">
        <v>522</v>
      </c>
    </row>
    <row r="163" spans="1:8" ht="18" customHeight="1" x14ac:dyDescent="0.25">
      <c r="A163" s="84">
        <v>166</v>
      </c>
      <c r="B163" s="62">
        <v>1</v>
      </c>
      <c r="C163" s="84">
        <f>_xlfn.XLOOKUP(E163,'🚛 FROTA'!B:B,'🚛 FROTA'!A:A,"")</f>
        <v>39</v>
      </c>
      <c r="D163" s="84" t="s">
        <v>1556</v>
      </c>
      <c r="E163" s="84" t="s">
        <v>162</v>
      </c>
      <c r="F163" s="61">
        <v>45901</v>
      </c>
      <c r="G163" s="163">
        <f t="shared" si="3"/>
        <v>79.905499999999989</v>
      </c>
      <c r="H163" s="77" t="s">
        <v>522</v>
      </c>
    </row>
    <row r="164" spans="1:8" ht="18" customHeight="1" x14ac:dyDescent="0.25">
      <c r="A164" s="85">
        <v>167</v>
      </c>
      <c r="B164" s="59">
        <v>1</v>
      </c>
      <c r="C164" s="85">
        <f>_xlfn.XLOOKUP(E164,'🚛 FROTA'!B:B,'🚛 FROTA'!A:A,"")</f>
        <v>17</v>
      </c>
      <c r="D164" s="85" t="s">
        <v>1556</v>
      </c>
      <c r="E164" s="85" t="s">
        <v>119</v>
      </c>
      <c r="F164" s="58">
        <v>45901</v>
      </c>
      <c r="G164" s="162">
        <f t="shared" si="3"/>
        <v>79.905499999999989</v>
      </c>
      <c r="H164" s="77" t="s">
        <v>522</v>
      </c>
    </row>
    <row r="165" spans="1:8" ht="18" customHeight="1" x14ac:dyDescent="0.25">
      <c r="A165" s="84">
        <v>168</v>
      </c>
      <c r="B165" s="62">
        <v>1</v>
      </c>
      <c r="C165" s="84">
        <f>_xlfn.XLOOKUP(E165,'🚛 FROTA'!B:B,'🚛 FROTA'!A:A,"")</f>
        <v>20</v>
      </c>
      <c r="D165" s="84" t="s">
        <v>1556</v>
      </c>
      <c r="E165" s="84" t="s">
        <v>128</v>
      </c>
      <c r="F165" s="61">
        <v>45901</v>
      </c>
      <c r="G165" s="163">
        <f t="shared" si="3"/>
        <v>79.905499999999989</v>
      </c>
      <c r="H165" s="77" t="s">
        <v>522</v>
      </c>
    </row>
    <row r="166" spans="1:8" ht="18" customHeight="1" x14ac:dyDescent="0.25">
      <c r="A166" s="85">
        <v>169</v>
      </c>
      <c r="B166" s="59">
        <v>1</v>
      </c>
      <c r="C166" s="85">
        <f>_xlfn.XLOOKUP(E166,'🚛 FROTA'!B:B,'🚛 FROTA'!A:A,"")</f>
        <v>11</v>
      </c>
      <c r="D166" s="85" t="s">
        <v>1556</v>
      </c>
      <c r="E166" s="85" t="s">
        <v>104</v>
      </c>
      <c r="F166" s="58">
        <v>45931</v>
      </c>
      <c r="G166" s="162">
        <v>83.53</v>
      </c>
      <c r="H166" s="77" t="s">
        <v>522</v>
      </c>
    </row>
    <row r="167" spans="1:8" ht="18" customHeight="1" x14ac:dyDescent="0.25">
      <c r="A167" s="84">
        <v>170</v>
      </c>
      <c r="B167" s="62">
        <v>1</v>
      </c>
      <c r="C167" s="84">
        <f>_xlfn.XLOOKUP(E167,'🚛 FROTA'!B:B,'🚛 FROTA'!A:A,"")</f>
        <v>41</v>
      </c>
      <c r="D167" s="84" t="s">
        <v>1556</v>
      </c>
      <c r="E167" s="84" t="s">
        <v>166</v>
      </c>
      <c r="F167" s="61">
        <v>45931</v>
      </c>
      <c r="G167" s="163">
        <v>83.53</v>
      </c>
      <c r="H167" s="77" t="s">
        <v>522</v>
      </c>
    </row>
    <row r="168" spans="1:8" ht="18" customHeight="1" x14ac:dyDescent="0.25">
      <c r="A168" s="85">
        <v>171</v>
      </c>
      <c r="B168" s="59">
        <v>1</v>
      </c>
      <c r="C168" s="85">
        <f>_xlfn.XLOOKUP(E168,'🚛 FROTA'!B:B,'🚛 FROTA'!A:A,"")</f>
        <v>6</v>
      </c>
      <c r="D168" s="85" t="s">
        <v>1556</v>
      </c>
      <c r="E168" s="85" t="s">
        <v>85</v>
      </c>
      <c r="F168" s="58">
        <v>45931</v>
      </c>
      <c r="G168" s="162">
        <v>83.53</v>
      </c>
      <c r="H168" s="77" t="s">
        <v>522</v>
      </c>
    </row>
    <row r="169" spans="1:8" ht="18" customHeight="1" x14ac:dyDescent="0.25">
      <c r="A169" s="84">
        <v>172</v>
      </c>
      <c r="B169" s="62">
        <v>1</v>
      </c>
      <c r="C169" s="84">
        <f>_xlfn.XLOOKUP(E169,'🚛 FROTA'!B:B,'🚛 FROTA'!A:A,"")</f>
        <v>8</v>
      </c>
      <c r="D169" s="84" t="s">
        <v>1556</v>
      </c>
      <c r="E169" s="84" t="s">
        <v>94</v>
      </c>
      <c r="F169" s="61">
        <v>45931</v>
      </c>
      <c r="G169" s="163">
        <v>83.53</v>
      </c>
      <c r="H169" s="77" t="s">
        <v>522</v>
      </c>
    </row>
    <row r="170" spans="1:8" ht="18" customHeight="1" x14ac:dyDescent="0.25">
      <c r="A170" s="85">
        <v>173</v>
      </c>
      <c r="B170" s="59">
        <v>1</v>
      </c>
      <c r="C170" s="85">
        <f>_xlfn.XLOOKUP(E170,'🚛 FROTA'!B:B,'🚛 FROTA'!A:A,"")</f>
        <v>40</v>
      </c>
      <c r="D170" s="85" t="s">
        <v>1556</v>
      </c>
      <c r="E170" s="85" t="s">
        <v>165</v>
      </c>
      <c r="F170" s="58">
        <v>45931</v>
      </c>
      <c r="G170" s="162">
        <v>83.53</v>
      </c>
      <c r="H170" s="77" t="s">
        <v>522</v>
      </c>
    </row>
    <row r="171" spans="1:8" ht="18" customHeight="1" x14ac:dyDescent="0.25">
      <c r="A171" s="84">
        <v>175</v>
      </c>
      <c r="B171" s="62">
        <v>1</v>
      </c>
      <c r="C171" s="84">
        <f>_xlfn.XLOOKUP(E171,'🚛 FROTA'!B:B,'🚛 FROTA'!A:A,"")</f>
        <v>5</v>
      </c>
      <c r="D171" s="84" t="s">
        <v>1556</v>
      </c>
      <c r="E171" s="84" t="s">
        <v>82</v>
      </c>
      <c r="F171" s="61">
        <v>45931</v>
      </c>
      <c r="G171" s="163">
        <v>83.53</v>
      </c>
      <c r="H171" s="77" t="s">
        <v>522</v>
      </c>
    </row>
    <row r="172" spans="1:8" ht="18" customHeight="1" x14ac:dyDescent="0.25">
      <c r="A172" s="85">
        <v>176</v>
      </c>
      <c r="B172" s="59">
        <v>1</v>
      </c>
      <c r="C172" s="85">
        <f>_xlfn.XLOOKUP(E172,'🚛 FROTA'!B:B,'🚛 FROTA'!A:A,"")</f>
        <v>47</v>
      </c>
      <c r="D172" s="85" t="s">
        <v>1556</v>
      </c>
      <c r="E172" s="85" t="s">
        <v>174</v>
      </c>
      <c r="F172" s="58">
        <v>45931</v>
      </c>
      <c r="G172" s="162">
        <v>83.53</v>
      </c>
      <c r="H172" s="77" t="s">
        <v>522</v>
      </c>
    </row>
    <row r="173" spans="1:8" ht="18" customHeight="1" x14ac:dyDescent="0.25">
      <c r="A173" s="84">
        <v>177</v>
      </c>
      <c r="B173" s="62">
        <v>1</v>
      </c>
      <c r="C173" s="84">
        <f>_xlfn.XLOOKUP(E173,'🚛 FROTA'!B:B,'🚛 FROTA'!A:A,"")</f>
        <v>34</v>
      </c>
      <c r="D173" s="84" t="s">
        <v>1556</v>
      </c>
      <c r="E173" s="84" t="s">
        <v>155</v>
      </c>
      <c r="F173" s="61">
        <v>45931</v>
      </c>
      <c r="G173" s="163">
        <v>83.53</v>
      </c>
      <c r="H173" s="77" t="s">
        <v>522</v>
      </c>
    </row>
    <row r="174" spans="1:8" ht="18" customHeight="1" x14ac:dyDescent="0.25">
      <c r="A174" s="85">
        <v>178</v>
      </c>
      <c r="B174" s="59">
        <v>1</v>
      </c>
      <c r="C174" s="85">
        <f>_xlfn.XLOOKUP(E174,'🚛 FROTA'!B:B,'🚛 FROTA'!A:A,"")</f>
        <v>43</v>
      </c>
      <c r="D174" s="85" t="s">
        <v>1556</v>
      </c>
      <c r="E174" s="85" t="s">
        <v>169</v>
      </c>
      <c r="F174" s="58">
        <v>45931</v>
      </c>
      <c r="G174" s="162">
        <v>83.53</v>
      </c>
      <c r="H174" s="77" t="s">
        <v>522</v>
      </c>
    </row>
    <row r="175" spans="1:8" ht="18" customHeight="1" x14ac:dyDescent="0.25">
      <c r="A175" s="84">
        <v>179</v>
      </c>
      <c r="B175" s="62">
        <v>1</v>
      </c>
      <c r="C175" s="84">
        <f>_xlfn.XLOOKUP(E175,'🚛 FROTA'!B:B,'🚛 FROTA'!A:A,"")</f>
        <v>44</v>
      </c>
      <c r="D175" s="84" t="s">
        <v>1556</v>
      </c>
      <c r="E175" s="84" t="s">
        <v>170</v>
      </c>
      <c r="F175" s="61">
        <v>45931</v>
      </c>
      <c r="G175" s="163">
        <v>83.53</v>
      </c>
      <c r="H175" s="77" t="s">
        <v>522</v>
      </c>
    </row>
    <row r="176" spans="1:8" ht="18" customHeight="1" x14ac:dyDescent="0.25">
      <c r="A176" s="85">
        <v>180</v>
      </c>
      <c r="B176" s="59">
        <v>1</v>
      </c>
      <c r="C176" s="85">
        <f>_xlfn.XLOOKUP(E176,'🚛 FROTA'!B:B,'🚛 FROTA'!A:A,"")</f>
        <v>42</v>
      </c>
      <c r="D176" s="85" t="s">
        <v>1556</v>
      </c>
      <c r="E176" s="85" t="s">
        <v>167</v>
      </c>
      <c r="F176" s="58">
        <v>45931</v>
      </c>
      <c r="G176" s="162">
        <v>83.53</v>
      </c>
      <c r="H176" s="77" t="s">
        <v>522</v>
      </c>
    </row>
    <row r="177" spans="1:8" ht="18" customHeight="1" x14ac:dyDescent="0.25">
      <c r="A177" s="84">
        <v>181</v>
      </c>
      <c r="B177" s="62">
        <v>1</v>
      </c>
      <c r="C177" s="84">
        <f>_xlfn.XLOOKUP(E177,'🚛 FROTA'!B:B,'🚛 FROTA'!A:A,"")</f>
        <v>46</v>
      </c>
      <c r="D177" s="84" t="s">
        <v>1556</v>
      </c>
      <c r="E177" s="84" t="s">
        <v>173</v>
      </c>
      <c r="F177" s="61">
        <v>45931</v>
      </c>
      <c r="G177" s="163">
        <v>83.53</v>
      </c>
      <c r="H177" s="77" t="s">
        <v>522</v>
      </c>
    </row>
    <row r="178" spans="1:8" ht="18" customHeight="1" x14ac:dyDescent="0.25">
      <c r="A178" s="85">
        <v>182</v>
      </c>
      <c r="B178" s="59">
        <v>1</v>
      </c>
      <c r="C178" s="85">
        <f>_xlfn.XLOOKUP(E178,'🚛 FROTA'!B:B,'🚛 FROTA'!A:A,"")</f>
        <v>45</v>
      </c>
      <c r="D178" s="85" t="s">
        <v>1556</v>
      </c>
      <c r="E178" s="85" t="s">
        <v>172</v>
      </c>
      <c r="F178" s="58">
        <v>45931</v>
      </c>
      <c r="G178" s="162">
        <v>83.53</v>
      </c>
      <c r="H178" s="77" t="s">
        <v>522</v>
      </c>
    </row>
    <row r="179" spans="1:8" ht="18" customHeight="1" x14ac:dyDescent="0.25">
      <c r="A179" s="84">
        <v>183</v>
      </c>
      <c r="B179" s="62">
        <v>1</v>
      </c>
      <c r="C179" s="84">
        <f>_xlfn.XLOOKUP(E179,'🚛 FROTA'!B:B,'🚛 FROTA'!A:A,"")</f>
        <v>24</v>
      </c>
      <c r="D179" s="84" t="s">
        <v>1556</v>
      </c>
      <c r="E179" s="84" t="s">
        <v>141</v>
      </c>
      <c r="F179" s="61">
        <v>45931</v>
      </c>
      <c r="G179" s="163">
        <v>83.53</v>
      </c>
      <c r="H179" s="77" t="s">
        <v>522</v>
      </c>
    </row>
    <row r="180" spans="1:8" ht="18" customHeight="1" x14ac:dyDescent="0.25">
      <c r="A180" s="85">
        <v>184</v>
      </c>
      <c r="B180" s="59">
        <v>1</v>
      </c>
      <c r="C180" s="85">
        <f>_xlfn.XLOOKUP(E180,'🚛 FROTA'!B:B,'🚛 FROTA'!A:A,"")</f>
        <v>39</v>
      </c>
      <c r="D180" s="85" t="s">
        <v>1556</v>
      </c>
      <c r="E180" s="85" t="s">
        <v>162</v>
      </c>
      <c r="F180" s="58">
        <v>45931</v>
      </c>
      <c r="G180" s="162">
        <v>83.53</v>
      </c>
      <c r="H180" s="77" t="s">
        <v>522</v>
      </c>
    </row>
    <row r="181" spans="1:8" ht="18" customHeight="1" x14ac:dyDescent="0.25">
      <c r="A181" s="84">
        <v>185</v>
      </c>
      <c r="B181" s="62">
        <v>1</v>
      </c>
      <c r="C181" s="84">
        <f>_xlfn.XLOOKUP(E181,'🚛 FROTA'!B:B,'🚛 FROTA'!A:A,"")</f>
        <v>17</v>
      </c>
      <c r="D181" s="84" t="s">
        <v>1556</v>
      </c>
      <c r="E181" s="84" t="s">
        <v>119</v>
      </c>
      <c r="F181" s="61">
        <v>45931</v>
      </c>
      <c r="G181" s="163">
        <v>83.53</v>
      </c>
      <c r="H181" s="77" t="s">
        <v>522</v>
      </c>
    </row>
    <row r="182" spans="1:8" ht="18" customHeight="1" x14ac:dyDescent="0.25">
      <c r="A182" s="85">
        <v>186</v>
      </c>
      <c r="B182" s="59">
        <v>1</v>
      </c>
      <c r="C182" s="85">
        <f>_xlfn.XLOOKUP(E182,'🚛 FROTA'!B:B,'🚛 FROTA'!A:A,"")</f>
        <v>20</v>
      </c>
      <c r="D182" s="85" t="s">
        <v>1556</v>
      </c>
      <c r="E182" s="85" t="s">
        <v>128</v>
      </c>
      <c r="F182" s="58">
        <v>45931</v>
      </c>
      <c r="G182" s="162">
        <v>83.53</v>
      </c>
      <c r="H182" s="77" t="s">
        <v>522</v>
      </c>
    </row>
    <row r="183" spans="1:8" ht="18" customHeight="1" x14ac:dyDescent="0.25">
      <c r="A183" s="84">
        <v>187</v>
      </c>
      <c r="B183" s="62">
        <v>1</v>
      </c>
      <c r="C183" s="84">
        <f>_xlfn.XLOOKUP(E183,'🚛 FROTA'!B:B,'🚛 FROTA'!A:A,"")</f>
        <v>11</v>
      </c>
      <c r="D183" s="84" t="s">
        <v>1556</v>
      </c>
      <c r="E183" s="84" t="s">
        <v>104</v>
      </c>
      <c r="F183" s="61">
        <v>45962</v>
      </c>
      <c r="G183" s="163">
        <v>83.53</v>
      </c>
      <c r="H183" s="77" t="s">
        <v>522</v>
      </c>
    </row>
    <row r="184" spans="1:8" ht="18" customHeight="1" x14ac:dyDescent="0.25">
      <c r="A184" s="85">
        <v>188</v>
      </c>
      <c r="B184" s="59">
        <v>1</v>
      </c>
      <c r="C184" s="85">
        <f>_xlfn.XLOOKUP(E184,'🚛 FROTA'!B:B,'🚛 FROTA'!A:A,"")</f>
        <v>41</v>
      </c>
      <c r="D184" s="85" t="s">
        <v>1556</v>
      </c>
      <c r="E184" s="85" t="s">
        <v>166</v>
      </c>
      <c r="F184" s="58">
        <v>45962</v>
      </c>
      <c r="G184" s="162">
        <v>83.53</v>
      </c>
      <c r="H184" s="77" t="s">
        <v>522</v>
      </c>
    </row>
    <row r="185" spans="1:8" ht="18" customHeight="1" x14ac:dyDescent="0.25">
      <c r="A185" s="84">
        <v>189</v>
      </c>
      <c r="B185" s="62">
        <v>1</v>
      </c>
      <c r="C185" s="84">
        <f>_xlfn.XLOOKUP(E185,'🚛 FROTA'!B:B,'🚛 FROTA'!A:A,"")</f>
        <v>6</v>
      </c>
      <c r="D185" s="84" t="s">
        <v>1556</v>
      </c>
      <c r="E185" s="84" t="s">
        <v>85</v>
      </c>
      <c r="F185" s="61">
        <v>45962</v>
      </c>
      <c r="G185" s="163">
        <v>83.53</v>
      </c>
      <c r="H185" s="77" t="s">
        <v>522</v>
      </c>
    </row>
    <row r="186" spans="1:8" ht="18" customHeight="1" x14ac:dyDescent="0.25">
      <c r="A186" s="85">
        <v>190</v>
      </c>
      <c r="B186" s="59">
        <v>1</v>
      </c>
      <c r="C186" s="85">
        <f>_xlfn.XLOOKUP(E186,'🚛 FROTA'!B:B,'🚛 FROTA'!A:A,"")</f>
        <v>8</v>
      </c>
      <c r="D186" s="85" t="s">
        <v>1556</v>
      </c>
      <c r="E186" s="85" t="s">
        <v>94</v>
      </c>
      <c r="F186" s="58">
        <v>45962</v>
      </c>
      <c r="G186" s="162">
        <v>83.53</v>
      </c>
      <c r="H186" s="77" t="s">
        <v>522</v>
      </c>
    </row>
    <row r="187" spans="1:8" ht="18" customHeight="1" x14ac:dyDescent="0.25">
      <c r="A187" s="84">
        <v>191</v>
      </c>
      <c r="B187" s="62">
        <v>1</v>
      </c>
      <c r="C187" s="84">
        <f>_xlfn.XLOOKUP(E187,'🚛 FROTA'!B:B,'🚛 FROTA'!A:A,"")</f>
        <v>40</v>
      </c>
      <c r="D187" s="84" t="s">
        <v>1556</v>
      </c>
      <c r="E187" s="84" t="s">
        <v>165</v>
      </c>
      <c r="F187" s="61">
        <v>45962</v>
      </c>
      <c r="G187" s="163">
        <v>83.53</v>
      </c>
      <c r="H187" s="77" t="s">
        <v>522</v>
      </c>
    </row>
    <row r="188" spans="1:8" ht="18" customHeight="1" x14ac:dyDescent="0.25">
      <c r="A188" s="85">
        <v>192</v>
      </c>
      <c r="B188" s="59">
        <v>1</v>
      </c>
      <c r="C188" s="85">
        <f>_xlfn.XLOOKUP(E188,'🚛 FROTA'!B:B,'🚛 FROTA'!A:A,"")</f>
        <v>5</v>
      </c>
      <c r="D188" s="85" t="s">
        <v>1556</v>
      </c>
      <c r="E188" s="85" t="s">
        <v>82</v>
      </c>
      <c r="F188" s="58">
        <v>45962</v>
      </c>
      <c r="G188" s="162">
        <v>83.53</v>
      </c>
      <c r="H188" s="77" t="s">
        <v>522</v>
      </c>
    </row>
    <row r="189" spans="1:8" ht="18" customHeight="1" x14ac:dyDescent="0.25">
      <c r="A189" s="84">
        <v>193</v>
      </c>
      <c r="B189" s="62">
        <v>1</v>
      </c>
      <c r="C189" s="84">
        <f>_xlfn.XLOOKUP(E189,'🚛 FROTA'!B:B,'🚛 FROTA'!A:A,"")</f>
        <v>47</v>
      </c>
      <c r="D189" s="84" t="s">
        <v>1556</v>
      </c>
      <c r="E189" s="84" t="s">
        <v>174</v>
      </c>
      <c r="F189" s="61">
        <v>45962</v>
      </c>
      <c r="G189" s="163">
        <v>83.53</v>
      </c>
      <c r="H189" s="77" t="s">
        <v>522</v>
      </c>
    </row>
    <row r="190" spans="1:8" ht="18" customHeight="1" x14ac:dyDescent="0.25">
      <c r="A190" s="85">
        <v>194</v>
      </c>
      <c r="B190" s="59">
        <v>1</v>
      </c>
      <c r="C190" s="85">
        <f>_xlfn.XLOOKUP(E190,'🚛 FROTA'!B:B,'🚛 FROTA'!A:A,"")</f>
        <v>34</v>
      </c>
      <c r="D190" s="85" t="s">
        <v>1556</v>
      </c>
      <c r="E190" s="85" t="s">
        <v>155</v>
      </c>
      <c r="F190" s="58">
        <v>45962</v>
      </c>
      <c r="G190" s="162">
        <v>83.53</v>
      </c>
      <c r="H190" s="77" t="s">
        <v>522</v>
      </c>
    </row>
    <row r="191" spans="1:8" ht="18" customHeight="1" x14ac:dyDescent="0.25">
      <c r="A191" s="84">
        <v>195</v>
      </c>
      <c r="B191" s="62">
        <v>1</v>
      </c>
      <c r="C191" s="84">
        <f>_xlfn.XLOOKUP(E191,'🚛 FROTA'!B:B,'🚛 FROTA'!A:A,"")</f>
        <v>43</v>
      </c>
      <c r="D191" s="84" t="s">
        <v>1556</v>
      </c>
      <c r="E191" s="84" t="s">
        <v>169</v>
      </c>
      <c r="F191" s="61">
        <v>45962</v>
      </c>
      <c r="G191" s="163">
        <v>83.53</v>
      </c>
      <c r="H191" s="77" t="s">
        <v>522</v>
      </c>
    </row>
    <row r="192" spans="1:8" ht="18" customHeight="1" x14ac:dyDescent="0.25">
      <c r="A192" s="85">
        <v>196</v>
      </c>
      <c r="B192" s="59">
        <v>1</v>
      </c>
      <c r="C192" s="85">
        <f>_xlfn.XLOOKUP(E192,'🚛 FROTA'!B:B,'🚛 FROTA'!A:A,"")</f>
        <v>44</v>
      </c>
      <c r="D192" s="85" t="s">
        <v>1556</v>
      </c>
      <c r="E192" s="85" t="s">
        <v>170</v>
      </c>
      <c r="F192" s="58">
        <v>45962</v>
      </c>
      <c r="G192" s="162">
        <v>83.53</v>
      </c>
      <c r="H192" s="77" t="s">
        <v>522</v>
      </c>
    </row>
    <row r="193" spans="1:8" ht="18" customHeight="1" x14ac:dyDescent="0.25">
      <c r="A193" s="84">
        <v>197</v>
      </c>
      <c r="B193" s="62">
        <v>1</v>
      </c>
      <c r="C193" s="84">
        <f>_xlfn.XLOOKUP(E193,'🚛 FROTA'!B:B,'🚛 FROTA'!A:A,"")</f>
        <v>42</v>
      </c>
      <c r="D193" s="84" t="s">
        <v>1556</v>
      </c>
      <c r="E193" s="84" t="s">
        <v>167</v>
      </c>
      <c r="F193" s="61">
        <v>45962</v>
      </c>
      <c r="G193" s="163">
        <v>83.53</v>
      </c>
      <c r="H193" s="77" t="s">
        <v>522</v>
      </c>
    </row>
    <row r="194" spans="1:8" ht="18" customHeight="1" x14ac:dyDescent="0.25">
      <c r="A194" s="85">
        <v>198</v>
      </c>
      <c r="B194" s="59">
        <v>1</v>
      </c>
      <c r="C194" s="85">
        <f>_xlfn.XLOOKUP(E194,'🚛 FROTA'!B:B,'🚛 FROTA'!A:A,"")</f>
        <v>46</v>
      </c>
      <c r="D194" s="85" t="s">
        <v>1556</v>
      </c>
      <c r="E194" s="85" t="s">
        <v>173</v>
      </c>
      <c r="F194" s="58">
        <v>45962</v>
      </c>
      <c r="G194" s="162">
        <v>83.53</v>
      </c>
      <c r="H194" s="77" t="s">
        <v>522</v>
      </c>
    </row>
    <row r="195" spans="1:8" ht="18" customHeight="1" x14ac:dyDescent="0.25">
      <c r="A195" s="84">
        <v>199</v>
      </c>
      <c r="B195" s="62">
        <v>1</v>
      </c>
      <c r="C195" s="84">
        <f>_xlfn.XLOOKUP(E195,'🚛 FROTA'!B:B,'🚛 FROTA'!A:A,"")</f>
        <v>45</v>
      </c>
      <c r="D195" s="84" t="s">
        <v>1556</v>
      </c>
      <c r="E195" s="84" t="s">
        <v>172</v>
      </c>
      <c r="F195" s="61">
        <v>45962</v>
      </c>
      <c r="G195" s="163">
        <v>83.53</v>
      </c>
      <c r="H195" s="77" t="s">
        <v>522</v>
      </c>
    </row>
    <row r="196" spans="1:8" ht="18" customHeight="1" x14ac:dyDescent="0.25">
      <c r="A196" s="85">
        <v>200</v>
      </c>
      <c r="B196" s="59">
        <v>1</v>
      </c>
      <c r="C196" s="85">
        <f>_xlfn.XLOOKUP(E196,'🚛 FROTA'!B:B,'🚛 FROTA'!A:A,"")</f>
        <v>24</v>
      </c>
      <c r="D196" s="85" t="s">
        <v>1556</v>
      </c>
      <c r="E196" s="85" t="s">
        <v>141</v>
      </c>
      <c r="F196" s="58">
        <v>45962</v>
      </c>
      <c r="G196" s="162">
        <v>83.53</v>
      </c>
      <c r="H196" s="77" t="s">
        <v>522</v>
      </c>
    </row>
    <row r="197" spans="1:8" ht="18" customHeight="1" x14ac:dyDescent="0.25">
      <c r="A197" s="84">
        <v>201</v>
      </c>
      <c r="B197" s="62">
        <v>1</v>
      </c>
      <c r="C197" s="84">
        <f>_xlfn.XLOOKUP(E197,'🚛 FROTA'!B:B,'🚛 FROTA'!A:A,"")</f>
        <v>39</v>
      </c>
      <c r="D197" s="84" t="s">
        <v>1556</v>
      </c>
      <c r="E197" s="84" t="s">
        <v>162</v>
      </c>
      <c r="F197" s="61">
        <v>45962</v>
      </c>
      <c r="G197" s="163">
        <v>83.53</v>
      </c>
      <c r="H197" s="77" t="s">
        <v>522</v>
      </c>
    </row>
    <row r="198" spans="1:8" ht="18" customHeight="1" x14ac:dyDescent="0.25">
      <c r="A198" s="85">
        <v>202</v>
      </c>
      <c r="B198" s="59">
        <v>1</v>
      </c>
      <c r="C198" s="85">
        <f>_xlfn.XLOOKUP(E198,'🚛 FROTA'!B:B,'🚛 FROTA'!A:A,"")</f>
        <v>17</v>
      </c>
      <c r="D198" s="85" t="s">
        <v>1556</v>
      </c>
      <c r="E198" s="85" t="s">
        <v>119</v>
      </c>
      <c r="F198" s="58">
        <v>45962</v>
      </c>
      <c r="G198" s="162">
        <v>83.53</v>
      </c>
      <c r="H198" s="77" t="s">
        <v>522</v>
      </c>
    </row>
    <row r="199" spans="1:8" ht="18" customHeight="1" x14ac:dyDescent="0.25">
      <c r="A199" s="84">
        <v>203</v>
      </c>
      <c r="B199" s="62">
        <v>1</v>
      </c>
      <c r="C199" s="84">
        <f>_xlfn.XLOOKUP(E199,'🚛 FROTA'!B:B,'🚛 FROTA'!A:A,"")</f>
        <v>20</v>
      </c>
      <c r="D199" s="84" t="s">
        <v>1556</v>
      </c>
      <c r="E199" s="84" t="s">
        <v>128</v>
      </c>
      <c r="F199" s="61">
        <v>45962</v>
      </c>
      <c r="G199" s="163">
        <v>83.53</v>
      </c>
      <c r="H199" s="77" t="s">
        <v>522</v>
      </c>
    </row>
    <row r="200" spans="1:8" ht="18" customHeight="1" x14ac:dyDescent="0.25">
      <c r="A200" s="85">
        <v>204</v>
      </c>
      <c r="B200" s="59">
        <v>1</v>
      </c>
      <c r="C200" s="85">
        <f>_xlfn.XLOOKUP(E200,'🚛 FROTA'!B:B,'🚛 FROTA'!A:A,"")</f>
        <v>11</v>
      </c>
      <c r="D200" s="85" t="s">
        <v>1556</v>
      </c>
      <c r="E200" s="85" t="s">
        <v>104</v>
      </c>
      <c r="F200" s="58">
        <v>45992</v>
      </c>
      <c r="G200" s="162">
        <v>83.53</v>
      </c>
      <c r="H200" s="77" t="s">
        <v>522</v>
      </c>
    </row>
    <row r="201" spans="1:8" ht="18" customHeight="1" x14ac:dyDescent="0.25">
      <c r="A201" s="84">
        <v>205</v>
      </c>
      <c r="B201" s="62">
        <v>1</v>
      </c>
      <c r="C201" s="84">
        <f>_xlfn.XLOOKUP(E201,'🚛 FROTA'!B:B,'🚛 FROTA'!A:A,"")</f>
        <v>41</v>
      </c>
      <c r="D201" s="84" t="s">
        <v>1556</v>
      </c>
      <c r="E201" s="84" t="s">
        <v>166</v>
      </c>
      <c r="F201" s="61">
        <v>45992</v>
      </c>
      <c r="G201" s="163">
        <v>83.53</v>
      </c>
      <c r="H201" s="77" t="s">
        <v>522</v>
      </c>
    </row>
    <row r="202" spans="1:8" ht="18" customHeight="1" x14ac:dyDescent="0.25">
      <c r="A202" s="85">
        <v>206</v>
      </c>
      <c r="B202" s="59">
        <v>1</v>
      </c>
      <c r="C202" s="85">
        <f>_xlfn.XLOOKUP(E202,'🚛 FROTA'!B:B,'🚛 FROTA'!A:A,"")</f>
        <v>6</v>
      </c>
      <c r="D202" s="85" t="s">
        <v>1556</v>
      </c>
      <c r="E202" s="85" t="s">
        <v>85</v>
      </c>
      <c r="F202" s="58">
        <v>45992</v>
      </c>
      <c r="G202" s="162">
        <v>83.53</v>
      </c>
      <c r="H202" s="77" t="s">
        <v>522</v>
      </c>
    </row>
    <row r="203" spans="1:8" ht="18" customHeight="1" x14ac:dyDescent="0.25">
      <c r="A203" s="84">
        <v>207</v>
      </c>
      <c r="B203" s="62">
        <v>1</v>
      </c>
      <c r="C203" s="84">
        <f>_xlfn.XLOOKUP(E203,'🚛 FROTA'!B:B,'🚛 FROTA'!A:A,"")</f>
        <v>8</v>
      </c>
      <c r="D203" s="84" t="s">
        <v>1556</v>
      </c>
      <c r="E203" s="84" t="s">
        <v>94</v>
      </c>
      <c r="F203" s="61">
        <v>45992</v>
      </c>
      <c r="G203" s="163">
        <v>83.53</v>
      </c>
      <c r="H203" s="77" t="s">
        <v>522</v>
      </c>
    </row>
    <row r="204" spans="1:8" ht="18" customHeight="1" x14ac:dyDescent="0.25">
      <c r="A204" s="85">
        <v>208</v>
      </c>
      <c r="B204" s="59">
        <v>1</v>
      </c>
      <c r="C204" s="85">
        <f>_xlfn.XLOOKUP(E204,'🚛 FROTA'!B:B,'🚛 FROTA'!A:A,"")</f>
        <v>40</v>
      </c>
      <c r="D204" s="85" t="s">
        <v>1556</v>
      </c>
      <c r="E204" s="85" t="s">
        <v>165</v>
      </c>
      <c r="F204" s="58">
        <v>45992</v>
      </c>
      <c r="G204" s="162">
        <v>83.53</v>
      </c>
      <c r="H204" s="77" t="s">
        <v>522</v>
      </c>
    </row>
    <row r="205" spans="1:8" ht="18" customHeight="1" x14ac:dyDescent="0.25">
      <c r="A205" s="84">
        <v>209</v>
      </c>
      <c r="B205" s="62">
        <v>1</v>
      </c>
      <c r="C205" s="84">
        <f>_xlfn.XLOOKUP(E205,'🚛 FROTA'!B:B,'🚛 FROTA'!A:A,"")</f>
        <v>5</v>
      </c>
      <c r="D205" s="84" t="s">
        <v>1556</v>
      </c>
      <c r="E205" s="84" t="s">
        <v>82</v>
      </c>
      <c r="F205" s="61">
        <v>45992</v>
      </c>
      <c r="G205" s="163">
        <v>83.53</v>
      </c>
      <c r="H205" s="77" t="s">
        <v>522</v>
      </c>
    </row>
    <row r="206" spans="1:8" ht="18" customHeight="1" x14ac:dyDescent="0.25">
      <c r="A206" s="85">
        <v>210</v>
      </c>
      <c r="B206" s="59">
        <v>1</v>
      </c>
      <c r="C206" s="85">
        <f>_xlfn.XLOOKUP(E206,'🚛 FROTA'!B:B,'🚛 FROTA'!A:A,"")</f>
        <v>47</v>
      </c>
      <c r="D206" s="85" t="s">
        <v>1556</v>
      </c>
      <c r="E206" s="85" t="s">
        <v>174</v>
      </c>
      <c r="F206" s="58">
        <v>45992</v>
      </c>
      <c r="G206" s="162">
        <v>83.53</v>
      </c>
      <c r="H206" s="77" t="s">
        <v>522</v>
      </c>
    </row>
    <row r="207" spans="1:8" ht="18" customHeight="1" x14ac:dyDescent="0.25">
      <c r="A207" s="84">
        <v>211</v>
      </c>
      <c r="B207" s="62">
        <v>1</v>
      </c>
      <c r="C207" s="84">
        <f>_xlfn.XLOOKUP(E207,'🚛 FROTA'!B:B,'🚛 FROTA'!A:A,"")</f>
        <v>34</v>
      </c>
      <c r="D207" s="84" t="s">
        <v>1556</v>
      </c>
      <c r="E207" s="84" t="s">
        <v>155</v>
      </c>
      <c r="F207" s="61">
        <v>45992</v>
      </c>
      <c r="G207" s="163">
        <v>83.53</v>
      </c>
      <c r="H207" s="77" t="s">
        <v>522</v>
      </c>
    </row>
    <row r="208" spans="1:8" ht="18" customHeight="1" x14ac:dyDescent="0.25">
      <c r="A208" s="85">
        <v>212</v>
      </c>
      <c r="B208" s="59">
        <v>1</v>
      </c>
      <c r="C208" s="85">
        <f>_xlfn.XLOOKUP(E208,'🚛 FROTA'!B:B,'🚛 FROTA'!A:A,"")</f>
        <v>43</v>
      </c>
      <c r="D208" s="85" t="s">
        <v>1556</v>
      </c>
      <c r="E208" s="85" t="s">
        <v>169</v>
      </c>
      <c r="F208" s="58">
        <v>45992</v>
      </c>
      <c r="G208" s="162">
        <v>83.53</v>
      </c>
      <c r="H208" s="77" t="s">
        <v>522</v>
      </c>
    </row>
    <row r="209" spans="1:8" ht="18" customHeight="1" x14ac:dyDescent="0.25">
      <c r="A209" s="84">
        <v>213</v>
      </c>
      <c r="B209" s="62">
        <v>1</v>
      </c>
      <c r="C209" s="84">
        <f>_xlfn.XLOOKUP(E209,'🚛 FROTA'!B:B,'🚛 FROTA'!A:A,"")</f>
        <v>44</v>
      </c>
      <c r="D209" s="84" t="s">
        <v>1556</v>
      </c>
      <c r="E209" s="84" t="s">
        <v>170</v>
      </c>
      <c r="F209" s="61">
        <v>45992</v>
      </c>
      <c r="G209" s="163">
        <v>83.53</v>
      </c>
      <c r="H209" s="77" t="s">
        <v>522</v>
      </c>
    </row>
    <row r="210" spans="1:8" ht="18" customHeight="1" x14ac:dyDescent="0.25">
      <c r="A210" s="85">
        <v>214</v>
      </c>
      <c r="B210" s="59">
        <v>1</v>
      </c>
      <c r="C210" s="85">
        <f>_xlfn.XLOOKUP(E210,'🚛 FROTA'!B:B,'🚛 FROTA'!A:A,"")</f>
        <v>42</v>
      </c>
      <c r="D210" s="85" t="s">
        <v>1556</v>
      </c>
      <c r="E210" s="85" t="s">
        <v>167</v>
      </c>
      <c r="F210" s="58">
        <v>45992</v>
      </c>
      <c r="G210" s="162">
        <v>83.53</v>
      </c>
      <c r="H210" s="77" t="s">
        <v>522</v>
      </c>
    </row>
    <row r="211" spans="1:8" ht="18" customHeight="1" x14ac:dyDescent="0.25">
      <c r="A211" s="84">
        <v>215</v>
      </c>
      <c r="B211" s="62">
        <v>1</v>
      </c>
      <c r="C211" s="84">
        <f>_xlfn.XLOOKUP(E211,'🚛 FROTA'!B:B,'🚛 FROTA'!A:A,"")</f>
        <v>46</v>
      </c>
      <c r="D211" s="84" t="s">
        <v>1556</v>
      </c>
      <c r="E211" s="84" t="s">
        <v>173</v>
      </c>
      <c r="F211" s="61">
        <v>45992</v>
      </c>
      <c r="G211" s="163">
        <v>83.53</v>
      </c>
      <c r="H211" s="77" t="s">
        <v>522</v>
      </c>
    </row>
    <row r="212" spans="1:8" ht="18" customHeight="1" x14ac:dyDescent="0.25">
      <c r="A212" s="85">
        <v>216</v>
      </c>
      <c r="B212" s="59">
        <v>1</v>
      </c>
      <c r="C212" s="85">
        <f>_xlfn.XLOOKUP(E212,'🚛 FROTA'!B:B,'🚛 FROTA'!A:A,"")</f>
        <v>45</v>
      </c>
      <c r="D212" s="85" t="s">
        <v>1556</v>
      </c>
      <c r="E212" s="85" t="s">
        <v>172</v>
      </c>
      <c r="F212" s="58">
        <v>45992</v>
      </c>
      <c r="G212" s="162">
        <v>83.53</v>
      </c>
      <c r="H212" s="77" t="s">
        <v>522</v>
      </c>
    </row>
    <row r="213" spans="1:8" ht="18" customHeight="1" x14ac:dyDescent="0.25">
      <c r="A213" s="84">
        <v>217</v>
      </c>
      <c r="B213" s="62">
        <v>1</v>
      </c>
      <c r="C213" s="84">
        <f>_xlfn.XLOOKUP(E213,'🚛 FROTA'!B:B,'🚛 FROTA'!A:A,"")</f>
        <v>24</v>
      </c>
      <c r="D213" s="84" t="s">
        <v>1556</v>
      </c>
      <c r="E213" s="84" t="s">
        <v>141</v>
      </c>
      <c r="F213" s="61">
        <v>45992</v>
      </c>
      <c r="G213" s="163">
        <v>83.53</v>
      </c>
      <c r="H213" s="77" t="s">
        <v>522</v>
      </c>
    </row>
    <row r="214" spans="1:8" ht="18" customHeight="1" x14ac:dyDescent="0.25">
      <c r="A214" s="85">
        <v>218</v>
      </c>
      <c r="B214" s="59">
        <v>1</v>
      </c>
      <c r="C214" s="85">
        <f>_xlfn.XLOOKUP(E214,'🚛 FROTA'!B:B,'🚛 FROTA'!A:A,"")</f>
        <v>39</v>
      </c>
      <c r="D214" s="85" t="s">
        <v>1556</v>
      </c>
      <c r="E214" s="85" t="s">
        <v>162</v>
      </c>
      <c r="F214" s="58">
        <v>45992</v>
      </c>
      <c r="G214" s="162">
        <v>83.53</v>
      </c>
      <c r="H214" s="77" t="s">
        <v>522</v>
      </c>
    </row>
    <row r="215" spans="1:8" ht="18" customHeight="1" x14ac:dyDescent="0.25">
      <c r="A215" s="84">
        <v>219</v>
      </c>
      <c r="B215" s="62">
        <v>1</v>
      </c>
      <c r="C215" s="84">
        <f>_xlfn.XLOOKUP(E215,'🚛 FROTA'!B:B,'🚛 FROTA'!A:A,"")</f>
        <v>17</v>
      </c>
      <c r="D215" s="84" t="s">
        <v>1556</v>
      </c>
      <c r="E215" s="84" t="s">
        <v>119</v>
      </c>
      <c r="F215" s="61">
        <v>45992</v>
      </c>
      <c r="G215" s="163">
        <v>83.53</v>
      </c>
      <c r="H215" s="77" t="s">
        <v>522</v>
      </c>
    </row>
    <row r="216" spans="1:8" ht="18" customHeight="1" x14ac:dyDescent="0.25">
      <c r="A216" s="85">
        <v>220</v>
      </c>
      <c r="B216" s="59">
        <v>1</v>
      </c>
      <c r="C216" s="85">
        <f>_xlfn.XLOOKUP(E216,'🚛 FROTA'!B:B,'🚛 FROTA'!A:A,"")</f>
        <v>20</v>
      </c>
      <c r="D216" s="85" t="s">
        <v>1556</v>
      </c>
      <c r="E216" s="85" t="s">
        <v>128</v>
      </c>
      <c r="F216" s="58">
        <v>45992</v>
      </c>
      <c r="G216" s="162">
        <v>83.53</v>
      </c>
      <c r="H216" s="77" t="s">
        <v>522</v>
      </c>
    </row>
    <row r="217" spans="1:8" ht="18" customHeight="1" x14ac:dyDescent="0.25">
      <c r="A217" s="84">
        <v>221</v>
      </c>
      <c r="B217" s="62">
        <v>1</v>
      </c>
      <c r="C217" s="84">
        <f>_xlfn.XLOOKUP(E217,'🚛 FROTA'!B:B,'🚛 FROTA'!A:A,"")</f>
        <v>11</v>
      </c>
      <c r="D217" s="84" t="s">
        <v>1556</v>
      </c>
      <c r="E217" s="84" t="s">
        <v>104</v>
      </c>
      <c r="F217" s="61">
        <v>46023</v>
      </c>
      <c r="G217" s="163">
        <v>83.53</v>
      </c>
      <c r="H217" s="77" t="s">
        <v>522</v>
      </c>
    </row>
    <row r="218" spans="1:8" ht="18" customHeight="1" x14ac:dyDescent="0.25">
      <c r="A218" s="85">
        <v>222</v>
      </c>
      <c r="B218" s="59">
        <v>1</v>
      </c>
      <c r="C218" s="85">
        <f>_xlfn.XLOOKUP(E218,'🚛 FROTA'!B:B,'🚛 FROTA'!A:A,"")</f>
        <v>41</v>
      </c>
      <c r="D218" s="85" t="s">
        <v>1556</v>
      </c>
      <c r="E218" s="85" t="s">
        <v>166</v>
      </c>
      <c r="F218" s="58">
        <v>46023</v>
      </c>
      <c r="G218" s="162">
        <v>83.53</v>
      </c>
      <c r="H218" s="77" t="s">
        <v>522</v>
      </c>
    </row>
    <row r="219" spans="1:8" ht="18" customHeight="1" x14ac:dyDescent="0.25">
      <c r="A219" s="84">
        <v>223</v>
      </c>
      <c r="B219" s="62">
        <v>1</v>
      </c>
      <c r="C219" s="84">
        <f>_xlfn.XLOOKUP(E219,'🚛 FROTA'!B:B,'🚛 FROTA'!A:A,"")</f>
        <v>6</v>
      </c>
      <c r="D219" s="84" t="s">
        <v>1556</v>
      </c>
      <c r="E219" s="84" t="s">
        <v>85</v>
      </c>
      <c r="F219" s="61">
        <v>46023</v>
      </c>
      <c r="G219" s="163">
        <v>83.53</v>
      </c>
      <c r="H219" s="77" t="s">
        <v>522</v>
      </c>
    </row>
    <row r="220" spans="1:8" ht="18" customHeight="1" x14ac:dyDescent="0.25">
      <c r="A220" s="85">
        <v>224</v>
      </c>
      <c r="B220" s="59">
        <v>1</v>
      </c>
      <c r="C220" s="85">
        <f>_xlfn.XLOOKUP(E220,'🚛 FROTA'!B:B,'🚛 FROTA'!A:A,"")</f>
        <v>8</v>
      </c>
      <c r="D220" s="85" t="s">
        <v>1556</v>
      </c>
      <c r="E220" s="85" t="s">
        <v>94</v>
      </c>
      <c r="F220" s="58">
        <v>46023</v>
      </c>
      <c r="G220" s="162">
        <v>83.53</v>
      </c>
      <c r="H220" s="77" t="s">
        <v>522</v>
      </c>
    </row>
    <row r="221" spans="1:8" ht="18" customHeight="1" x14ac:dyDescent="0.25">
      <c r="A221" s="84">
        <v>225</v>
      </c>
      <c r="B221" s="62">
        <v>1</v>
      </c>
      <c r="C221" s="84">
        <f>_xlfn.XLOOKUP(E221,'🚛 FROTA'!B:B,'🚛 FROTA'!A:A,"")</f>
        <v>40</v>
      </c>
      <c r="D221" s="84" t="s">
        <v>1556</v>
      </c>
      <c r="E221" s="84" t="s">
        <v>165</v>
      </c>
      <c r="F221" s="61">
        <v>46023</v>
      </c>
      <c r="G221" s="163">
        <v>83.53</v>
      </c>
      <c r="H221" s="77" t="s">
        <v>522</v>
      </c>
    </row>
    <row r="222" spans="1:8" ht="18" customHeight="1" x14ac:dyDescent="0.25">
      <c r="A222" s="85">
        <v>226</v>
      </c>
      <c r="B222" s="59">
        <v>1</v>
      </c>
      <c r="C222" s="85">
        <f>_xlfn.XLOOKUP(E222,'🚛 FROTA'!B:B,'🚛 FROTA'!A:A,"")</f>
        <v>5</v>
      </c>
      <c r="D222" s="85" t="s">
        <v>1556</v>
      </c>
      <c r="E222" s="85" t="s">
        <v>82</v>
      </c>
      <c r="F222" s="58">
        <v>46023</v>
      </c>
      <c r="G222" s="162">
        <v>83.53</v>
      </c>
      <c r="H222" s="77" t="s">
        <v>522</v>
      </c>
    </row>
    <row r="223" spans="1:8" ht="18" customHeight="1" x14ac:dyDescent="0.25">
      <c r="A223" s="84">
        <v>227</v>
      </c>
      <c r="B223" s="62">
        <v>1</v>
      </c>
      <c r="C223" s="84">
        <f>_xlfn.XLOOKUP(E223,'🚛 FROTA'!B:B,'🚛 FROTA'!A:A,"")</f>
        <v>47</v>
      </c>
      <c r="D223" s="84" t="s">
        <v>1556</v>
      </c>
      <c r="E223" s="84" t="s">
        <v>174</v>
      </c>
      <c r="F223" s="61">
        <v>46023</v>
      </c>
      <c r="G223" s="163">
        <v>83.53</v>
      </c>
      <c r="H223" s="77" t="s">
        <v>522</v>
      </c>
    </row>
    <row r="224" spans="1:8" ht="18" customHeight="1" x14ac:dyDescent="0.25">
      <c r="A224" s="85">
        <v>228</v>
      </c>
      <c r="B224" s="59">
        <v>1</v>
      </c>
      <c r="C224" s="85">
        <f>_xlfn.XLOOKUP(E224,'🚛 FROTA'!B:B,'🚛 FROTA'!A:A,"")</f>
        <v>34</v>
      </c>
      <c r="D224" s="85" t="s">
        <v>1556</v>
      </c>
      <c r="E224" s="85" t="s">
        <v>155</v>
      </c>
      <c r="F224" s="58">
        <v>46023</v>
      </c>
      <c r="G224" s="162">
        <v>83.53</v>
      </c>
      <c r="H224" s="77" t="s">
        <v>522</v>
      </c>
    </row>
    <row r="225" spans="1:8" ht="18" customHeight="1" x14ac:dyDescent="0.25">
      <c r="A225" s="84">
        <v>229</v>
      </c>
      <c r="B225" s="62">
        <v>1</v>
      </c>
      <c r="C225" s="84">
        <f>_xlfn.XLOOKUP(E225,'🚛 FROTA'!B:B,'🚛 FROTA'!A:A,"")</f>
        <v>43</v>
      </c>
      <c r="D225" s="84" t="s">
        <v>1556</v>
      </c>
      <c r="E225" s="84" t="s">
        <v>169</v>
      </c>
      <c r="F225" s="61">
        <v>46023</v>
      </c>
      <c r="G225" s="163">
        <v>83.53</v>
      </c>
      <c r="H225" s="77" t="s">
        <v>522</v>
      </c>
    </row>
    <row r="226" spans="1:8" ht="18" customHeight="1" x14ac:dyDescent="0.25">
      <c r="A226" s="85">
        <v>230</v>
      </c>
      <c r="B226" s="59">
        <v>1</v>
      </c>
      <c r="C226" s="85">
        <f>_xlfn.XLOOKUP(E226,'🚛 FROTA'!B:B,'🚛 FROTA'!A:A,"")</f>
        <v>44</v>
      </c>
      <c r="D226" s="85" t="s">
        <v>1556</v>
      </c>
      <c r="E226" s="85" t="s">
        <v>170</v>
      </c>
      <c r="F226" s="58">
        <v>46023</v>
      </c>
      <c r="G226" s="162">
        <v>83.53</v>
      </c>
      <c r="H226" s="77" t="s">
        <v>522</v>
      </c>
    </row>
    <row r="227" spans="1:8" ht="18" customHeight="1" x14ac:dyDescent="0.25">
      <c r="A227" s="84">
        <v>231</v>
      </c>
      <c r="B227" s="62">
        <v>1</v>
      </c>
      <c r="C227" s="84">
        <f>_xlfn.XLOOKUP(E227,'🚛 FROTA'!B:B,'🚛 FROTA'!A:A,"")</f>
        <v>42</v>
      </c>
      <c r="D227" s="84" t="s">
        <v>1556</v>
      </c>
      <c r="E227" s="84" t="s">
        <v>167</v>
      </c>
      <c r="F227" s="61">
        <v>46023</v>
      </c>
      <c r="G227" s="163">
        <v>83.53</v>
      </c>
      <c r="H227" s="77" t="s">
        <v>522</v>
      </c>
    </row>
    <row r="228" spans="1:8" ht="18" customHeight="1" x14ac:dyDescent="0.25">
      <c r="A228" s="85">
        <v>232</v>
      </c>
      <c r="B228" s="59">
        <v>1</v>
      </c>
      <c r="C228" s="85">
        <f>_xlfn.XLOOKUP(E228,'🚛 FROTA'!B:B,'🚛 FROTA'!A:A,"")</f>
        <v>46</v>
      </c>
      <c r="D228" s="85" t="s">
        <v>1556</v>
      </c>
      <c r="E228" s="85" t="s">
        <v>173</v>
      </c>
      <c r="F228" s="58">
        <v>46023</v>
      </c>
      <c r="G228" s="162">
        <v>83.53</v>
      </c>
      <c r="H228" s="77" t="s">
        <v>522</v>
      </c>
    </row>
    <row r="229" spans="1:8" ht="18" customHeight="1" x14ac:dyDescent="0.25">
      <c r="A229" s="84">
        <v>233</v>
      </c>
      <c r="B229" s="62">
        <v>1</v>
      </c>
      <c r="C229" s="84">
        <f>_xlfn.XLOOKUP(E229,'🚛 FROTA'!B:B,'🚛 FROTA'!A:A,"")</f>
        <v>45</v>
      </c>
      <c r="D229" s="84" t="s">
        <v>1556</v>
      </c>
      <c r="E229" s="84" t="s">
        <v>172</v>
      </c>
      <c r="F229" s="61">
        <v>46023</v>
      </c>
      <c r="G229" s="163">
        <v>83.53</v>
      </c>
      <c r="H229" s="77" t="s">
        <v>522</v>
      </c>
    </row>
    <row r="230" spans="1:8" ht="18" customHeight="1" x14ac:dyDescent="0.25">
      <c r="A230" s="85">
        <v>234</v>
      </c>
      <c r="B230" s="59">
        <v>1</v>
      </c>
      <c r="C230" s="85">
        <f>_xlfn.XLOOKUP(E230,'🚛 FROTA'!B:B,'🚛 FROTA'!A:A,"")</f>
        <v>24</v>
      </c>
      <c r="D230" s="85" t="s">
        <v>1556</v>
      </c>
      <c r="E230" s="85" t="s">
        <v>141</v>
      </c>
      <c r="F230" s="58">
        <v>46023</v>
      </c>
      <c r="G230" s="162">
        <v>83.53</v>
      </c>
      <c r="H230" s="77" t="s">
        <v>522</v>
      </c>
    </row>
    <row r="231" spans="1:8" ht="18" customHeight="1" x14ac:dyDescent="0.25">
      <c r="A231" s="84">
        <v>235</v>
      </c>
      <c r="B231" s="62">
        <v>1</v>
      </c>
      <c r="C231" s="84">
        <f>_xlfn.XLOOKUP(E231,'🚛 FROTA'!B:B,'🚛 FROTA'!A:A,"")</f>
        <v>39</v>
      </c>
      <c r="D231" s="84" t="s">
        <v>1556</v>
      </c>
      <c r="E231" s="84" t="s">
        <v>162</v>
      </c>
      <c r="F231" s="61">
        <v>46023</v>
      </c>
      <c r="G231" s="163">
        <v>83.53</v>
      </c>
      <c r="H231" s="77" t="s">
        <v>522</v>
      </c>
    </row>
    <row r="232" spans="1:8" ht="18" customHeight="1" x14ac:dyDescent="0.25">
      <c r="A232" s="85">
        <v>236</v>
      </c>
      <c r="B232" s="59">
        <v>1</v>
      </c>
      <c r="C232" s="85">
        <f>_xlfn.XLOOKUP(E232,'🚛 FROTA'!B:B,'🚛 FROTA'!A:A,"")</f>
        <v>17</v>
      </c>
      <c r="D232" s="85" t="s">
        <v>1556</v>
      </c>
      <c r="E232" s="85" t="s">
        <v>119</v>
      </c>
      <c r="F232" s="58">
        <v>46023</v>
      </c>
      <c r="G232" s="162">
        <v>83.53</v>
      </c>
      <c r="H232" s="77" t="s">
        <v>522</v>
      </c>
    </row>
    <row r="233" spans="1:8" ht="18" customHeight="1" x14ac:dyDescent="0.25">
      <c r="A233" s="84">
        <v>237</v>
      </c>
      <c r="B233" s="62">
        <v>1</v>
      </c>
      <c r="C233" s="84">
        <f>_xlfn.XLOOKUP(E233,'🚛 FROTA'!B:B,'🚛 FROTA'!A:A,"")</f>
        <v>20</v>
      </c>
      <c r="D233" s="84" t="s">
        <v>1556</v>
      </c>
      <c r="E233" s="84" t="s">
        <v>128</v>
      </c>
      <c r="F233" s="61">
        <v>46023</v>
      </c>
      <c r="G233" s="163">
        <v>83.53</v>
      </c>
      <c r="H233" s="77" t="s">
        <v>522</v>
      </c>
    </row>
    <row r="234" spans="1:8" ht="18" customHeight="1" x14ac:dyDescent="0.25">
      <c r="A234" s="85">
        <v>238</v>
      </c>
      <c r="B234" s="59">
        <v>1</v>
      </c>
      <c r="C234" s="85">
        <f>_xlfn.XLOOKUP(E234,'🚛 FROTA'!B:B,'🚛 FROTA'!A:A,"")</f>
        <v>11</v>
      </c>
      <c r="D234" s="85" t="s">
        <v>1556</v>
      </c>
      <c r="E234" s="85" t="s">
        <v>104</v>
      </c>
      <c r="F234" s="58">
        <v>46054</v>
      </c>
      <c r="G234" s="162">
        <v>83.53</v>
      </c>
      <c r="H234" s="77" t="s">
        <v>522</v>
      </c>
    </row>
    <row r="235" spans="1:8" ht="18" customHeight="1" x14ac:dyDescent="0.25">
      <c r="A235" s="84">
        <v>239</v>
      </c>
      <c r="B235" s="62">
        <v>1</v>
      </c>
      <c r="C235" s="84">
        <f>_xlfn.XLOOKUP(E235,'🚛 FROTA'!B:B,'🚛 FROTA'!A:A,"")</f>
        <v>41</v>
      </c>
      <c r="D235" s="84" t="s">
        <v>1556</v>
      </c>
      <c r="E235" s="84" t="s">
        <v>166</v>
      </c>
      <c r="F235" s="61">
        <v>46054</v>
      </c>
      <c r="G235" s="163">
        <v>83.53</v>
      </c>
      <c r="H235" s="77" t="s">
        <v>522</v>
      </c>
    </row>
    <row r="236" spans="1:8" ht="18" customHeight="1" x14ac:dyDescent="0.25">
      <c r="A236" s="85">
        <v>240</v>
      </c>
      <c r="B236" s="59">
        <v>1</v>
      </c>
      <c r="C236" s="85">
        <f>_xlfn.XLOOKUP(E236,'🚛 FROTA'!B:B,'🚛 FROTA'!A:A,"")</f>
        <v>6</v>
      </c>
      <c r="D236" s="85" t="s">
        <v>1556</v>
      </c>
      <c r="E236" s="85" t="s">
        <v>85</v>
      </c>
      <c r="F236" s="58">
        <v>46054</v>
      </c>
      <c r="G236" s="162">
        <v>83.53</v>
      </c>
      <c r="H236" s="77" t="s">
        <v>522</v>
      </c>
    </row>
    <row r="237" spans="1:8" ht="18" customHeight="1" x14ac:dyDescent="0.25">
      <c r="A237" s="84">
        <v>241</v>
      </c>
      <c r="B237" s="62">
        <v>1</v>
      </c>
      <c r="C237" s="84">
        <f>_xlfn.XLOOKUP(E237,'🚛 FROTA'!B:B,'🚛 FROTA'!A:A,"")</f>
        <v>8</v>
      </c>
      <c r="D237" s="84" t="s">
        <v>1556</v>
      </c>
      <c r="E237" s="84" t="s">
        <v>94</v>
      </c>
      <c r="F237" s="61">
        <v>46054</v>
      </c>
      <c r="G237" s="163">
        <v>83.53</v>
      </c>
      <c r="H237" s="77" t="s">
        <v>522</v>
      </c>
    </row>
    <row r="238" spans="1:8" ht="18" customHeight="1" x14ac:dyDescent="0.25">
      <c r="A238" s="85">
        <v>242</v>
      </c>
      <c r="B238" s="59">
        <v>1</v>
      </c>
      <c r="C238" s="85">
        <f>_xlfn.XLOOKUP(E238,'🚛 FROTA'!B:B,'🚛 FROTA'!A:A,"")</f>
        <v>40</v>
      </c>
      <c r="D238" s="85" t="s">
        <v>1556</v>
      </c>
      <c r="E238" s="85" t="s">
        <v>165</v>
      </c>
      <c r="F238" s="58">
        <v>46054</v>
      </c>
      <c r="G238" s="162">
        <v>83.53</v>
      </c>
      <c r="H238" s="77" t="s">
        <v>522</v>
      </c>
    </row>
    <row r="239" spans="1:8" ht="18" customHeight="1" x14ac:dyDescent="0.25">
      <c r="A239" s="84">
        <v>243</v>
      </c>
      <c r="B239" s="62">
        <v>1</v>
      </c>
      <c r="C239" s="84">
        <f>_xlfn.XLOOKUP(E239,'🚛 FROTA'!B:B,'🚛 FROTA'!A:A,"")</f>
        <v>5</v>
      </c>
      <c r="D239" s="84" t="s">
        <v>1556</v>
      </c>
      <c r="E239" s="84" t="s">
        <v>82</v>
      </c>
      <c r="F239" s="61">
        <v>46054</v>
      </c>
      <c r="G239" s="163">
        <v>83.53</v>
      </c>
      <c r="H239" s="77" t="s">
        <v>522</v>
      </c>
    </row>
    <row r="240" spans="1:8" ht="18" customHeight="1" x14ac:dyDescent="0.25">
      <c r="A240" s="85">
        <v>244</v>
      </c>
      <c r="B240" s="59">
        <v>1</v>
      </c>
      <c r="C240" s="85">
        <f>_xlfn.XLOOKUP(E240,'🚛 FROTA'!B:B,'🚛 FROTA'!A:A,"")</f>
        <v>47</v>
      </c>
      <c r="D240" s="85" t="s">
        <v>1556</v>
      </c>
      <c r="E240" s="85" t="s">
        <v>174</v>
      </c>
      <c r="F240" s="58">
        <v>46054</v>
      </c>
      <c r="G240" s="162">
        <v>83.53</v>
      </c>
      <c r="H240" s="77" t="s">
        <v>522</v>
      </c>
    </row>
    <row r="241" spans="1:8" ht="18" customHeight="1" x14ac:dyDescent="0.25">
      <c r="A241" s="84">
        <v>245</v>
      </c>
      <c r="B241" s="62">
        <v>1</v>
      </c>
      <c r="C241" s="84">
        <f>_xlfn.XLOOKUP(E241,'🚛 FROTA'!B:B,'🚛 FROTA'!A:A,"")</f>
        <v>34</v>
      </c>
      <c r="D241" s="84" t="s">
        <v>1556</v>
      </c>
      <c r="E241" s="84" t="s">
        <v>155</v>
      </c>
      <c r="F241" s="61">
        <v>46054</v>
      </c>
      <c r="G241" s="163">
        <v>83.53</v>
      </c>
      <c r="H241" s="77" t="s">
        <v>522</v>
      </c>
    </row>
    <row r="242" spans="1:8" ht="18" customHeight="1" x14ac:dyDescent="0.25">
      <c r="A242" s="85">
        <v>246</v>
      </c>
      <c r="B242" s="59">
        <v>1</v>
      </c>
      <c r="C242" s="85">
        <f>_xlfn.XLOOKUP(E242,'🚛 FROTA'!B:B,'🚛 FROTA'!A:A,"")</f>
        <v>43</v>
      </c>
      <c r="D242" s="85" t="s">
        <v>1556</v>
      </c>
      <c r="E242" s="85" t="s">
        <v>169</v>
      </c>
      <c r="F242" s="58">
        <v>46054</v>
      </c>
      <c r="G242" s="162">
        <v>83.53</v>
      </c>
      <c r="H242" s="77" t="s">
        <v>522</v>
      </c>
    </row>
    <row r="243" spans="1:8" ht="18" customHeight="1" x14ac:dyDescent="0.25">
      <c r="A243" s="84">
        <v>247</v>
      </c>
      <c r="B243" s="62">
        <v>1</v>
      </c>
      <c r="C243" s="84">
        <f>_xlfn.XLOOKUP(E243,'🚛 FROTA'!B:B,'🚛 FROTA'!A:A,"")</f>
        <v>44</v>
      </c>
      <c r="D243" s="84" t="s">
        <v>1556</v>
      </c>
      <c r="E243" s="84" t="s">
        <v>170</v>
      </c>
      <c r="F243" s="61">
        <v>46054</v>
      </c>
      <c r="G243" s="163">
        <v>83.53</v>
      </c>
      <c r="H243" s="77" t="s">
        <v>522</v>
      </c>
    </row>
    <row r="244" spans="1:8" ht="18" customHeight="1" x14ac:dyDescent="0.25">
      <c r="A244" s="85">
        <v>248</v>
      </c>
      <c r="B244" s="59">
        <v>1</v>
      </c>
      <c r="C244" s="85">
        <f>_xlfn.XLOOKUP(E244,'🚛 FROTA'!B:B,'🚛 FROTA'!A:A,"")</f>
        <v>42</v>
      </c>
      <c r="D244" s="85" t="s">
        <v>1556</v>
      </c>
      <c r="E244" s="85" t="s">
        <v>167</v>
      </c>
      <c r="F244" s="58">
        <v>46054</v>
      </c>
      <c r="G244" s="162">
        <v>83.53</v>
      </c>
      <c r="H244" s="77" t="s">
        <v>522</v>
      </c>
    </row>
    <row r="245" spans="1:8" ht="18" customHeight="1" x14ac:dyDescent="0.25">
      <c r="A245" s="84">
        <v>249</v>
      </c>
      <c r="B245" s="62">
        <v>1</v>
      </c>
      <c r="C245" s="84">
        <f>_xlfn.XLOOKUP(E245,'🚛 FROTA'!B:B,'🚛 FROTA'!A:A,"")</f>
        <v>46</v>
      </c>
      <c r="D245" s="84" t="s">
        <v>1556</v>
      </c>
      <c r="E245" s="84" t="s">
        <v>173</v>
      </c>
      <c r="F245" s="61">
        <v>46054</v>
      </c>
      <c r="G245" s="163">
        <v>83.53</v>
      </c>
      <c r="H245" s="77" t="s">
        <v>522</v>
      </c>
    </row>
    <row r="246" spans="1:8" ht="18" customHeight="1" x14ac:dyDescent="0.25">
      <c r="A246" s="85">
        <v>250</v>
      </c>
      <c r="B246" s="59">
        <v>1</v>
      </c>
      <c r="C246" s="85">
        <f>_xlfn.XLOOKUP(E246,'🚛 FROTA'!B:B,'🚛 FROTA'!A:A,"")</f>
        <v>45</v>
      </c>
      <c r="D246" s="85" t="s">
        <v>1556</v>
      </c>
      <c r="E246" s="85" t="s">
        <v>172</v>
      </c>
      <c r="F246" s="58">
        <v>46054</v>
      </c>
      <c r="G246" s="162">
        <v>83.53</v>
      </c>
      <c r="H246" s="77" t="s">
        <v>522</v>
      </c>
    </row>
    <row r="247" spans="1:8" ht="18" customHeight="1" x14ac:dyDescent="0.25">
      <c r="A247" s="84">
        <v>251</v>
      </c>
      <c r="B247" s="62">
        <v>1</v>
      </c>
      <c r="C247" s="84">
        <f>_xlfn.XLOOKUP(E247,'🚛 FROTA'!B:B,'🚛 FROTA'!A:A,"")</f>
        <v>24</v>
      </c>
      <c r="D247" s="84" t="s">
        <v>1556</v>
      </c>
      <c r="E247" s="84" t="s">
        <v>141</v>
      </c>
      <c r="F247" s="61">
        <v>46054</v>
      </c>
      <c r="G247" s="163">
        <v>83.53</v>
      </c>
      <c r="H247" s="77" t="s">
        <v>522</v>
      </c>
    </row>
    <row r="248" spans="1:8" ht="18" customHeight="1" x14ac:dyDescent="0.25">
      <c r="A248" s="85">
        <v>252</v>
      </c>
      <c r="B248" s="59">
        <v>1</v>
      </c>
      <c r="C248" s="85">
        <f>_xlfn.XLOOKUP(E248,'🚛 FROTA'!B:B,'🚛 FROTA'!A:A,"")</f>
        <v>39</v>
      </c>
      <c r="D248" s="85" t="s">
        <v>1556</v>
      </c>
      <c r="E248" s="85" t="s">
        <v>162</v>
      </c>
      <c r="F248" s="58">
        <v>46054</v>
      </c>
      <c r="G248" s="162">
        <v>83.53</v>
      </c>
      <c r="H248" s="77" t="s">
        <v>522</v>
      </c>
    </row>
    <row r="249" spans="1:8" ht="18" customHeight="1" x14ac:dyDescent="0.25">
      <c r="A249" s="84">
        <v>253</v>
      </c>
      <c r="B249" s="62">
        <v>1</v>
      </c>
      <c r="C249" s="84">
        <f>_xlfn.XLOOKUP(E249,'🚛 FROTA'!B:B,'🚛 FROTA'!A:A,"")</f>
        <v>17</v>
      </c>
      <c r="D249" s="84" t="s">
        <v>1556</v>
      </c>
      <c r="E249" s="84" t="s">
        <v>119</v>
      </c>
      <c r="F249" s="61">
        <v>46054</v>
      </c>
      <c r="G249" s="163">
        <v>83.53</v>
      </c>
      <c r="H249" s="77" t="s">
        <v>522</v>
      </c>
    </row>
    <row r="250" spans="1:8" ht="18" customHeight="1" x14ac:dyDescent="0.25">
      <c r="A250" s="85">
        <v>254</v>
      </c>
      <c r="B250" s="59">
        <v>1</v>
      </c>
      <c r="C250" s="85">
        <f>_xlfn.XLOOKUP(E250,'🚛 FROTA'!B:B,'🚛 FROTA'!A:A,"")</f>
        <v>20</v>
      </c>
      <c r="D250" s="85" t="s">
        <v>1556</v>
      </c>
      <c r="E250" s="85" t="s">
        <v>128</v>
      </c>
      <c r="F250" s="58">
        <v>46054</v>
      </c>
      <c r="G250" s="162">
        <v>83.53</v>
      </c>
      <c r="H250" s="77" t="s">
        <v>522</v>
      </c>
    </row>
    <row r="251" spans="1:8" ht="18" customHeight="1" x14ac:dyDescent="0.25">
      <c r="A251" s="84">
        <v>255</v>
      </c>
      <c r="B251" s="62">
        <v>1</v>
      </c>
      <c r="C251" s="84">
        <f>_xlfn.XLOOKUP(E251,'🚛 FROTA'!B:B,'🚛 FROTA'!A:A,"")</f>
        <v>11</v>
      </c>
      <c r="D251" s="84" t="s">
        <v>1556</v>
      </c>
      <c r="E251" s="84" t="s">
        <v>104</v>
      </c>
      <c r="F251" s="61">
        <v>46082</v>
      </c>
      <c r="G251" s="163">
        <v>83.53</v>
      </c>
      <c r="H251" s="77" t="s">
        <v>522</v>
      </c>
    </row>
    <row r="252" spans="1:8" ht="18" customHeight="1" x14ac:dyDescent="0.25">
      <c r="A252" s="85">
        <v>256</v>
      </c>
      <c r="B252" s="59">
        <v>1</v>
      </c>
      <c r="C252" s="85">
        <f>_xlfn.XLOOKUP(E252,'🚛 FROTA'!B:B,'🚛 FROTA'!A:A,"")</f>
        <v>41</v>
      </c>
      <c r="D252" s="85" t="s">
        <v>1556</v>
      </c>
      <c r="E252" s="85" t="s">
        <v>166</v>
      </c>
      <c r="F252" s="58">
        <v>46082</v>
      </c>
      <c r="G252" s="162">
        <v>83.53</v>
      </c>
      <c r="H252" s="77" t="s">
        <v>522</v>
      </c>
    </row>
    <row r="253" spans="1:8" ht="18" customHeight="1" x14ac:dyDescent="0.25">
      <c r="A253" s="84">
        <v>257</v>
      </c>
      <c r="B253" s="62">
        <v>1</v>
      </c>
      <c r="C253" s="84">
        <f>_xlfn.XLOOKUP(E253,'🚛 FROTA'!B:B,'🚛 FROTA'!A:A,"")</f>
        <v>6</v>
      </c>
      <c r="D253" s="84" t="s">
        <v>1556</v>
      </c>
      <c r="E253" s="84" t="s">
        <v>85</v>
      </c>
      <c r="F253" s="61">
        <v>46082</v>
      </c>
      <c r="G253" s="163">
        <v>83.53</v>
      </c>
      <c r="H253" s="77" t="s">
        <v>522</v>
      </c>
    </row>
    <row r="254" spans="1:8" ht="18" customHeight="1" x14ac:dyDescent="0.25">
      <c r="A254" s="85">
        <v>258</v>
      </c>
      <c r="B254" s="59">
        <v>1</v>
      </c>
      <c r="C254" s="85">
        <f>_xlfn.XLOOKUP(E254,'🚛 FROTA'!B:B,'🚛 FROTA'!A:A,"")</f>
        <v>8</v>
      </c>
      <c r="D254" s="85" t="s">
        <v>1556</v>
      </c>
      <c r="E254" s="85" t="s">
        <v>94</v>
      </c>
      <c r="F254" s="58">
        <v>46082</v>
      </c>
      <c r="G254" s="162">
        <v>83.53</v>
      </c>
      <c r="H254" s="77" t="s">
        <v>522</v>
      </c>
    </row>
    <row r="255" spans="1:8" ht="18" customHeight="1" x14ac:dyDescent="0.25">
      <c r="A255" s="84">
        <v>259</v>
      </c>
      <c r="B255" s="62">
        <v>1</v>
      </c>
      <c r="C255" s="84">
        <f>_xlfn.XLOOKUP(E255,'🚛 FROTA'!B:B,'🚛 FROTA'!A:A,"")</f>
        <v>40</v>
      </c>
      <c r="D255" s="84" t="s">
        <v>1556</v>
      </c>
      <c r="E255" s="84" t="s">
        <v>165</v>
      </c>
      <c r="F255" s="61">
        <v>46082</v>
      </c>
      <c r="G255" s="163">
        <v>83.53</v>
      </c>
      <c r="H255" s="77" t="s">
        <v>522</v>
      </c>
    </row>
    <row r="256" spans="1:8" ht="18" customHeight="1" x14ac:dyDescent="0.25">
      <c r="A256" s="85">
        <v>260</v>
      </c>
      <c r="B256" s="59">
        <v>1</v>
      </c>
      <c r="C256" s="85">
        <f>_xlfn.XLOOKUP(E256,'🚛 FROTA'!B:B,'🚛 FROTA'!A:A,"")</f>
        <v>5</v>
      </c>
      <c r="D256" s="85" t="s">
        <v>1556</v>
      </c>
      <c r="E256" s="85" t="s">
        <v>82</v>
      </c>
      <c r="F256" s="58">
        <v>46082</v>
      </c>
      <c r="G256" s="162">
        <v>83.53</v>
      </c>
      <c r="H256" s="77" t="s">
        <v>522</v>
      </c>
    </row>
    <row r="257" spans="1:8" ht="18" customHeight="1" x14ac:dyDescent="0.25">
      <c r="A257" s="84">
        <v>261</v>
      </c>
      <c r="B257" s="62">
        <v>1</v>
      </c>
      <c r="C257" s="84">
        <f>_xlfn.XLOOKUP(E257,'🚛 FROTA'!B:B,'🚛 FROTA'!A:A,"")</f>
        <v>47</v>
      </c>
      <c r="D257" s="84" t="s">
        <v>1556</v>
      </c>
      <c r="E257" s="84" t="s">
        <v>174</v>
      </c>
      <c r="F257" s="61">
        <v>46082</v>
      </c>
      <c r="G257" s="163">
        <v>83.53</v>
      </c>
      <c r="H257" s="77" t="s">
        <v>522</v>
      </c>
    </row>
    <row r="258" spans="1:8" ht="18" customHeight="1" x14ac:dyDescent="0.25">
      <c r="A258" s="85">
        <v>262</v>
      </c>
      <c r="B258" s="59">
        <v>1</v>
      </c>
      <c r="C258" s="85">
        <f>_xlfn.XLOOKUP(E258,'🚛 FROTA'!B:B,'🚛 FROTA'!A:A,"")</f>
        <v>34</v>
      </c>
      <c r="D258" s="85" t="s">
        <v>1556</v>
      </c>
      <c r="E258" s="85" t="s">
        <v>155</v>
      </c>
      <c r="F258" s="58">
        <v>46082</v>
      </c>
      <c r="G258" s="162">
        <v>83.53</v>
      </c>
      <c r="H258" s="77" t="s">
        <v>522</v>
      </c>
    </row>
    <row r="259" spans="1:8" ht="18" customHeight="1" x14ac:dyDescent="0.25">
      <c r="A259" s="84">
        <v>263</v>
      </c>
      <c r="B259" s="62">
        <v>1</v>
      </c>
      <c r="C259" s="84">
        <f>_xlfn.XLOOKUP(E259,'🚛 FROTA'!B:B,'🚛 FROTA'!A:A,"")</f>
        <v>43</v>
      </c>
      <c r="D259" s="84" t="s">
        <v>1556</v>
      </c>
      <c r="E259" s="84" t="s">
        <v>169</v>
      </c>
      <c r="F259" s="61">
        <v>46082</v>
      </c>
      <c r="G259" s="163">
        <v>83.53</v>
      </c>
      <c r="H259" s="77" t="s">
        <v>522</v>
      </c>
    </row>
    <row r="260" spans="1:8" ht="18" customHeight="1" x14ac:dyDescent="0.25">
      <c r="A260" s="85">
        <v>264</v>
      </c>
      <c r="B260" s="59">
        <v>1</v>
      </c>
      <c r="C260" s="85">
        <f>_xlfn.XLOOKUP(E260,'🚛 FROTA'!B:B,'🚛 FROTA'!A:A,"")</f>
        <v>44</v>
      </c>
      <c r="D260" s="85" t="s">
        <v>1556</v>
      </c>
      <c r="E260" s="85" t="s">
        <v>170</v>
      </c>
      <c r="F260" s="58">
        <v>46082</v>
      </c>
      <c r="G260" s="162">
        <v>83.53</v>
      </c>
      <c r="H260" s="77" t="s">
        <v>522</v>
      </c>
    </row>
    <row r="261" spans="1:8" ht="18" customHeight="1" x14ac:dyDescent="0.25">
      <c r="A261" s="84">
        <v>265</v>
      </c>
      <c r="B261" s="62">
        <v>1</v>
      </c>
      <c r="C261" s="84">
        <f>_xlfn.XLOOKUP(E261,'🚛 FROTA'!B:B,'🚛 FROTA'!A:A,"")</f>
        <v>42</v>
      </c>
      <c r="D261" s="84" t="s">
        <v>1556</v>
      </c>
      <c r="E261" s="84" t="s">
        <v>167</v>
      </c>
      <c r="F261" s="61">
        <v>46082</v>
      </c>
      <c r="G261" s="163">
        <v>83.53</v>
      </c>
      <c r="H261" s="77" t="s">
        <v>522</v>
      </c>
    </row>
    <row r="262" spans="1:8" ht="18" customHeight="1" x14ac:dyDescent="0.25">
      <c r="A262" s="85">
        <v>266</v>
      </c>
      <c r="B262" s="59">
        <v>1</v>
      </c>
      <c r="C262" s="85">
        <f>_xlfn.XLOOKUP(E262,'🚛 FROTA'!B:B,'🚛 FROTA'!A:A,"")</f>
        <v>46</v>
      </c>
      <c r="D262" s="85" t="s">
        <v>1556</v>
      </c>
      <c r="E262" s="85" t="s">
        <v>173</v>
      </c>
      <c r="F262" s="58">
        <v>46082</v>
      </c>
      <c r="G262" s="162">
        <v>83.53</v>
      </c>
      <c r="H262" s="77" t="s">
        <v>522</v>
      </c>
    </row>
    <row r="263" spans="1:8" ht="18" customHeight="1" x14ac:dyDescent="0.25">
      <c r="A263" s="84">
        <v>267</v>
      </c>
      <c r="B263" s="62">
        <v>1</v>
      </c>
      <c r="C263" s="84">
        <f>_xlfn.XLOOKUP(E263,'🚛 FROTA'!B:B,'🚛 FROTA'!A:A,"")</f>
        <v>45</v>
      </c>
      <c r="D263" s="84" t="s">
        <v>1556</v>
      </c>
      <c r="E263" s="84" t="s">
        <v>172</v>
      </c>
      <c r="F263" s="61">
        <v>46082</v>
      </c>
      <c r="G263" s="163">
        <v>83.53</v>
      </c>
      <c r="H263" s="77" t="s">
        <v>522</v>
      </c>
    </row>
    <row r="264" spans="1:8" ht="18" customHeight="1" x14ac:dyDescent="0.25">
      <c r="A264" s="85">
        <v>268</v>
      </c>
      <c r="B264" s="59">
        <v>1</v>
      </c>
      <c r="C264" s="85">
        <f>_xlfn.XLOOKUP(E264,'🚛 FROTA'!B:B,'🚛 FROTA'!A:A,"")</f>
        <v>24</v>
      </c>
      <c r="D264" s="85" t="s">
        <v>1556</v>
      </c>
      <c r="E264" s="85" t="s">
        <v>141</v>
      </c>
      <c r="F264" s="58">
        <v>46082</v>
      </c>
      <c r="G264" s="162">
        <v>83.53</v>
      </c>
      <c r="H264" s="77" t="s">
        <v>522</v>
      </c>
    </row>
    <row r="265" spans="1:8" ht="18" customHeight="1" x14ac:dyDescent="0.25">
      <c r="A265" s="84">
        <v>269</v>
      </c>
      <c r="B265" s="62">
        <v>1</v>
      </c>
      <c r="C265" s="84">
        <f>_xlfn.XLOOKUP(E265,'🚛 FROTA'!B:B,'🚛 FROTA'!A:A,"")</f>
        <v>39</v>
      </c>
      <c r="D265" s="84" t="s">
        <v>1556</v>
      </c>
      <c r="E265" s="84" t="s">
        <v>162</v>
      </c>
      <c r="F265" s="61">
        <v>46082</v>
      </c>
      <c r="G265" s="163">
        <v>83.53</v>
      </c>
      <c r="H265" s="77" t="s">
        <v>522</v>
      </c>
    </row>
    <row r="266" spans="1:8" ht="18" customHeight="1" x14ac:dyDescent="0.25">
      <c r="A266" s="85">
        <v>270</v>
      </c>
      <c r="B266" s="59">
        <v>1</v>
      </c>
      <c r="C266" s="85">
        <f>_xlfn.XLOOKUP(E266,'🚛 FROTA'!B:B,'🚛 FROTA'!A:A,"")</f>
        <v>17</v>
      </c>
      <c r="D266" s="85" t="s">
        <v>1556</v>
      </c>
      <c r="E266" s="85" t="s">
        <v>119</v>
      </c>
      <c r="F266" s="58">
        <v>46082</v>
      </c>
      <c r="G266" s="162">
        <v>83.53</v>
      </c>
      <c r="H266" s="77" t="s">
        <v>522</v>
      </c>
    </row>
    <row r="267" spans="1:8" ht="18" customHeight="1" x14ac:dyDescent="0.25">
      <c r="A267" s="84">
        <v>271</v>
      </c>
      <c r="B267" s="62">
        <v>1</v>
      </c>
      <c r="C267" s="84">
        <f>_xlfn.XLOOKUP(E267,'🚛 FROTA'!B:B,'🚛 FROTA'!A:A,"")</f>
        <v>20</v>
      </c>
      <c r="D267" s="84" t="s">
        <v>1556</v>
      </c>
      <c r="E267" s="84" t="s">
        <v>128</v>
      </c>
      <c r="F267" s="61">
        <v>46082</v>
      </c>
      <c r="G267" s="163">
        <v>83.53</v>
      </c>
      <c r="H267" s="77" t="s">
        <v>522</v>
      </c>
    </row>
    <row r="268" spans="1:8" ht="18" customHeight="1" x14ac:dyDescent="0.25">
      <c r="A268" s="85">
        <v>272</v>
      </c>
      <c r="B268" s="59">
        <v>1</v>
      </c>
      <c r="C268" s="85">
        <f>_xlfn.XLOOKUP(E268,'🚛 FROTA'!B:B,'🚛 FROTA'!A:A,"")</f>
        <v>11</v>
      </c>
      <c r="D268" s="85" t="s">
        <v>1556</v>
      </c>
      <c r="E268" s="85" t="s">
        <v>104</v>
      </c>
      <c r="F268" s="58">
        <v>46113</v>
      </c>
      <c r="G268" s="162">
        <v>83.53</v>
      </c>
      <c r="H268" s="77" t="s">
        <v>522</v>
      </c>
    </row>
    <row r="269" spans="1:8" ht="18" customHeight="1" x14ac:dyDescent="0.25">
      <c r="A269" s="84">
        <v>273</v>
      </c>
      <c r="B269" s="62">
        <v>1</v>
      </c>
      <c r="C269" s="84">
        <f>_xlfn.XLOOKUP(E269,'🚛 FROTA'!B:B,'🚛 FROTA'!A:A,"")</f>
        <v>41</v>
      </c>
      <c r="D269" s="84" t="s">
        <v>1556</v>
      </c>
      <c r="E269" s="84" t="s">
        <v>166</v>
      </c>
      <c r="F269" s="61">
        <v>46113</v>
      </c>
      <c r="G269" s="163">
        <v>83.53</v>
      </c>
      <c r="H269" s="77" t="s">
        <v>522</v>
      </c>
    </row>
    <row r="270" spans="1:8" ht="18" customHeight="1" x14ac:dyDescent="0.25">
      <c r="A270" s="85">
        <v>274</v>
      </c>
      <c r="B270" s="59">
        <v>1</v>
      </c>
      <c r="C270" s="85">
        <f>_xlfn.XLOOKUP(E270,'🚛 FROTA'!B:B,'🚛 FROTA'!A:A,"")</f>
        <v>6</v>
      </c>
      <c r="D270" s="85" t="s">
        <v>1556</v>
      </c>
      <c r="E270" s="85" t="s">
        <v>85</v>
      </c>
      <c r="F270" s="58">
        <v>46113</v>
      </c>
      <c r="G270" s="162">
        <v>83.53</v>
      </c>
      <c r="H270" s="77" t="s">
        <v>522</v>
      </c>
    </row>
    <row r="271" spans="1:8" ht="18" customHeight="1" x14ac:dyDescent="0.25">
      <c r="A271" s="84">
        <v>275</v>
      </c>
      <c r="B271" s="62">
        <v>1</v>
      </c>
      <c r="C271" s="84">
        <f>_xlfn.XLOOKUP(E271,'🚛 FROTA'!B:B,'🚛 FROTA'!A:A,"")</f>
        <v>8</v>
      </c>
      <c r="D271" s="84" t="s">
        <v>1556</v>
      </c>
      <c r="E271" s="84" t="s">
        <v>94</v>
      </c>
      <c r="F271" s="61">
        <v>46113</v>
      </c>
      <c r="G271" s="163">
        <v>83.53</v>
      </c>
      <c r="H271" s="77" t="s">
        <v>522</v>
      </c>
    </row>
    <row r="272" spans="1:8" ht="18" customHeight="1" x14ac:dyDescent="0.25">
      <c r="A272" s="85">
        <v>276</v>
      </c>
      <c r="B272" s="59">
        <v>1</v>
      </c>
      <c r="C272" s="85">
        <f>_xlfn.XLOOKUP(E272,'🚛 FROTA'!B:B,'🚛 FROTA'!A:A,"")</f>
        <v>40</v>
      </c>
      <c r="D272" s="85" t="s">
        <v>1556</v>
      </c>
      <c r="E272" s="85" t="s">
        <v>165</v>
      </c>
      <c r="F272" s="58">
        <v>46113</v>
      </c>
      <c r="G272" s="162">
        <v>83.53</v>
      </c>
      <c r="H272" s="77" t="s">
        <v>522</v>
      </c>
    </row>
    <row r="273" spans="1:8" ht="18" customHeight="1" x14ac:dyDescent="0.25">
      <c r="A273" s="84">
        <v>277</v>
      </c>
      <c r="B273" s="62">
        <v>1</v>
      </c>
      <c r="C273" s="84">
        <f>_xlfn.XLOOKUP(E273,'🚛 FROTA'!B:B,'🚛 FROTA'!A:A,"")</f>
        <v>5</v>
      </c>
      <c r="D273" s="84" t="s">
        <v>1556</v>
      </c>
      <c r="E273" s="84" t="s">
        <v>82</v>
      </c>
      <c r="F273" s="61">
        <v>46113</v>
      </c>
      <c r="G273" s="163">
        <v>83.53</v>
      </c>
      <c r="H273" s="77" t="s">
        <v>522</v>
      </c>
    </row>
    <row r="274" spans="1:8" ht="18" customHeight="1" x14ac:dyDescent="0.25">
      <c r="A274" s="85">
        <v>278</v>
      </c>
      <c r="B274" s="59">
        <v>1</v>
      </c>
      <c r="C274" s="85">
        <f>_xlfn.XLOOKUP(E274,'🚛 FROTA'!B:B,'🚛 FROTA'!A:A,"")</f>
        <v>47</v>
      </c>
      <c r="D274" s="85" t="s">
        <v>1556</v>
      </c>
      <c r="E274" s="85" t="s">
        <v>174</v>
      </c>
      <c r="F274" s="58">
        <v>46113</v>
      </c>
      <c r="G274" s="162">
        <v>83.53</v>
      </c>
      <c r="H274" s="77" t="s">
        <v>522</v>
      </c>
    </row>
    <row r="275" spans="1:8" ht="18" customHeight="1" x14ac:dyDescent="0.25">
      <c r="A275" s="84">
        <v>279</v>
      </c>
      <c r="B275" s="62">
        <v>1</v>
      </c>
      <c r="C275" s="84">
        <f>_xlfn.XLOOKUP(E275,'🚛 FROTA'!B:B,'🚛 FROTA'!A:A,"")</f>
        <v>34</v>
      </c>
      <c r="D275" s="84" t="s">
        <v>1556</v>
      </c>
      <c r="E275" s="84" t="s">
        <v>155</v>
      </c>
      <c r="F275" s="61">
        <v>46113</v>
      </c>
      <c r="G275" s="163">
        <v>83.53</v>
      </c>
      <c r="H275" s="77" t="s">
        <v>522</v>
      </c>
    </row>
    <row r="276" spans="1:8" ht="18" customHeight="1" x14ac:dyDescent="0.25">
      <c r="A276" s="85">
        <v>280</v>
      </c>
      <c r="B276" s="59">
        <v>1</v>
      </c>
      <c r="C276" s="85">
        <f>_xlfn.XLOOKUP(E276,'🚛 FROTA'!B:B,'🚛 FROTA'!A:A,"")</f>
        <v>43</v>
      </c>
      <c r="D276" s="85" t="s">
        <v>1556</v>
      </c>
      <c r="E276" s="85" t="s">
        <v>169</v>
      </c>
      <c r="F276" s="58">
        <v>46113</v>
      </c>
      <c r="G276" s="162">
        <v>83.53</v>
      </c>
      <c r="H276" s="77" t="s">
        <v>522</v>
      </c>
    </row>
    <row r="277" spans="1:8" ht="18" customHeight="1" x14ac:dyDescent="0.25">
      <c r="A277" s="84">
        <v>281</v>
      </c>
      <c r="B277" s="62">
        <v>1</v>
      </c>
      <c r="C277" s="84">
        <f>_xlfn.XLOOKUP(E277,'🚛 FROTA'!B:B,'🚛 FROTA'!A:A,"")</f>
        <v>44</v>
      </c>
      <c r="D277" s="84" t="s">
        <v>1556</v>
      </c>
      <c r="E277" s="84" t="s">
        <v>170</v>
      </c>
      <c r="F277" s="61">
        <v>46113</v>
      </c>
      <c r="G277" s="163">
        <v>83.53</v>
      </c>
      <c r="H277" s="77" t="s">
        <v>522</v>
      </c>
    </row>
    <row r="278" spans="1:8" ht="18" customHeight="1" x14ac:dyDescent="0.25">
      <c r="A278" s="85">
        <v>282</v>
      </c>
      <c r="B278" s="59">
        <v>1</v>
      </c>
      <c r="C278" s="85">
        <f>_xlfn.XLOOKUP(E278,'🚛 FROTA'!B:B,'🚛 FROTA'!A:A,"")</f>
        <v>42</v>
      </c>
      <c r="D278" s="85" t="s">
        <v>1556</v>
      </c>
      <c r="E278" s="85" t="s">
        <v>167</v>
      </c>
      <c r="F278" s="58">
        <v>46113</v>
      </c>
      <c r="G278" s="162">
        <v>83.53</v>
      </c>
      <c r="H278" s="77" t="s">
        <v>522</v>
      </c>
    </row>
    <row r="279" spans="1:8" ht="18" customHeight="1" x14ac:dyDescent="0.25">
      <c r="A279" s="84">
        <v>283</v>
      </c>
      <c r="B279" s="62">
        <v>1</v>
      </c>
      <c r="C279" s="84">
        <f>_xlfn.XLOOKUP(E279,'🚛 FROTA'!B:B,'🚛 FROTA'!A:A,"")</f>
        <v>46</v>
      </c>
      <c r="D279" s="84" t="s">
        <v>1556</v>
      </c>
      <c r="E279" s="84" t="s">
        <v>173</v>
      </c>
      <c r="F279" s="61">
        <v>46113</v>
      </c>
      <c r="G279" s="163">
        <v>83.53</v>
      </c>
      <c r="H279" s="77" t="s">
        <v>522</v>
      </c>
    </row>
    <row r="280" spans="1:8" ht="18" customHeight="1" x14ac:dyDescent="0.25">
      <c r="A280" s="85">
        <v>284</v>
      </c>
      <c r="B280" s="59">
        <v>1</v>
      </c>
      <c r="C280" s="85">
        <f>_xlfn.XLOOKUP(E280,'🚛 FROTA'!B:B,'🚛 FROTA'!A:A,"")</f>
        <v>45</v>
      </c>
      <c r="D280" s="85" t="s">
        <v>1556</v>
      </c>
      <c r="E280" s="85" t="s">
        <v>172</v>
      </c>
      <c r="F280" s="58">
        <v>46113</v>
      </c>
      <c r="G280" s="162">
        <v>83.53</v>
      </c>
      <c r="H280" s="77" t="s">
        <v>522</v>
      </c>
    </row>
    <row r="281" spans="1:8" ht="18" customHeight="1" x14ac:dyDescent="0.25">
      <c r="A281" s="84">
        <v>285</v>
      </c>
      <c r="B281" s="62">
        <v>1</v>
      </c>
      <c r="C281" s="84">
        <f>_xlfn.XLOOKUP(E281,'🚛 FROTA'!B:B,'🚛 FROTA'!A:A,"")</f>
        <v>24</v>
      </c>
      <c r="D281" s="84" t="s">
        <v>1556</v>
      </c>
      <c r="E281" s="84" t="s">
        <v>141</v>
      </c>
      <c r="F281" s="61">
        <v>46113</v>
      </c>
      <c r="G281" s="163">
        <v>83.53</v>
      </c>
      <c r="H281" s="77" t="s">
        <v>522</v>
      </c>
    </row>
    <row r="282" spans="1:8" ht="18" customHeight="1" x14ac:dyDescent="0.25">
      <c r="A282" s="85">
        <v>286</v>
      </c>
      <c r="B282" s="59">
        <v>1</v>
      </c>
      <c r="C282" s="85">
        <f>_xlfn.XLOOKUP(E282,'🚛 FROTA'!B:B,'🚛 FROTA'!A:A,"")</f>
        <v>39</v>
      </c>
      <c r="D282" s="85" t="s">
        <v>1556</v>
      </c>
      <c r="E282" s="85" t="s">
        <v>162</v>
      </c>
      <c r="F282" s="58">
        <v>46113</v>
      </c>
      <c r="G282" s="162">
        <v>83.53</v>
      </c>
      <c r="H282" s="77" t="s">
        <v>522</v>
      </c>
    </row>
    <row r="283" spans="1:8" ht="18" customHeight="1" x14ac:dyDescent="0.25">
      <c r="A283" s="84">
        <v>287</v>
      </c>
      <c r="B283" s="62">
        <v>1</v>
      </c>
      <c r="C283" s="84">
        <f>_xlfn.XLOOKUP(E283,'🚛 FROTA'!B:B,'🚛 FROTA'!A:A,"")</f>
        <v>17</v>
      </c>
      <c r="D283" s="84" t="s">
        <v>1556</v>
      </c>
      <c r="E283" s="84" t="s">
        <v>119</v>
      </c>
      <c r="F283" s="61">
        <v>46113</v>
      </c>
      <c r="G283" s="163">
        <v>83.53</v>
      </c>
      <c r="H283" s="77" t="s">
        <v>522</v>
      </c>
    </row>
    <row r="284" spans="1:8" ht="18" customHeight="1" x14ac:dyDescent="0.25">
      <c r="A284" s="85">
        <v>288</v>
      </c>
      <c r="B284" s="59">
        <v>1</v>
      </c>
      <c r="C284" s="85">
        <f>_xlfn.XLOOKUP(E284,'🚛 FROTA'!B:B,'🚛 FROTA'!A:A,"")</f>
        <v>20</v>
      </c>
      <c r="D284" s="85" t="s">
        <v>1556</v>
      </c>
      <c r="E284" s="85" t="s">
        <v>128</v>
      </c>
      <c r="F284" s="58">
        <v>46113</v>
      </c>
      <c r="G284" s="162">
        <v>83.53</v>
      </c>
      <c r="H284" s="77" t="s">
        <v>522</v>
      </c>
    </row>
  </sheetData>
  <autoFilter ref="A1:H284" xr:uid="{00000000-0009-0000-0000-00000B000000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8"/>
  <sheetViews>
    <sheetView zoomScale="85" zoomScaleNormal="85" workbookViewId="0">
      <pane ySplit="1" topLeftCell="A2" activePane="bottomLeft" state="frozen"/>
      <selection pane="bottomLeft" activeCell="R38" sqref="R38"/>
    </sheetView>
  </sheetViews>
  <sheetFormatPr defaultColWidth="9" defaultRowHeight="18" customHeight="1" x14ac:dyDescent="0.2"/>
  <cols>
    <col min="1" max="1" width="20.28515625" style="89" bestFit="1" customWidth="1"/>
    <col min="2" max="2" width="13.28515625" style="89" bestFit="1" customWidth="1"/>
    <col min="3" max="3" width="12.140625" style="89" bestFit="1" customWidth="1"/>
    <col min="4" max="4" width="13.28515625" style="89" bestFit="1" customWidth="1"/>
    <col min="5" max="5" width="9" style="89" customWidth="1"/>
    <col min="6" max="16384" width="9" style="89"/>
  </cols>
  <sheetData>
    <row r="1" spans="1:4" ht="18" customHeight="1" x14ac:dyDescent="0.2">
      <c r="A1" s="70" t="s">
        <v>1557</v>
      </c>
      <c r="B1" s="70" t="s">
        <v>277</v>
      </c>
      <c r="C1" s="70" t="s">
        <v>46</v>
      </c>
      <c r="D1" s="70" t="s">
        <v>1558</v>
      </c>
    </row>
    <row r="2" spans="1:4" ht="18" customHeight="1" x14ac:dyDescent="0.2">
      <c r="A2" s="66">
        <v>1</v>
      </c>
      <c r="B2" s="66">
        <v>1</v>
      </c>
      <c r="C2" s="66">
        <v>17</v>
      </c>
      <c r="D2" s="66">
        <v>1</v>
      </c>
    </row>
    <row r="3" spans="1:4" ht="18" customHeight="1" x14ac:dyDescent="0.2">
      <c r="A3" s="66">
        <v>2</v>
      </c>
      <c r="B3" s="66">
        <v>1</v>
      </c>
      <c r="C3" s="66">
        <v>20</v>
      </c>
      <c r="D3" s="66">
        <v>2</v>
      </c>
    </row>
    <row r="4" spans="1:4" ht="18" customHeight="1" x14ac:dyDescent="0.2">
      <c r="A4" s="66">
        <v>3</v>
      </c>
      <c r="B4" s="66">
        <v>1</v>
      </c>
      <c r="C4" s="66">
        <v>24</v>
      </c>
      <c r="D4" s="66">
        <v>3</v>
      </c>
    </row>
    <row r="5" spans="1:4" ht="18" customHeight="1" x14ac:dyDescent="0.2">
      <c r="A5" s="66">
        <v>4</v>
      </c>
      <c r="B5" s="66">
        <v>1</v>
      </c>
      <c r="C5" s="66">
        <v>26</v>
      </c>
      <c r="D5" s="66">
        <v>4</v>
      </c>
    </row>
    <row r="6" spans="1:4" ht="18" customHeight="1" x14ac:dyDescent="0.2">
      <c r="A6" s="66">
        <v>5</v>
      </c>
      <c r="B6" s="66">
        <v>1</v>
      </c>
      <c r="C6" s="66">
        <v>27</v>
      </c>
      <c r="D6" s="66">
        <v>5</v>
      </c>
    </row>
    <row r="7" spans="1:4" ht="18" customHeight="1" x14ac:dyDescent="0.2">
      <c r="A7" s="66">
        <v>6</v>
      </c>
      <c r="B7" s="66">
        <v>1</v>
      </c>
      <c r="C7" s="66">
        <v>28</v>
      </c>
      <c r="D7" s="66">
        <v>6</v>
      </c>
    </row>
    <row r="8" spans="1:4" ht="18" customHeight="1" x14ac:dyDescent="0.2">
      <c r="A8" s="66">
        <v>7</v>
      </c>
      <c r="B8" s="66">
        <v>1</v>
      </c>
      <c r="C8" s="66">
        <v>29</v>
      </c>
      <c r="D8" s="66">
        <v>7</v>
      </c>
    </row>
    <row r="9" spans="1:4" ht="18" customHeight="1" x14ac:dyDescent="0.2">
      <c r="A9" s="66">
        <v>8</v>
      </c>
      <c r="B9" s="66">
        <v>1</v>
      </c>
      <c r="C9" s="66">
        <v>34</v>
      </c>
      <c r="D9" s="66">
        <v>8</v>
      </c>
    </row>
    <row r="10" spans="1:4" ht="18" customHeight="1" x14ac:dyDescent="0.2">
      <c r="A10" s="66">
        <v>9</v>
      </c>
      <c r="B10" s="66">
        <v>1</v>
      </c>
      <c r="C10" s="66">
        <v>39</v>
      </c>
      <c r="D10" s="66">
        <v>9</v>
      </c>
    </row>
    <row r="11" spans="1:4" ht="18" customHeight="1" x14ac:dyDescent="0.2">
      <c r="A11" s="66">
        <v>10</v>
      </c>
      <c r="B11" s="66">
        <v>1</v>
      </c>
      <c r="C11" s="66">
        <v>42</v>
      </c>
      <c r="D11" s="66">
        <v>10</v>
      </c>
    </row>
    <row r="12" spans="1:4" ht="18" customHeight="1" x14ac:dyDescent="0.2">
      <c r="A12" s="66">
        <v>11</v>
      </c>
      <c r="B12" s="66">
        <v>1</v>
      </c>
      <c r="C12" s="66">
        <v>43</v>
      </c>
      <c r="D12" s="66">
        <v>11</v>
      </c>
    </row>
    <row r="13" spans="1:4" ht="18" customHeight="1" x14ac:dyDescent="0.2">
      <c r="A13" s="66">
        <v>12</v>
      </c>
      <c r="B13" s="66">
        <v>1</v>
      </c>
      <c r="C13" s="66">
        <v>45</v>
      </c>
      <c r="D13" s="66">
        <v>12</v>
      </c>
    </row>
    <row r="14" spans="1:4" ht="18" customHeight="1" x14ac:dyDescent="0.2">
      <c r="A14" s="66">
        <v>13</v>
      </c>
      <c r="B14" s="66">
        <v>1</v>
      </c>
      <c r="C14" s="66">
        <v>49</v>
      </c>
      <c r="D14" s="66">
        <v>13</v>
      </c>
    </row>
    <row r="15" spans="1:4" ht="18" customHeight="1" x14ac:dyDescent="0.2">
      <c r="A15" s="66">
        <v>14</v>
      </c>
      <c r="B15" s="66">
        <v>2</v>
      </c>
      <c r="C15" s="66">
        <v>15</v>
      </c>
      <c r="D15" s="66">
        <v>1</v>
      </c>
    </row>
    <row r="16" spans="1:4" ht="18" customHeight="1" x14ac:dyDescent="0.2">
      <c r="A16" s="66">
        <v>15</v>
      </c>
      <c r="B16" s="66">
        <v>2</v>
      </c>
      <c r="C16" s="66">
        <v>38</v>
      </c>
      <c r="D16" s="66">
        <v>2</v>
      </c>
    </row>
    <row r="17" spans="1:4" ht="18" customHeight="1" x14ac:dyDescent="0.2">
      <c r="A17" s="66">
        <v>16</v>
      </c>
      <c r="B17" s="66">
        <v>2</v>
      </c>
      <c r="C17" s="66">
        <v>40</v>
      </c>
      <c r="D17" s="66">
        <v>3</v>
      </c>
    </row>
    <row r="18" spans="1:4" ht="18" customHeight="1" x14ac:dyDescent="0.2">
      <c r="A18" s="66">
        <v>17</v>
      </c>
      <c r="B18" s="66">
        <v>2</v>
      </c>
      <c r="C18" s="66">
        <v>41</v>
      </c>
      <c r="D18" s="66">
        <v>4</v>
      </c>
    </row>
    <row r="19" spans="1:4" ht="18" customHeight="1" x14ac:dyDescent="0.2">
      <c r="A19" s="66">
        <v>18</v>
      </c>
      <c r="B19" s="66">
        <v>2</v>
      </c>
      <c r="C19" s="66">
        <v>44</v>
      </c>
      <c r="D19" s="66">
        <v>5</v>
      </c>
    </row>
    <row r="20" spans="1:4" ht="18" customHeight="1" x14ac:dyDescent="0.2">
      <c r="A20" s="66">
        <v>19</v>
      </c>
      <c r="B20" s="66">
        <v>2</v>
      </c>
      <c r="C20" s="66">
        <v>46</v>
      </c>
      <c r="D20" s="66">
        <v>6</v>
      </c>
    </row>
    <row r="21" spans="1:4" ht="18" customHeight="1" x14ac:dyDescent="0.2">
      <c r="A21" s="66">
        <v>20</v>
      </c>
      <c r="B21" s="66">
        <v>3</v>
      </c>
      <c r="C21" s="66">
        <v>16</v>
      </c>
      <c r="D21" s="66">
        <v>1</v>
      </c>
    </row>
    <row r="22" spans="1:4" ht="18" customHeight="1" x14ac:dyDescent="0.2">
      <c r="A22" s="66">
        <v>21</v>
      </c>
      <c r="B22" s="66">
        <v>3</v>
      </c>
      <c r="C22" s="66">
        <v>41</v>
      </c>
      <c r="D22" s="66">
        <v>2</v>
      </c>
    </row>
    <row r="23" spans="1:4" ht="18" customHeight="1" x14ac:dyDescent="0.2">
      <c r="A23" s="66">
        <v>22</v>
      </c>
      <c r="B23" s="66">
        <v>3</v>
      </c>
      <c r="C23" s="66">
        <v>47</v>
      </c>
      <c r="D23" s="66">
        <v>3</v>
      </c>
    </row>
    <row r="24" spans="1:4" ht="18" customHeight="1" x14ac:dyDescent="0.2">
      <c r="A24" s="66">
        <v>23</v>
      </c>
      <c r="B24" s="66">
        <v>4</v>
      </c>
      <c r="C24" s="66">
        <v>23</v>
      </c>
      <c r="D24" s="66">
        <v>1</v>
      </c>
    </row>
    <row r="25" spans="1:4" ht="18" customHeight="1" x14ac:dyDescent="0.2">
      <c r="A25" s="66">
        <v>24</v>
      </c>
      <c r="B25" s="66">
        <v>5</v>
      </c>
      <c r="C25" s="66">
        <v>17</v>
      </c>
      <c r="D25" s="66">
        <v>1</v>
      </c>
    </row>
    <row r="26" spans="1:4" ht="18" customHeight="1" x14ac:dyDescent="0.2">
      <c r="A26" s="66">
        <v>25</v>
      </c>
      <c r="B26" s="66">
        <v>5</v>
      </c>
      <c r="C26" s="66">
        <v>24</v>
      </c>
      <c r="D26" s="66">
        <v>2</v>
      </c>
    </row>
    <row r="27" spans="1:4" ht="18" customHeight="1" x14ac:dyDescent="0.2">
      <c r="A27" s="66">
        <v>26</v>
      </c>
      <c r="B27" s="66">
        <v>5</v>
      </c>
      <c r="C27" s="66">
        <v>30</v>
      </c>
      <c r="D27" s="66">
        <v>3</v>
      </c>
    </row>
    <row r="28" spans="1:4" ht="18" customHeight="1" x14ac:dyDescent="0.2">
      <c r="A28" s="66">
        <v>27</v>
      </c>
      <c r="B28" s="66">
        <v>5</v>
      </c>
      <c r="C28" s="66">
        <v>32</v>
      </c>
      <c r="D28" s="66">
        <v>4</v>
      </c>
    </row>
    <row r="29" spans="1:4" ht="18" customHeight="1" x14ac:dyDescent="0.2">
      <c r="A29" s="66">
        <v>28</v>
      </c>
      <c r="B29" s="66">
        <v>5</v>
      </c>
      <c r="C29" s="66">
        <v>39</v>
      </c>
      <c r="D29" s="66">
        <v>5</v>
      </c>
    </row>
    <row r="30" spans="1:4" ht="18" customHeight="1" x14ac:dyDescent="0.2">
      <c r="A30" s="66">
        <v>29</v>
      </c>
      <c r="B30" s="66">
        <v>5</v>
      </c>
      <c r="C30" s="66">
        <v>43</v>
      </c>
      <c r="D30" s="66">
        <v>6</v>
      </c>
    </row>
    <row r="31" spans="1:4" ht="18" customHeight="1" x14ac:dyDescent="0.2">
      <c r="A31" s="66">
        <v>30</v>
      </c>
      <c r="B31" s="66">
        <v>5</v>
      </c>
      <c r="C31" s="66">
        <v>45</v>
      </c>
      <c r="D31" s="66">
        <v>7</v>
      </c>
    </row>
    <row r="32" spans="1:4" ht="18" customHeight="1" x14ac:dyDescent="0.2">
      <c r="A32" s="66">
        <v>31</v>
      </c>
      <c r="B32" s="66">
        <v>5</v>
      </c>
      <c r="C32" s="66">
        <v>49</v>
      </c>
      <c r="D32" s="66">
        <v>8</v>
      </c>
    </row>
    <row r="33" spans="1:4" ht="18" customHeight="1" x14ac:dyDescent="0.2">
      <c r="A33" s="66">
        <v>32</v>
      </c>
      <c r="B33" s="66">
        <v>6</v>
      </c>
      <c r="C33" s="66">
        <v>40</v>
      </c>
      <c r="D33" s="66">
        <v>1</v>
      </c>
    </row>
    <row r="34" spans="1:4" ht="18" customHeight="1" x14ac:dyDescent="0.2">
      <c r="A34" s="66">
        <v>33</v>
      </c>
      <c r="B34" s="66">
        <v>6</v>
      </c>
      <c r="C34" s="66">
        <v>44</v>
      </c>
      <c r="D34" s="66">
        <v>2</v>
      </c>
    </row>
    <row r="35" spans="1:4" ht="18" customHeight="1" x14ac:dyDescent="0.2">
      <c r="A35" s="66">
        <v>34</v>
      </c>
      <c r="B35" s="66">
        <v>6</v>
      </c>
      <c r="C35" s="66">
        <v>45</v>
      </c>
      <c r="D35" s="66">
        <v>3</v>
      </c>
    </row>
    <row r="36" spans="1:4" ht="18" customHeight="1" x14ac:dyDescent="0.2">
      <c r="A36" s="66">
        <v>35</v>
      </c>
      <c r="B36" s="66">
        <v>6</v>
      </c>
      <c r="C36" s="66">
        <v>46</v>
      </c>
      <c r="D36" s="66">
        <v>4</v>
      </c>
    </row>
    <row r="37" spans="1:4" ht="18" customHeight="1" x14ac:dyDescent="0.2">
      <c r="A37" s="66">
        <v>36</v>
      </c>
      <c r="B37" s="66">
        <v>7</v>
      </c>
      <c r="C37" s="66">
        <v>33</v>
      </c>
      <c r="D37" s="66">
        <v>1</v>
      </c>
    </row>
    <row r="38" spans="1:4" ht="18" customHeight="1" x14ac:dyDescent="0.2">
      <c r="A38" s="66">
        <v>37</v>
      </c>
      <c r="B38" s="66">
        <v>8</v>
      </c>
      <c r="C38" s="66">
        <v>4</v>
      </c>
      <c r="D38" s="66">
        <v>1</v>
      </c>
    </row>
    <row r="39" spans="1:4" ht="18" customHeight="1" x14ac:dyDescent="0.2">
      <c r="A39" s="66">
        <v>38</v>
      </c>
      <c r="B39" s="66">
        <v>8</v>
      </c>
      <c r="C39" s="66">
        <v>6</v>
      </c>
      <c r="D39" s="66">
        <v>2</v>
      </c>
    </row>
    <row r="40" spans="1:4" ht="18" customHeight="1" x14ac:dyDescent="0.2">
      <c r="A40" s="66">
        <v>39</v>
      </c>
      <c r="B40" s="66">
        <v>9</v>
      </c>
      <c r="C40" s="66">
        <v>4</v>
      </c>
      <c r="D40" s="66">
        <v>1</v>
      </c>
    </row>
    <row r="41" spans="1:4" ht="18" customHeight="1" x14ac:dyDescent="0.2">
      <c r="A41" s="66">
        <v>40</v>
      </c>
      <c r="B41" s="66">
        <v>9</v>
      </c>
      <c r="C41" s="66">
        <v>6</v>
      </c>
      <c r="D41" s="66">
        <v>2</v>
      </c>
    </row>
    <row r="42" spans="1:4" ht="18" customHeight="1" x14ac:dyDescent="0.2">
      <c r="A42" s="66">
        <v>41</v>
      </c>
      <c r="B42" s="66">
        <v>10</v>
      </c>
      <c r="C42" s="66">
        <v>34</v>
      </c>
      <c r="D42" s="66">
        <v>1</v>
      </c>
    </row>
    <row r="43" spans="1:4" ht="18" customHeight="1" x14ac:dyDescent="0.2">
      <c r="A43" s="66">
        <v>42</v>
      </c>
      <c r="B43" s="66">
        <v>10</v>
      </c>
      <c r="C43" s="66">
        <v>42</v>
      </c>
      <c r="D43" s="66">
        <v>2</v>
      </c>
    </row>
    <row r="44" spans="1:4" ht="18" customHeight="1" x14ac:dyDescent="0.2">
      <c r="A44" s="66">
        <v>43</v>
      </c>
      <c r="B44" s="66">
        <v>10</v>
      </c>
      <c r="C44" s="66">
        <v>43</v>
      </c>
      <c r="D44" s="66">
        <v>3</v>
      </c>
    </row>
    <row r="45" spans="1:4" ht="18" customHeight="1" x14ac:dyDescent="0.2">
      <c r="A45" s="66">
        <v>44</v>
      </c>
      <c r="B45" s="66">
        <v>11</v>
      </c>
      <c r="C45" s="66">
        <v>9</v>
      </c>
      <c r="D45" s="66">
        <v>1</v>
      </c>
    </row>
    <row r="46" spans="1:4" ht="18" customHeight="1" x14ac:dyDescent="0.2">
      <c r="A46" s="66">
        <v>45</v>
      </c>
      <c r="B46" s="66">
        <v>11</v>
      </c>
      <c r="C46" s="66">
        <v>10</v>
      </c>
      <c r="D46" s="66">
        <v>2</v>
      </c>
    </row>
    <row r="47" spans="1:4" ht="18" customHeight="1" x14ac:dyDescent="0.2">
      <c r="A47" s="66">
        <v>46</v>
      </c>
      <c r="B47" s="66">
        <v>12</v>
      </c>
      <c r="C47" s="66">
        <v>17</v>
      </c>
      <c r="D47" s="66">
        <v>1</v>
      </c>
    </row>
    <row r="48" spans="1:4" ht="18" customHeight="1" x14ac:dyDescent="0.2">
      <c r="A48" s="66">
        <v>47</v>
      </c>
      <c r="B48" s="66">
        <v>13</v>
      </c>
      <c r="C48" s="66">
        <v>46</v>
      </c>
      <c r="D48" s="66">
        <v>1</v>
      </c>
    </row>
    <row r="49" spans="1:4" ht="18" customHeight="1" x14ac:dyDescent="0.2">
      <c r="A49" s="66">
        <v>48</v>
      </c>
      <c r="B49" s="66">
        <v>14</v>
      </c>
      <c r="C49" s="66">
        <v>24</v>
      </c>
      <c r="D49" s="66">
        <v>1</v>
      </c>
    </row>
    <row r="50" spans="1:4" ht="18" customHeight="1" x14ac:dyDescent="0.2">
      <c r="A50" s="66">
        <v>49</v>
      </c>
      <c r="B50" s="66">
        <v>15</v>
      </c>
      <c r="C50" s="66">
        <v>39</v>
      </c>
      <c r="D50" s="66">
        <v>1</v>
      </c>
    </row>
    <row r="51" spans="1:4" ht="18" customHeight="1" x14ac:dyDescent="0.2">
      <c r="A51" s="66">
        <v>50</v>
      </c>
      <c r="B51" s="66">
        <v>15</v>
      </c>
      <c r="C51" s="66">
        <v>41</v>
      </c>
      <c r="D51" s="66">
        <v>2</v>
      </c>
    </row>
    <row r="52" spans="1:4" ht="18" customHeight="1" x14ac:dyDescent="0.2">
      <c r="A52" s="66">
        <v>51</v>
      </c>
      <c r="B52" s="66">
        <v>16</v>
      </c>
      <c r="C52" s="66">
        <v>47</v>
      </c>
      <c r="D52" s="66">
        <v>1</v>
      </c>
    </row>
    <row r="53" spans="1:4" ht="18" customHeight="1" x14ac:dyDescent="0.2">
      <c r="A53" s="66">
        <v>52</v>
      </c>
      <c r="B53" s="66">
        <v>17</v>
      </c>
      <c r="C53" s="66">
        <v>17</v>
      </c>
      <c r="D53" s="66">
        <v>1</v>
      </c>
    </row>
    <row r="54" spans="1:4" ht="18" customHeight="1" x14ac:dyDescent="0.2">
      <c r="A54" s="66">
        <v>53</v>
      </c>
      <c r="B54" s="66">
        <v>18</v>
      </c>
      <c r="C54" s="66">
        <v>20</v>
      </c>
      <c r="D54" s="66">
        <v>1</v>
      </c>
    </row>
    <row r="55" spans="1:4" ht="18" customHeight="1" x14ac:dyDescent="0.2">
      <c r="A55" s="66">
        <v>54</v>
      </c>
      <c r="B55" s="66">
        <v>19</v>
      </c>
      <c r="C55" s="66">
        <v>6</v>
      </c>
      <c r="D55" s="66">
        <v>1</v>
      </c>
    </row>
    <row r="56" spans="1:4" ht="18" customHeight="1" x14ac:dyDescent="0.2">
      <c r="A56" s="66">
        <v>55</v>
      </c>
      <c r="B56" s="66">
        <v>20</v>
      </c>
      <c r="C56" s="66">
        <v>20</v>
      </c>
      <c r="D56" s="66">
        <v>1</v>
      </c>
    </row>
    <row r="57" spans="1:4" ht="18" customHeight="1" x14ac:dyDescent="0.2">
      <c r="A57" s="66">
        <v>56</v>
      </c>
      <c r="B57" s="66">
        <v>21</v>
      </c>
      <c r="C57" s="66">
        <v>39</v>
      </c>
      <c r="D57" s="66">
        <v>1</v>
      </c>
    </row>
    <row r="58" spans="1:4" ht="18" customHeight="1" x14ac:dyDescent="0.2">
      <c r="A58" s="66">
        <v>57</v>
      </c>
      <c r="B58" s="66">
        <v>21</v>
      </c>
      <c r="C58" s="66">
        <v>41</v>
      </c>
      <c r="D58" s="66">
        <v>2</v>
      </c>
    </row>
    <row r="59" spans="1:4" ht="18" customHeight="1" x14ac:dyDescent="0.2">
      <c r="A59" s="66">
        <v>58</v>
      </c>
      <c r="B59" s="66">
        <v>22</v>
      </c>
      <c r="C59" s="66">
        <v>39</v>
      </c>
      <c r="D59" s="66">
        <v>1</v>
      </c>
    </row>
    <row r="60" spans="1:4" ht="18" customHeight="1" x14ac:dyDescent="0.2">
      <c r="A60" s="66">
        <v>59</v>
      </c>
      <c r="B60" s="66">
        <v>22</v>
      </c>
      <c r="C60" s="66">
        <v>41</v>
      </c>
      <c r="D60" s="66">
        <v>2</v>
      </c>
    </row>
    <row r="61" spans="1:4" ht="18" customHeight="1" x14ac:dyDescent="0.2">
      <c r="A61" s="66">
        <v>60</v>
      </c>
      <c r="B61" s="66">
        <v>23</v>
      </c>
      <c r="C61" s="66">
        <v>40</v>
      </c>
      <c r="D61" s="66">
        <v>1</v>
      </c>
    </row>
    <row r="62" spans="1:4" ht="18" customHeight="1" x14ac:dyDescent="0.2">
      <c r="A62" s="66">
        <v>61</v>
      </c>
      <c r="B62" s="66">
        <v>23</v>
      </c>
      <c r="C62" s="66">
        <v>44</v>
      </c>
      <c r="D62" s="66">
        <v>2</v>
      </c>
    </row>
    <row r="63" spans="1:4" ht="18" customHeight="1" x14ac:dyDescent="0.2">
      <c r="A63" s="66">
        <v>62</v>
      </c>
      <c r="B63" s="66">
        <v>23</v>
      </c>
      <c r="C63" s="66">
        <v>45</v>
      </c>
      <c r="D63" s="66">
        <v>3</v>
      </c>
    </row>
    <row r="64" spans="1:4" ht="18" customHeight="1" x14ac:dyDescent="0.2">
      <c r="A64" s="66">
        <v>63</v>
      </c>
      <c r="B64" s="66">
        <v>24</v>
      </c>
      <c r="C64" s="66">
        <v>34</v>
      </c>
      <c r="D64" s="66">
        <v>1</v>
      </c>
    </row>
    <row r="65" spans="1:4" ht="18" customHeight="1" x14ac:dyDescent="0.2">
      <c r="A65" s="66">
        <v>64</v>
      </c>
      <c r="B65" s="66">
        <v>24</v>
      </c>
      <c r="C65" s="66">
        <v>42</v>
      </c>
      <c r="D65" s="66">
        <v>2</v>
      </c>
    </row>
    <row r="66" spans="1:4" ht="18" customHeight="1" x14ac:dyDescent="0.2">
      <c r="A66" s="66">
        <v>65</v>
      </c>
      <c r="B66" s="66">
        <v>24</v>
      </c>
      <c r="C66" s="66">
        <v>43</v>
      </c>
      <c r="D66" s="66">
        <v>3</v>
      </c>
    </row>
    <row r="67" spans="1:4" ht="18" customHeight="1" x14ac:dyDescent="0.2">
      <c r="A67" s="66">
        <v>66</v>
      </c>
      <c r="B67" s="66">
        <v>25</v>
      </c>
      <c r="C67" s="66">
        <v>46</v>
      </c>
      <c r="D67" s="66">
        <v>1</v>
      </c>
    </row>
    <row r="68" spans="1:4" ht="18" customHeight="1" x14ac:dyDescent="0.2">
      <c r="A68" s="66">
        <v>67</v>
      </c>
      <c r="B68" s="66">
        <v>26</v>
      </c>
      <c r="C68" s="66">
        <v>17</v>
      </c>
      <c r="D68" s="66">
        <v>1</v>
      </c>
    </row>
    <row r="69" spans="1:4" ht="18" customHeight="1" x14ac:dyDescent="0.2">
      <c r="A69" s="66">
        <v>68</v>
      </c>
      <c r="B69" s="66">
        <v>26</v>
      </c>
      <c r="C69" s="66">
        <v>24</v>
      </c>
      <c r="D69" s="66">
        <v>2</v>
      </c>
    </row>
    <row r="70" spans="1:4" ht="18" customHeight="1" x14ac:dyDescent="0.2">
      <c r="A70" s="66">
        <v>69</v>
      </c>
      <c r="B70" s="66">
        <v>27</v>
      </c>
      <c r="C70" s="66">
        <v>47</v>
      </c>
      <c r="D70" s="66">
        <v>1</v>
      </c>
    </row>
    <row r="71" spans="1:4" ht="18" customHeight="1" x14ac:dyDescent="0.2">
      <c r="A71" s="66">
        <v>70</v>
      </c>
      <c r="B71" s="66">
        <v>28</v>
      </c>
      <c r="C71" s="66">
        <v>20</v>
      </c>
      <c r="D71" s="66">
        <v>1</v>
      </c>
    </row>
    <row r="72" spans="1:4" ht="18" customHeight="1" x14ac:dyDescent="0.2">
      <c r="A72" s="66">
        <v>71</v>
      </c>
      <c r="B72" s="66">
        <v>29</v>
      </c>
      <c r="C72" s="66">
        <v>34</v>
      </c>
      <c r="D72" s="66">
        <v>1</v>
      </c>
    </row>
    <row r="73" spans="1:4" ht="18" customHeight="1" x14ac:dyDescent="0.2">
      <c r="A73" s="66">
        <v>72</v>
      </c>
      <c r="B73" s="66">
        <v>29</v>
      </c>
      <c r="C73" s="66">
        <v>42</v>
      </c>
      <c r="D73" s="66">
        <v>2</v>
      </c>
    </row>
    <row r="74" spans="1:4" ht="18" customHeight="1" x14ac:dyDescent="0.2">
      <c r="A74" s="66">
        <v>73</v>
      </c>
      <c r="B74" s="66">
        <v>29</v>
      </c>
      <c r="C74" s="66">
        <v>43</v>
      </c>
      <c r="D74" s="66">
        <v>3</v>
      </c>
    </row>
    <row r="75" spans="1:4" ht="18" customHeight="1" x14ac:dyDescent="0.2">
      <c r="A75" s="66">
        <v>74</v>
      </c>
      <c r="B75" s="66">
        <v>29</v>
      </c>
      <c r="C75" s="66">
        <v>46</v>
      </c>
      <c r="D75" s="66">
        <v>4</v>
      </c>
    </row>
    <row r="76" spans="1:4" ht="18" customHeight="1" x14ac:dyDescent="0.2">
      <c r="A76" s="66">
        <v>75</v>
      </c>
      <c r="B76" s="66">
        <v>30</v>
      </c>
      <c r="C76" s="66">
        <v>6</v>
      </c>
      <c r="D76" s="66">
        <v>1</v>
      </c>
    </row>
    <row r="77" spans="1:4" ht="18" customHeight="1" x14ac:dyDescent="0.2">
      <c r="A77" s="66">
        <v>76</v>
      </c>
      <c r="B77" s="66">
        <v>31</v>
      </c>
      <c r="C77" s="66">
        <v>39</v>
      </c>
      <c r="D77" s="66">
        <v>1</v>
      </c>
    </row>
    <row r="78" spans="1:4" ht="18" customHeight="1" x14ac:dyDescent="0.2">
      <c r="A78" s="66">
        <v>77</v>
      </c>
      <c r="B78" s="66">
        <v>31</v>
      </c>
      <c r="C78" s="66">
        <v>41</v>
      </c>
      <c r="D78" s="66">
        <v>2</v>
      </c>
    </row>
    <row r="79" spans="1:4" ht="18" customHeight="1" x14ac:dyDescent="0.2">
      <c r="A79" s="66">
        <v>78</v>
      </c>
      <c r="B79" s="66">
        <v>32</v>
      </c>
      <c r="C79" s="66">
        <v>39</v>
      </c>
      <c r="D79" s="66">
        <v>1</v>
      </c>
    </row>
    <row r="80" spans="1:4" ht="18" customHeight="1" x14ac:dyDescent="0.2">
      <c r="A80" s="66">
        <v>79</v>
      </c>
      <c r="B80" s="66">
        <v>33</v>
      </c>
      <c r="C80" s="66">
        <v>47</v>
      </c>
      <c r="D80" s="66">
        <v>1</v>
      </c>
    </row>
    <row r="81" spans="1:4" ht="18" customHeight="1" x14ac:dyDescent="0.2">
      <c r="A81" s="66">
        <v>80</v>
      </c>
      <c r="B81" s="66">
        <v>34</v>
      </c>
      <c r="C81" s="66">
        <v>41</v>
      </c>
      <c r="D81" s="66">
        <v>1</v>
      </c>
    </row>
    <row r="82" spans="1:4" ht="18" customHeight="1" x14ac:dyDescent="0.2">
      <c r="A82" s="66">
        <v>81</v>
      </c>
      <c r="B82" s="66">
        <v>35</v>
      </c>
      <c r="C82" s="66">
        <v>40</v>
      </c>
      <c r="D82" s="66">
        <v>1</v>
      </c>
    </row>
    <row r="83" spans="1:4" ht="18" customHeight="1" x14ac:dyDescent="0.2">
      <c r="A83" s="66">
        <v>82</v>
      </c>
      <c r="B83" s="66">
        <v>35</v>
      </c>
      <c r="C83" s="66">
        <v>44</v>
      </c>
      <c r="D83" s="66">
        <v>2</v>
      </c>
    </row>
    <row r="84" spans="1:4" ht="18" customHeight="1" x14ac:dyDescent="0.2">
      <c r="A84" s="66">
        <v>83</v>
      </c>
      <c r="B84" s="66">
        <v>35</v>
      </c>
      <c r="C84" s="66">
        <v>45</v>
      </c>
      <c r="D84" s="66">
        <v>3</v>
      </c>
    </row>
    <row r="85" spans="1:4" ht="18" customHeight="1" x14ac:dyDescent="0.2">
      <c r="A85" s="66">
        <v>84</v>
      </c>
      <c r="B85" s="66">
        <v>36</v>
      </c>
      <c r="C85" s="66">
        <v>34</v>
      </c>
      <c r="D85" s="66">
        <v>1</v>
      </c>
    </row>
    <row r="86" spans="1:4" ht="18" customHeight="1" x14ac:dyDescent="0.2">
      <c r="A86" s="66">
        <v>85</v>
      </c>
      <c r="B86" s="66">
        <v>36</v>
      </c>
      <c r="C86" s="66">
        <v>42</v>
      </c>
      <c r="D86" s="66">
        <v>2</v>
      </c>
    </row>
    <row r="87" spans="1:4" ht="18" customHeight="1" x14ac:dyDescent="0.2">
      <c r="A87" s="66">
        <v>86</v>
      </c>
      <c r="B87" s="66">
        <v>36</v>
      </c>
      <c r="C87" s="66">
        <v>43</v>
      </c>
      <c r="D87" s="66">
        <v>3</v>
      </c>
    </row>
    <row r="88" spans="1:4" ht="18" customHeight="1" x14ac:dyDescent="0.2">
      <c r="A88" s="66">
        <v>87</v>
      </c>
      <c r="B88" s="66">
        <v>36</v>
      </c>
      <c r="C88" s="66">
        <v>46</v>
      </c>
      <c r="D88" s="66">
        <v>4</v>
      </c>
    </row>
  </sheetData>
  <autoFilter ref="A1:D88" xr:uid="{00000000-0009-0000-0000-00000C000000}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9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9" defaultRowHeight="18" customHeight="1" x14ac:dyDescent="0.25"/>
  <cols>
    <col min="1" max="1" width="20.140625" style="113" bestFit="1" customWidth="1"/>
    <col min="2" max="2" width="13.28515625" style="113" bestFit="1" customWidth="1"/>
    <col min="3" max="3" width="20.140625" style="113" bestFit="1" customWidth="1"/>
    <col min="4" max="4" width="13.28515625" style="113" bestFit="1" customWidth="1"/>
    <col min="5" max="5" width="9" style="113" customWidth="1"/>
    <col min="6" max="16384" width="9" style="113"/>
  </cols>
  <sheetData>
    <row r="1" spans="1:4" ht="18" customHeight="1" x14ac:dyDescent="0.25">
      <c r="A1" s="70" t="s">
        <v>280</v>
      </c>
      <c r="B1" s="70" t="s">
        <v>277</v>
      </c>
      <c r="C1" s="70" t="s">
        <v>280</v>
      </c>
      <c r="D1" s="70" t="s">
        <v>1558</v>
      </c>
    </row>
    <row r="2" spans="1:4" ht="18" customHeight="1" x14ac:dyDescent="0.25">
      <c r="A2" s="66">
        <v>1</v>
      </c>
      <c r="B2" s="66">
        <v>5</v>
      </c>
      <c r="C2" s="66">
        <v>1</v>
      </c>
      <c r="D2" s="66">
        <v>1</v>
      </c>
    </row>
    <row r="3" spans="1:4" ht="18" customHeight="1" x14ac:dyDescent="0.25">
      <c r="A3" s="66">
        <v>2</v>
      </c>
      <c r="B3" s="66">
        <v>9</v>
      </c>
      <c r="C3" s="66">
        <v>8</v>
      </c>
      <c r="D3" s="66">
        <v>1</v>
      </c>
    </row>
    <row r="4" spans="1:4" ht="18" customHeight="1" x14ac:dyDescent="0.25">
      <c r="A4" s="66">
        <v>3</v>
      </c>
      <c r="B4" s="66">
        <v>21</v>
      </c>
      <c r="C4" s="66">
        <v>15</v>
      </c>
      <c r="D4" s="66">
        <v>1</v>
      </c>
    </row>
    <row r="5" spans="1:4" ht="18" customHeight="1" x14ac:dyDescent="0.25">
      <c r="A5" s="66">
        <v>4</v>
      </c>
      <c r="B5" s="66">
        <v>22</v>
      </c>
      <c r="C5" s="66">
        <v>15</v>
      </c>
      <c r="D5" s="66">
        <v>1</v>
      </c>
    </row>
    <row r="6" spans="1:4" ht="18" customHeight="1" x14ac:dyDescent="0.25">
      <c r="A6" s="66">
        <v>5</v>
      </c>
      <c r="B6" s="66">
        <v>23</v>
      </c>
      <c r="C6" s="66">
        <v>6</v>
      </c>
      <c r="D6" s="66">
        <v>1</v>
      </c>
    </row>
    <row r="7" spans="1:4" ht="18" customHeight="1" x14ac:dyDescent="0.25">
      <c r="A7" s="66">
        <v>6</v>
      </c>
      <c r="B7" s="66">
        <v>24</v>
      </c>
      <c r="C7" s="66">
        <v>10</v>
      </c>
      <c r="D7" s="66">
        <v>1</v>
      </c>
    </row>
    <row r="8" spans="1:4" ht="18" customHeight="1" x14ac:dyDescent="0.25">
      <c r="A8" s="66">
        <v>7</v>
      </c>
      <c r="B8" s="66">
        <v>25</v>
      </c>
      <c r="C8" s="66">
        <v>13</v>
      </c>
      <c r="D8" s="66">
        <v>1</v>
      </c>
    </row>
    <row r="9" spans="1:4" ht="18" customHeight="1" x14ac:dyDescent="0.25">
      <c r="A9" s="66">
        <v>8</v>
      </c>
      <c r="B9" s="66">
        <v>26</v>
      </c>
      <c r="C9" s="66">
        <v>14</v>
      </c>
      <c r="D9" s="66">
        <v>1</v>
      </c>
    </row>
    <row r="10" spans="1:4" ht="18" customHeight="1" x14ac:dyDescent="0.25">
      <c r="A10" s="66">
        <v>9</v>
      </c>
      <c r="B10" s="66">
        <v>26</v>
      </c>
      <c r="C10" s="66">
        <v>17</v>
      </c>
      <c r="D10" s="66">
        <v>2</v>
      </c>
    </row>
    <row r="11" spans="1:4" ht="18" customHeight="1" x14ac:dyDescent="0.25">
      <c r="A11" s="66">
        <v>10</v>
      </c>
      <c r="B11" s="66">
        <v>27</v>
      </c>
      <c r="C11" s="66">
        <v>16</v>
      </c>
      <c r="D11" s="66">
        <v>1</v>
      </c>
    </row>
    <row r="12" spans="1:4" ht="18" customHeight="1" x14ac:dyDescent="0.25">
      <c r="A12" s="66">
        <v>11</v>
      </c>
      <c r="B12" s="66">
        <v>28</v>
      </c>
      <c r="C12" s="66">
        <v>19</v>
      </c>
      <c r="D12" s="66">
        <v>1</v>
      </c>
    </row>
    <row r="13" spans="1:4" ht="18" customHeight="1" x14ac:dyDescent="0.25">
      <c r="A13" s="66">
        <v>12</v>
      </c>
      <c r="B13" s="66">
        <v>29</v>
      </c>
      <c r="C13" s="66">
        <v>10</v>
      </c>
      <c r="D13" s="66">
        <v>1</v>
      </c>
    </row>
    <row r="14" spans="1:4" ht="18" customHeight="1" x14ac:dyDescent="0.25">
      <c r="A14" s="66">
        <v>13</v>
      </c>
      <c r="B14" s="66">
        <v>29</v>
      </c>
      <c r="C14" s="66">
        <v>13</v>
      </c>
      <c r="D14" s="66">
        <v>2</v>
      </c>
    </row>
    <row r="15" spans="1:4" ht="18" customHeight="1" x14ac:dyDescent="0.25">
      <c r="A15" s="66">
        <v>14</v>
      </c>
      <c r="B15" s="66">
        <v>31</v>
      </c>
      <c r="C15" s="66">
        <v>15</v>
      </c>
      <c r="D15" s="66">
        <v>1</v>
      </c>
    </row>
    <row r="16" spans="1:4" ht="18" customHeight="1" x14ac:dyDescent="0.25">
      <c r="A16" s="66">
        <v>15</v>
      </c>
      <c r="B16" s="66">
        <v>33</v>
      </c>
      <c r="C16" s="66">
        <v>16</v>
      </c>
      <c r="D16" s="66">
        <v>1</v>
      </c>
    </row>
    <row r="17" spans="1:4" ht="18" customHeight="1" x14ac:dyDescent="0.25">
      <c r="A17" s="66">
        <v>16</v>
      </c>
      <c r="B17" s="66">
        <v>35</v>
      </c>
      <c r="C17" s="66">
        <v>6</v>
      </c>
      <c r="D17" s="66">
        <v>1</v>
      </c>
    </row>
    <row r="18" spans="1:4" ht="18" customHeight="1" x14ac:dyDescent="0.25">
      <c r="A18" s="66">
        <v>17</v>
      </c>
      <c r="B18" s="66">
        <v>36</v>
      </c>
      <c r="C18" s="66">
        <v>10</v>
      </c>
      <c r="D18" s="66">
        <v>1</v>
      </c>
    </row>
    <row r="19" spans="1:4" ht="18" customHeight="1" x14ac:dyDescent="0.25">
      <c r="A19" s="66">
        <v>18</v>
      </c>
      <c r="B19" s="66">
        <v>36</v>
      </c>
      <c r="C19" s="66">
        <v>13</v>
      </c>
      <c r="D19" s="66">
        <v>2</v>
      </c>
    </row>
  </sheetData>
  <autoFilter ref="A1:D19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🏢 EMPRESAS</vt:lpstr>
      <vt:lpstr>🚛 FROTA</vt:lpstr>
      <vt:lpstr>🏢 CLIENTES</vt:lpstr>
      <vt:lpstr>📄 CONTRATOS</vt:lpstr>
      <vt:lpstr>💰 FAT_UNITARIO</vt:lpstr>
      <vt:lpstr>🧾 FATURAMENTO</vt:lpstr>
      <vt:lpstr>↩️ REEMBOLSOS</vt:lpstr>
      <vt:lpstr>🛡️ SEGUROS</vt:lpstr>
      <vt:lpstr>📋 SEGURO_MENSAL</vt:lpstr>
      <vt:lpstr>🔧 MANUTENCOES</vt:lpstr>
      <vt:lpstr>📋 IMPOSTOS</vt:lpstr>
      <vt:lpstr>📍RASTREAMENTO</vt:lpstr>
      <vt:lpstr>🔗 CONTRATO_VEICULO</vt:lpstr>
      <vt:lpstr>🔗 CONTRATO_ORIGEM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Tiburcio do Nascimento</dc:creator>
  <cp:lastModifiedBy>Vinicius Tiburcio do Nascimento</cp:lastModifiedBy>
  <dcterms:created xsi:type="dcterms:W3CDTF">2025-09-16T16:08:49Z</dcterms:created>
  <dcterms:modified xsi:type="dcterms:W3CDTF">2026-05-10T18:06:46Z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0x010100E7AE398007300C47926295584C3117D0</vt:lpwstr>
  </property>
  <property fmtid="{D5CDD505-2E9C-101B-9397-08002B2CF9AE}" pid="3" name="MediaServiceImageTags">
    <vt:lpwstr/>
  </property>
</Properties>
</file>